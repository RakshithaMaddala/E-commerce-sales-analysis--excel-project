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3.xml" ContentType="application/vnd.openxmlformats-officedocument.drawing+xml"/>
  <Override PartName="/xl/slicers/slicer3.xml" ContentType="application/vnd.ms-excel.slicer+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drawings/drawing5.xml" ContentType="application/vnd.openxmlformats-officedocument.drawing+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6.xml" ContentType="application/vnd.openxmlformats-officedocument.drawing+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pivotTables/pivotTable2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USER\Downloads\data analytics new\"/>
    </mc:Choice>
  </mc:AlternateContent>
  <bookViews>
    <workbookView xWindow="0" yWindow="0" windowWidth="23040" windowHeight="9072" firstSheet="1" activeTab="2"/>
  </bookViews>
  <sheets>
    <sheet name="REGION BASED DASHBOARD" sheetId="12" r:id="rId1"/>
    <sheet name="COUNTRY BASED DASHBOARD" sheetId="16" r:id="rId2"/>
    <sheet name="CITY BASED DASHBOARD" sheetId="15" r:id="rId3"/>
    <sheet name="pivot tables area" sheetId="7" r:id="rId4"/>
    <sheet name="sales data set" sheetId="1" r:id="rId5"/>
    <sheet name="KPIs" sheetId="9" r:id="rId6"/>
    <sheet name="yoy growth" sheetId="11" r:id="rId7"/>
  </sheets>
  <definedNames>
    <definedName name="_xlnm._FilterDatabase" localSheetId="4" hidden="1">'sales data set'!$C$1:$R$1001</definedName>
    <definedName name="_xlchart.0" hidden="1">'pivot tables area'!$D$37:$D$42</definedName>
    <definedName name="_xlchart.1" hidden="1">'pivot tables area'!$E$36</definedName>
    <definedName name="_xlchart.10" hidden="1">'pivot tables area'!$AO$35</definedName>
    <definedName name="_xlchart.11" hidden="1">'pivot tables area'!$AO$36:$AO$44</definedName>
    <definedName name="_xlchart.12" hidden="1">'pivot tables area'!$D$37:$D$42</definedName>
    <definedName name="_xlchart.13" hidden="1">'pivot tables area'!$E$36</definedName>
    <definedName name="_xlchart.14" hidden="1">'pivot tables area'!$E$37:$E$42</definedName>
    <definedName name="_xlchart.15" hidden="1">'pivot tables area'!$S$37:$S$44</definedName>
    <definedName name="_xlchart.16" hidden="1">'pivot tables area'!$T$36</definedName>
    <definedName name="_xlchart.17" hidden="1">'pivot tables area'!$T$37:$T$44</definedName>
    <definedName name="_xlchart.2" hidden="1">'pivot tables area'!$E$37:$E$42</definedName>
    <definedName name="_xlchart.3" hidden="1">'pivot tables area'!$S$37:$S$44</definedName>
    <definedName name="_xlchart.4" hidden="1">'pivot tables area'!$T$36</definedName>
    <definedName name="_xlchart.5" hidden="1">'pivot tables area'!$T$37:$T$44</definedName>
    <definedName name="_xlchart.6" hidden="1">'pivot tables area'!$AN$36:$AN$44</definedName>
    <definedName name="_xlchart.7" hidden="1">'pivot tables area'!$AO$35</definedName>
    <definedName name="_xlchart.8" hidden="1">'pivot tables area'!$AO$36:$AO$44</definedName>
    <definedName name="_xlchart.9" hidden="1">'pivot tables area'!$AN$36:$AN$44</definedName>
    <definedName name="Slicer_Channel1">#N/A</definedName>
    <definedName name="Slicer_City1">#N/A</definedName>
    <definedName name="Slicer_Country">#N/A</definedName>
    <definedName name="Slicer_month">#N/A</definedName>
    <definedName name="Slicer_ProductCategory1">#N/A</definedName>
    <definedName name="Slicer_ProductName">#N/A</definedName>
    <definedName name="Slicer_Quantity">#N/A</definedName>
    <definedName name="Slicer_Region1">#N/A</definedName>
    <definedName name="Slicer_Year">#N/A</definedName>
  </definedNames>
  <calcPr calcId="162913"/>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Lst>
</workbook>
</file>

<file path=xl/calcChain.xml><?xml version="1.0" encoding="utf-8"?>
<calcChain xmlns="http://schemas.openxmlformats.org/spreadsheetml/2006/main">
  <c r="AO44" i="7" l="1"/>
  <c r="AN44" i="7"/>
  <c r="AO37" i="7"/>
  <c r="AO38" i="7"/>
  <c r="AO39" i="7"/>
  <c r="AO40" i="7"/>
  <c r="AO41" i="7"/>
  <c r="AO42" i="7"/>
  <c r="AO43" i="7"/>
  <c r="AO36" i="7"/>
  <c r="AN37" i="7"/>
  <c r="AN38" i="7"/>
  <c r="AN39" i="7"/>
  <c r="AN40" i="7"/>
  <c r="AN41" i="7"/>
  <c r="AN42" i="7"/>
  <c r="AN43" i="7"/>
  <c r="AN36" i="7"/>
  <c r="T38" i="7"/>
  <c r="T39" i="7"/>
  <c r="T40" i="7"/>
  <c r="T41" i="7"/>
  <c r="T42" i="7"/>
  <c r="T43" i="7"/>
  <c r="T44" i="7"/>
  <c r="T37" i="7"/>
  <c r="S44" i="7"/>
  <c r="S38" i="7"/>
  <c r="S39" i="7"/>
  <c r="S40" i="7"/>
  <c r="S41" i="7"/>
  <c r="S42" i="7"/>
  <c r="S43" i="7"/>
  <c r="S37" i="7"/>
  <c r="L8" i="11" l="1"/>
  <c r="M8" i="11"/>
  <c r="N8" i="11"/>
  <c r="O8" i="11"/>
  <c r="K8" i="11"/>
  <c r="N15" i="9"/>
  <c r="K15" i="9"/>
  <c r="H15" i="9"/>
  <c r="E15" i="9"/>
  <c r="B15" i="9"/>
  <c r="E36" i="7"/>
  <c r="E38" i="7"/>
  <c r="E39" i="7"/>
  <c r="E40" i="7"/>
  <c r="E41" i="7"/>
  <c r="E42" i="7"/>
  <c r="E37" i="7"/>
  <c r="D42" i="7"/>
  <c r="D38" i="7"/>
  <c r="D39" i="7"/>
  <c r="D40" i="7"/>
  <c r="D41" i="7"/>
  <c r="D37" i="7"/>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3" i="1"/>
  <c r="E4" i="1"/>
  <c r="E5" i="1"/>
  <c r="E6" i="1"/>
  <c r="E7" i="1"/>
  <c r="E8" i="1"/>
  <c r="E9" i="1"/>
  <c r="E10" i="1"/>
  <c r="E2" i="1"/>
  <c r="T3" i="1" l="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2" i="1"/>
</calcChain>
</file>

<file path=xl/sharedStrings.xml><?xml version="1.0" encoding="utf-8"?>
<sst xmlns="http://schemas.openxmlformats.org/spreadsheetml/2006/main" count="10373" uniqueCount="2611">
  <si>
    <t>OrderID</t>
  </si>
  <si>
    <t>OrderDate</t>
  </si>
  <si>
    <t>CustomerID</t>
  </si>
  <si>
    <t>Region</t>
  </si>
  <si>
    <t>Country</t>
  </si>
  <si>
    <t>City</t>
  </si>
  <si>
    <t>ProductCategory</t>
  </si>
  <si>
    <t>ProductName</t>
  </si>
  <si>
    <t>Sales</t>
  </si>
  <si>
    <t>Quantity</t>
  </si>
  <si>
    <t>Discount</t>
  </si>
  <si>
    <t>Profit</t>
  </si>
  <si>
    <t>Channel</t>
  </si>
  <si>
    <t>PaymentMethod</t>
  </si>
  <si>
    <t>ShippingDays</t>
  </si>
  <si>
    <t>ORD00001</t>
  </si>
  <si>
    <t>2024-11-14</t>
  </si>
  <si>
    <t>CUST5736</t>
  </si>
  <si>
    <t>Asia</t>
  </si>
  <si>
    <t>Germany</t>
  </si>
  <si>
    <t>Mumbai</t>
  </si>
  <si>
    <t>Home</t>
  </si>
  <si>
    <t>Sofa</t>
  </si>
  <si>
    <t>Marketplace</t>
  </si>
  <si>
    <t>Credit Card</t>
  </si>
  <si>
    <t>ORD00002</t>
  </si>
  <si>
    <t>2024-06-01</t>
  </si>
  <si>
    <t>CUST4952</t>
  </si>
  <si>
    <t>London</t>
  </si>
  <si>
    <t>Beauty</t>
  </si>
  <si>
    <t>Perfume</t>
  </si>
  <si>
    <t>Mobile App</t>
  </si>
  <si>
    <t>Debit Card</t>
  </si>
  <si>
    <t>ORD00003</t>
  </si>
  <si>
    <t>2025-11-13</t>
  </si>
  <si>
    <t>CUST9494</t>
  </si>
  <si>
    <t>Africa</t>
  </si>
  <si>
    <t>France</t>
  </si>
  <si>
    <t>Delhi</t>
  </si>
  <si>
    <t>Shoes</t>
  </si>
  <si>
    <t>Net Banking</t>
  </si>
  <si>
    <t>ORD00004</t>
  </si>
  <si>
    <t>2024-02-18</t>
  </si>
  <si>
    <t>CUST3889</t>
  </si>
  <si>
    <t>Middle East</t>
  </si>
  <si>
    <t>USA</t>
  </si>
  <si>
    <t>Toronto</t>
  </si>
  <si>
    <t>Electronics</t>
  </si>
  <si>
    <t>ORD00005</t>
  </si>
  <si>
    <t>2024-05-31</t>
  </si>
  <si>
    <t>CUST8584</t>
  </si>
  <si>
    <t>UK</t>
  </si>
  <si>
    <t>New York</t>
  </si>
  <si>
    <t>Mixer</t>
  </si>
  <si>
    <t>Website</t>
  </si>
  <si>
    <t>ORD00006</t>
  </si>
  <si>
    <t>2024-12-27</t>
  </si>
  <si>
    <t>CUST1996</t>
  </si>
  <si>
    <t>Canada</t>
  </si>
  <si>
    <t>Berlin</t>
  </si>
  <si>
    <t>Watch</t>
  </si>
  <si>
    <t>ORD00007</t>
  </si>
  <si>
    <t>2024-07-12</t>
  </si>
  <si>
    <t>CUST4101</t>
  </si>
  <si>
    <t>Europe</t>
  </si>
  <si>
    <t>UAE</t>
  </si>
  <si>
    <t>Fashion</t>
  </si>
  <si>
    <t>T-shirt</t>
  </si>
  <si>
    <t>ORD00008</t>
  </si>
  <si>
    <t>2024-01-20</t>
  </si>
  <si>
    <t>CUST1995</t>
  </si>
  <si>
    <t>India</t>
  </si>
  <si>
    <t>Headphones</t>
  </si>
  <si>
    <t>ORD00009</t>
  </si>
  <si>
    <t>2024-10-22</t>
  </si>
  <si>
    <t>CUST1088</t>
  </si>
  <si>
    <t>Laptop</t>
  </si>
  <si>
    <t>UPI</t>
  </si>
  <si>
    <t>ORD00010</t>
  </si>
  <si>
    <t>2024-03-05</t>
  </si>
  <si>
    <t>CUST1781</t>
  </si>
  <si>
    <t>Sports</t>
  </si>
  <si>
    <t>Backpack</t>
  </si>
  <si>
    <t>ORD00011</t>
  </si>
  <si>
    <t>2024-07-03</t>
  </si>
  <si>
    <t>CUST5824</t>
  </si>
  <si>
    <t>Cash on Delivery</t>
  </si>
  <si>
    <t>ORD00012</t>
  </si>
  <si>
    <t>2024-08-06</t>
  </si>
  <si>
    <t>CUST3833</t>
  </si>
  <si>
    <t>ORD00013</t>
  </si>
  <si>
    <t>2025-05-31</t>
  </si>
  <si>
    <t>CUST9273</t>
  </si>
  <si>
    <t>ORD00014</t>
  </si>
  <si>
    <t>2025-01-28</t>
  </si>
  <si>
    <t>CUST1732</t>
  </si>
  <si>
    <t>ORD00015</t>
  </si>
  <si>
    <t>2025-06-23</t>
  </si>
  <si>
    <t>CUST9571</t>
  </si>
  <si>
    <t>ORD00016</t>
  </si>
  <si>
    <t>2024-11-06</t>
  </si>
  <si>
    <t>CUST4819</t>
  </si>
  <si>
    <t>North America</t>
  </si>
  <si>
    <t>ORD00017</t>
  </si>
  <si>
    <t>2024-06-12</t>
  </si>
  <si>
    <t>CUST7713</t>
  </si>
  <si>
    <t>Dubai</t>
  </si>
  <si>
    <t>ORD00018</t>
  </si>
  <si>
    <t>2025-05-23</t>
  </si>
  <si>
    <t>CUST4258</t>
  </si>
  <si>
    <t>ORD00019</t>
  </si>
  <si>
    <t>2025-04-01</t>
  </si>
  <si>
    <t>CUST7741</t>
  </si>
  <si>
    <t>ORD00020</t>
  </si>
  <si>
    <t>2025-07-28</t>
  </si>
  <si>
    <t>CUST8004</t>
  </si>
  <si>
    <t>Paris</t>
  </si>
  <si>
    <t>ORD00021</t>
  </si>
  <si>
    <t>2024-03-21</t>
  </si>
  <si>
    <t>CUST5139</t>
  </si>
  <si>
    <t>ORD00022</t>
  </si>
  <si>
    <t>2024-02-22</t>
  </si>
  <si>
    <t>CUST4525</t>
  </si>
  <si>
    <t>ORD00023</t>
  </si>
  <si>
    <t>2024-03-06</t>
  </si>
  <si>
    <t>CUST3029</t>
  </si>
  <si>
    <t>ORD00024</t>
  </si>
  <si>
    <t>2025-08-11</t>
  </si>
  <si>
    <t>CUST3423</t>
  </si>
  <si>
    <t>ORD00025</t>
  </si>
  <si>
    <t>2024-09-13</t>
  </si>
  <si>
    <t>CUST1489</t>
  </si>
  <si>
    <t>ORD00026</t>
  </si>
  <si>
    <t>2025-09-14</t>
  </si>
  <si>
    <t>CUST8746</t>
  </si>
  <si>
    <t>ORD00027</t>
  </si>
  <si>
    <t>2024-05-23</t>
  </si>
  <si>
    <t>CUST3286</t>
  </si>
  <si>
    <t>ORD00028</t>
  </si>
  <si>
    <t>2025-08-15</t>
  </si>
  <si>
    <t>CUST1346</t>
  </si>
  <si>
    <t>ORD00029</t>
  </si>
  <si>
    <t>2024-01-04</t>
  </si>
  <si>
    <t>CUST6690</t>
  </si>
  <si>
    <t>ORD00030</t>
  </si>
  <si>
    <t>2025-03-11</t>
  </si>
  <si>
    <t>CUST7181</t>
  </si>
  <si>
    <t>ORD00031</t>
  </si>
  <si>
    <t>2024-12-09</t>
  </si>
  <si>
    <t>CUST7760</t>
  </si>
  <si>
    <t>ORD00032</t>
  </si>
  <si>
    <t>2025-02-08</t>
  </si>
  <si>
    <t>CUST9655</t>
  </si>
  <si>
    <t>ORD00033</t>
  </si>
  <si>
    <t>2024-04-08</t>
  </si>
  <si>
    <t>CUST5419</t>
  </si>
  <si>
    <t>ORD00034</t>
  </si>
  <si>
    <t>2024-05-03</t>
  </si>
  <si>
    <t>CUST5082</t>
  </si>
  <si>
    <t>ORD00035</t>
  </si>
  <si>
    <t>2025-08-19</t>
  </si>
  <si>
    <t>CUST1592</t>
  </si>
  <si>
    <t>ORD00036</t>
  </si>
  <si>
    <t>2025-03-01</t>
  </si>
  <si>
    <t>CUST3704</t>
  </si>
  <si>
    <t>ORD00037</t>
  </si>
  <si>
    <t>2025-12-18</t>
  </si>
  <si>
    <t>CUST5527</t>
  </si>
  <si>
    <t>ORD00038</t>
  </si>
  <si>
    <t>2025-07-05</t>
  </si>
  <si>
    <t>CUST9005</t>
  </si>
  <si>
    <t>ORD00039</t>
  </si>
  <si>
    <t>2025-09-05</t>
  </si>
  <si>
    <t>CUST3326</t>
  </si>
  <si>
    <t>ORD00040</t>
  </si>
  <si>
    <t>2024-09-07</t>
  </si>
  <si>
    <t>CUST3468</t>
  </si>
  <si>
    <t>ORD00041</t>
  </si>
  <si>
    <t>CUST7425</t>
  </si>
  <si>
    <t>ORD00042</t>
  </si>
  <si>
    <t>2025-09-22</t>
  </si>
  <si>
    <t>CUST8650</t>
  </si>
  <si>
    <t>ORD00043</t>
  </si>
  <si>
    <t>2024-12-12</t>
  </si>
  <si>
    <t>CUST7880</t>
  </si>
  <si>
    <t>ORD00044</t>
  </si>
  <si>
    <t>2024-11-04</t>
  </si>
  <si>
    <t>CUST6224</t>
  </si>
  <si>
    <t>ORD00045</t>
  </si>
  <si>
    <t>2024-05-24</t>
  </si>
  <si>
    <t>CUST8242</t>
  </si>
  <si>
    <t>ORD00046</t>
  </si>
  <si>
    <t>2025-05-10</t>
  </si>
  <si>
    <t>CUST7745</t>
  </si>
  <si>
    <t>ORD00047</t>
  </si>
  <si>
    <t>CUST6941</t>
  </si>
  <si>
    <t>ORD00048</t>
  </si>
  <si>
    <t>2025-11-22</t>
  </si>
  <si>
    <t>CUST1829</t>
  </si>
  <si>
    <t>ORD00049</t>
  </si>
  <si>
    <t>2024-04-21</t>
  </si>
  <si>
    <t>CUST9042</t>
  </si>
  <si>
    <t>ORD00050</t>
  </si>
  <si>
    <t>2024-03-30</t>
  </si>
  <si>
    <t>CUST4672</t>
  </si>
  <si>
    <t>ORD00051</t>
  </si>
  <si>
    <t>2024-08-08</t>
  </si>
  <si>
    <t>CUST1731</t>
  </si>
  <si>
    <t>ORD00052</t>
  </si>
  <si>
    <t>2024-05-25</t>
  </si>
  <si>
    <t>CUST6369</t>
  </si>
  <si>
    <t>ORD00053</t>
  </si>
  <si>
    <t>2024-12-06</t>
  </si>
  <si>
    <t>CUST2478</t>
  </si>
  <si>
    <t>ORD00054</t>
  </si>
  <si>
    <t>2024-11-11</t>
  </si>
  <si>
    <t>CUST9315</t>
  </si>
  <si>
    <t>ORD00055</t>
  </si>
  <si>
    <t>2024-09-23</t>
  </si>
  <si>
    <t>CUST5956</t>
  </si>
  <si>
    <t>ORD00056</t>
  </si>
  <si>
    <t>2024-10-04</t>
  </si>
  <si>
    <t>CUST4689</t>
  </si>
  <si>
    <t>ORD00057</t>
  </si>
  <si>
    <t>2024-08-19</t>
  </si>
  <si>
    <t>CUST1729</t>
  </si>
  <si>
    <t>ORD00058</t>
  </si>
  <si>
    <t>2024-01-17</t>
  </si>
  <si>
    <t>CUST9444</t>
  </si>
  <si>
    <t>ORD00059</t>
  </si>
  <si>
    <t>2024-07-18</t>
  </si>
  <si>
    <t>CUST8179</t>
  </si>
  <si>
    <t>ORD00060</t>
  </si>
  <si>
    <t>2025-06-05</t>
  </si>
  <si>
    <t>CUST3995</t>
  </si>
  <si>
    <t>ORD00061</t>
  </si>
  <si>
    <t>2024-10-12</t>
  </si>
  <si>
    <t>CUST3116</t>
  </si>
  <si>
    <t>ORD00062</t>
  </si>
  <si>
    <t>CUST8815</t>
  </si>
  <si>
    <t>ORD00063</t>
  </si>
  <si>
    <t>2024-12-05</t>
  </si>
  <si>
    <t>CUST9744</t>
  </si>
  <si>
    <t>ORD00064</t>
  </si>
  <si>
    <t>2024-12-23</t>
  </si>
  <si>
    <t>CUST1782</t>
  </si>
  <si>
    <t>ORD00065</t>
  </si>
  <si>
    <t>CUST7423</t>
  </si>
  <si>
    <t>ORD00066</t>
  </si>
  <si>
    <t>2024-07-31</t>
  </si>
  <si>
    <t>CUST6184</t>
  </si>
  <si>
    <t>ORD00067</t>
  </si>
  <si>
    <t>2025-10-11</t>
  </si>
  <si>
    <t>CUST8970</t>
  </si>
  <si>
    <t>ORD00068</t>
  </si>
  <si>
    <t>2024-12-24</t>
  </si>
  <si>
    <t>CUST9212</t>
  </si>
  <si>
    <t>ORD00069</t>
  </si>
  <si>
    <t>2024-05-16</t>
  </si>
  <si>
    <t>CUST2133</t>
  </si>
  <si>
    <t>ORD00070</t>
  </si>
  <si>
    <t>2024-12-30</t>
  </si>
  <si>
    <t>CUST7177</t>
  </si>
  <si>
    <t>ORD00071</t>
  </si>
  <si>
    <t>2025-01-13</t>
  </si>
  <si>
    <t>CUST9526</t>
  </si>
  <si>
    <t>ORD00072</t>
  </si>
  <si>
    <t>2025-07-03</t>
  </si>
  <si>
    <t>CUST7946</t>
  </si>
  <si>
    <t>ORD00073</t>
  </si>
  <si>
    <t>CUST3597</t>
  </si>
  <si>
    <t>ORD00074</t>
  </si>
  <si>
    <t>2025-06-28</t>
  </si>
  <si>
    <t>CUST2982</t>
  </si>
  <si>
    <t>ORD00075</t>
  </si>
  <si>
    <t>2025-04-15</t>
  </si>
  <si>
    <t>CUST8207</t>
  </si>
  <si>
    <t>ORD00076</t>
  </si>
  <si>
    <t>2025-08-26</t>
  </si>
  <si>
    <t>CUST9008</t>
  </si>
  <si>
    <t>ORD00077</t>
  </si>
  <si>
    <t>2025-12-16</t>
  </si>
  <si>
    <t>CUST9078</t>
  </si>
  <si>
    <t>ORD00078</t>
  </si>
  <si>
    <t>2024-05-08</t>
  </si>
  <si>
    <t>CUST3396</t>
  </si>
  <si>
    <t>ORD00079</t>
  </si>
  <si>
    <t>2024-11-20</t>
  </si>
  <si>
    <t>CUST5636</t>
  </si>
  <si>
    <t>ORD00080</t>
  </si>
  <si>
    <t>2025-12-15</t>
  </si>
  <si>
    <t>CUST9472</t>
  </si>
  <si>
    <t>ORD00081</t>
  </si>
  <si>
    <t>2025-08-02</t>
  </si>
  <si>
    <t>CUST3367</t>
  </si>
  <si>
    <t>ORD00082</t>
  </si>
  <si>
    <t>2024-12-14</t>
  </si>
  <si>
    <t>CUST7897</t>
  </si>
  <si>
    <t>ORD00083</t>
  </si>
  <si>
    <t>2024-08-07</t>
  </si>
  <si>
    <t>CUST7901</t>
  </si>
  <si>
    <t>ORD00084</t>
  </si>
  <si>
    <t>CUST5754</t>
  </si>
  <si>
    <t>ORD00085</t>
  </si>
  <si>
    <t>2025-01-02</t>
  </si>
  <si>
    <t>CUST6830</t>
  </si>
  <si>
    <t>ORD00086</t>
  </si>
  <si>
    <t>CUST6961</t>
  </si>
  <si>
    <t>ORD00087</t>
  </si>
  <si>
    <t>2025-03-28</t>
  </si>
  <si>
    <t>CUST3129</t>
  </si>
  <si>
    <t>ORD00088</t>
  </si>
  <si>
    <t>CUST4483</t>
  </si>
  <si>
    <t>ORD00089</t>
  </si>
  <si>
    <t>CUST4191</t>
  </si>
  <si>
    <t>ORD00090</t>
  </si>
  <si>
    <t>CUST5533</t>
  </si>
  <si>
    <t>ORD00091</t>
  </si>
  <si>
    <t>2025-02-16</t>
  </si>
  <si>
    <t>CUST8066</t>
  </si>
  <si>
    <t>ORD00092</t>
  </si>
  <si>
    <t>CUST5823</t>
  </si>
  <si>
    <t>ORD00093</t>
  </si>
  <si>
    <t>2024-06-22</t>
  </si>
  <si>
    <t>CUST9136</t>
  </si>
  <si>
    <t>ORD00094</t>
  </si>
  <si>
    <t>2024-06-04</t>
  </si>
  <si>
    <t>CUST1824</t>
  </si>
  <si>
    <t>ORD00095</t>
  </si>
  <si>
    <t>2024-08-02</t>
  </si>
  <si>
    <t>CUST1486</t>
  </si>
  <si>
    <t>ORD00096</t>
  </si>
  <si>
    <t>CUST6747</t>
  </si>
  <si>
    <t>ORD00097</t>
  </si>
  <si>
    <t>2025-12-10</t>
  </si>
  <si>
    <t>CUST5332</t>
  </si>
  <si>
    <t>ORD00098</t>
  </si>
  <si>
    <t>2024-09-25</t>
  </si>
  <si>
    <t>CUST6682</t>
  </si>
  <si>
    <t>ORD00099</t>
  </si>
  <si>
    <t>2025-01-06</t>
  </si>
  <si>
    <t>CUST7184</t>
  </si>
  <si>
    <t>ORD00100</t>
  </si>
  <si>
    <t>2025-11-04</t>
  </si>
  <si>
    <t>CUST6173</t>
  </si>
  <si>
    <t>ORD00101</t>
  </si>
  <si>
    <t>2024-06-29</t>
  </si>
  <si>
    <t>CUST6765</t>
  </si>
  <si>
    <t>ORD00102</t>
  </si>
  <si>
    <t>2024-04-07</t>
  </si>
  <si>
    <t>CUST1601</t>
  </si>
  <si>
    <t>ORD00103</t>
  </si>
  <si>
    <t>2025-11-28</t>
  </si>
  <si>
    <t>CUST8310</t>
  </si>
  <si>
    <t>ORD00104</t>
  </si>
  <si>
    <t>2024-09-20</t>
  </si>
  <si>
    <t>CUST8999</t>
  </si>
  <si>
    <t>ORD00105</t>
  </si>
  <si>
    <t>2025-04-03</t>
  </si>
  <si>
    <t>CUST1345</t>
  </si>
  <si>
    <t>ORD00106</t>
  </si>
  <si>
    <t>2025-07-11</t>
  </si>
  <si>
    <t>CUST8560</t>
  </si>
  <si>
    <t>ORD00107</t>
  </si>
  <si>
    <t>2024-05-06</t>
  </si>
  <si>
    <t>CUST7648</t>
  </si>
  <si>
    <t>ORD00108</t>
  </si>
  <si>
    <t>2024-07-28</t>
  </si>
  <si>
    <t>CUST9589</t>
  </si>
  <si>
    <t>ORD00109</t>
  </si>
  <si>
    <t>2025-08-01</t>
  </si>
  <si>
    <t>CUST2572</t>
  </si>
  <si>
    <t>ORD00110</t>
  </si>
  <si>
    <t>2025-03-08</t>
  </si>
  <si>
    <t>CUST5232</t>
  </si>
  <si>
    <t>ORD00111</t>
  </si>
  <si>
    <t>2024-08-27</t>
  </si>
  <si>
    <t>CUST1363</t>
  </si>
  <si>
    <t>ORD00112</t>
  </si>
  <si>
    <t>2025-10-20</t>
  </si>
  <si>
    <t>CUST2526</t>
  </si>
  <si>
    <t>ORD00113</t>
  </si>
  <si>
    <t>CUST6448</t>
  </si>
  <si>
    <t>ORD00114</t>
  </si>
  <si>
    <t>2025-12-28</t>
  </si>
  <si>
    <t>CUST7172</t>
  </si>
  <si>
    <t>ORD00115</t>
  </si>
  <si>
    <t>2024-12-15</t>
  </si>
  <si>
    <t>CUST8615</t>
  </si>
  <si>
    <t>ORD00116</t>
  </si>
  <si>
    <t>2025-08-25</t>
  </si>
  <si>
    <t>CUST5364</t>
  </si>
  <si>
    <t>ORD00117</t>
  </si>
  <si>
    <t>2025-11-21</t>
  </si>
  <si>
    <t>CUST1833</t>
  </si>
  <si>
    <t>ORD00118</t>
  </si>
  <si>
    <t>2025-10-08</t>
  </si>
  <si>
    <t>CUST6478</t>
  </si>
  <si>
    <t>ORD00119</t>
  </si>
  <si>
    <t>2025-11-09</t>
  </si>
  <si>
    <t>CUST7785</t>
  </si>
  <si>
    <t>ORD00120</t>
  </si>
  <si>
    <t>CUST6138</t>
  </si>
  <si>
    <t>ORD00121</t>
  </si>
  <si>
    <t>CUST2847</t>
  </si>
  <si>
    <t>ORD00122</t>
  </si>
  <si>
    <t>2025-02-14</t>
  </si>
  <si>
    <t>CUST5607</t>
  </si>
  <si>
    <t>ORD00123</t>
  </si>
  <si>
    <t>2024-07-07</t>
  </si>
  <si>
    <t>CUST6072</t>
  </si>
  <si>
    <t>ORD00124</t>
  </si>
  <si>
    <t>2025-05-13</t>
  </si>
  <si>
    <t>CUST4189</t>
  </si>
  <si>
    <t>ORD00125</t>
  </si>
  <si>
    <t>2025-12-09</t>
  </si>
  <si>
    <t>CUST4255</t>
  </si>
  <si>
    <t>ORD00126</t>
  </si>
  <si>
    <t>2024-06-05</t>
  </si>
  <si>
    <t>CUST3315</t>
  </si>
  <si>
    <t>ORD00127</t>
  </si>
  <si>
    <t>CUST6341</t>
  </si>
  <si>
    <t>ORD00128</t>
  </si>
  <si>
    <t>2024-07-21</t>
  </si>
  <si>
    <t>CUST8622</t>
  </si>
  <si>
    <t>ORD00129</t>
  </si>
  <si>
    <t>2025-10-29</t>
  </si>
  <si>
    <t>CUST5031</t>
  </si>
  <si>
    <t>ORD00130</t>
  </si>
  <si>
    <t>2024-03-02</t>
  </si>
  <si>
    <t>CUST9636</t>
  </si>
  <si>
    <t>ORD00131</t>
  </si>
  <si>
    <t>2024-11-16</t>
  </si>
  <si>
    <t>CUST6925</t>
  </si>
  <si>
    <t>ORD00132</t>
  </si>
  <si>
    <t>2024-04-18</t>
  </si>
  <si>
    <t>CUST1248</t>
  </si>
  <si>
    <t>ORD00133</t>
  </si>
  <si>
    <t>2024-08-22</t>
  </si>
  <si>
    <t>CUST5264</t>
  </si>
  <si>
    <t>ORD00134</t>
  </si>
  <si>
    <t>2025-11-27</t>
  </si>
  <si>
    <t>CUST9344</t>
  </si>
  <si>
    <t>ORD00135</t>
  </si>
  <si>
    <t>2025-08-29</t>
  </si>
  <si>
    <t>CUST3040</t>
  </si>
  <si>
    <t>ORD00136</t>
  </si>
  <si>
    <t>2025-10-10</t>
  </si>
  <si>
    <t>CUST2494</t>
  </si>
  <si>
    <t>ORD00137</t>
  </si>
  <si>
    <t>2025-04-17</t>
  </si>
  <si>
    <t>CUST2119</t>
  </si>
  <si>
    <t>ORD00138</t>
  </si>
  <si>
    <t>2025-05-18</t>
  </si>
  <si>
    <t>CUST4319</t>
  </si>
  <si>
    <t>ORD00139</t>
  </si>
  <si>
    <t>CUST7035</t>
  </si>
  <si>
    <t>ORD00140</t>
  </si>
  <si>
    <t>2024-10-05</t>
  </si>
  <si>
    <t>CUST6593</t>
  </si>
  <si>
    <t>ORD00141</t>
  </si>
  <si>
    <t>CUST5840</t>
  </si>
  <si>
    <t>ORD00142</t>
  </si>
  <si>
    <t>2024-11-19</t>
  </si>
  <si>
    <t>CUST7328</t>
  </si>
  <si>
    <t>ORD00143</t>
  </si>
  <si>
    <t>2025-11-23</t>
  </si>
  <si>
    <t>CUST9311</t>
  </si>
  <si>
    <t>ORD00144</t>
  </si>
  <si>
    <t>2024-06-30</t>
  </si>
  <si>
    <t>CUST6205</t>
  </si>
  <si>
    <t>ORD00145</t>
  </si>
  <si>
    <t>2024-01-23</t>
  </si>
  <si>
    <t>CUST8201</t>
  </si>
  <si>
    <t>ORD00146</t>
  </si>
  <si>
    <t>2025-08-05</t>
  </si>
  <si>
    <t>CUST4135</t>
  </si>
  <si>
    <t>ORD00147</t>
  </si>
  <si>
    <t>2024-10-01</t>
  </si>
  <si>
    <t>CUST6906</t>
  </si>
  <si>
    <t>ORD00148</t>
  </si>
  <si>
    <t>2025-04-18</t>
  </si>
  <si>
    <t>CUST4602</t>
  </si>
  <si>
    <t>ORD00149</t>
  </si>
  <si>
    <t>2024-12-29</t>
  </si>
  <si>
    <t>CUST1481</t>
  </si>
  <si>
    <t>ORD00150</t>
  </si>
  <si>
    <t>2024-12-26</t>
  </si>
  <si>
    <t>CUST3207</t>
  </si>
  <si>
    <t>ORD00151</t>
  </si>
  <si>
    <t>2025-01-27</t>
  </si>
  <si>
    <t>CUST9998</t>
  </si>
  <si>
    <t>ORD00152</t>
  </si>
  <si>
    <t>2025-03-15</t>
  </si>
  <si>
    <t>CUST7316</t>
  </si>
  <si>
    <t>ORD00153</t>
  </si>
  <si>
    <t>2025-06-22</t>
  </si>
  <si>
    <t>CUST2043</t>
  </si>
  <si>
    <t>ORD00154</t>
  </si>
  <si>
    <t>CUST2692</t>
  </si>
  <si>
    <t>ORD00155</t>
  </si>
  <si>
    <t>2024-10-27</t>
  </si>
  <si>
    <t>CUST6791</t>
  </si>
  <si>
    <t>ORD00156</t>
  </si>
  <si>
    <t>CUST7437</t>
  </si>
  <si>
    <t>ORD00157</t>
  </si>
  <si>
    <t>2024-06-16</t>
  </si>
  <si>
    <t>CUST9922</t>
  </si>
  <si>
    <t>ORD00158</t>
  </si>
  <si>
    <t>2025-04-19</t>
  </si>
  <si>
    <t>CUST1445</t>
  </si>
  <si>
    <t>ORD00159</t>
  </si>
  <si>
    <t>2024-05-12</t>
  </si>
  <si>
    <t>CUST2857</t>
  </si>
  <si>
    <t>ORD00160</t>
  </si>
  <si>
    <t>2025-02-19</t>
  </si>
  <si>
    <t>CUST8121</t>
  </si>
  <si>
    <t>ORD00161</t>
  </si>
  <si>
    <t>CUST4508</t>
  </si>
  <si>
    <t>ORD00162</t>
  </si>
  <si>
    <t>2025-04-14</t>
  </si>
  <si>
    <t>CUST4298</t>
  </si>
  <si>
    <t>ORD00163</t>
  </si>
  <si>
    <t>CUST1545</t>
  </si>
  <si>
    <t>ORD00164</t>
  </si>
  <si>
    <t>2025-02-10</t>
  </si>
  <si>
    <t>CUST1693</t>
  </si>
  <si>
    <t>ORD00165</t>
  </si>
  <si>
    <t>2025-12-20</t>
  </si>
  <si>
    <t>CUST2476</t>
  </si>
  <si>
    <t>ORD00166</t>
  </si>
  <si>
    <t>CUST6000</t>
  </si>
  <si>
    <t>ORD00167</t>
  </si>
  <si>
    <t>2024-12-08</t>
  </si>
  <si>
    <t>CUST2033</t>
  </si>
  <si>
    <t>ORD00168</t>
  </si>
  <si>
    <t>2025-12-31</t>
  </si>
  <si>
    <t>CUST5348</t>
  </si>
  <si>
    <t>ORD00169</t>
  </si>
  <si>
    <t>CUST8046</t>
  </si>
  <si>
    <t>ORD00170</t>
  </si>
  <si>
    <t>2024-01-09</t>
  </si>
  <si>
    <t>CUST4526</t>
  </si>
  <si>
    <t>ORD00171</t>
  </si>
  <si>
    <t>2024-08-03</t>
  </si>
  <si>
    <t>CUST5398</t>
  </si>
  <si>
    <t>ORD00172</t>
  </si>
  <si>
    <t>CUST6344</t>
  </si>
  <si>
    <t>ORD00173</t>
  </si>
  <si>
    <t>2024-02-27</t>
  </si>
  <si>
    <t>CUST8873</t>
  </si>
  <si>
    <t>ORD00174</t>
  </si>
  <si>
    <t>2024-03-11</t>
  </si>
  <si>
    <t>CUST9070</t>
  </si>
  <si>
    <t>ORD00175</t>
  </si>
  <si>
    <t>2025-05-08</t>
  </si>
  <si>
    <t>CUST7952</t>
  </si>
  <si>
    <t>ORD00176</t>
  </si>
  <si>
    <t>CUST9281</t>
  </si>
  <si>
    <t>ORD00177</t>
  </si>
  <si>
    <t>2025-01-18</t>
  </si>
  <si>
    <t>CUST6381</t>
  </si>
  <si>
    <t>ORD00178</t>
  </si>
  <si>
    <t>2024-09-04</t>
  </si>
  <si>
    <t>CUST5206</t>
  </si>
  <si>
    <t>ORD00179</t>
  </si>
  <si>
    <t>2025-09-18</t>
  </si>
  <si>
    <t>CUST4281</t>
  </si>
  <si>
    <t>ORD00180</t>
  </si>
  <si>
    <t>2024-12-25</t>
  </si>
  <si>
    <t>CUST8988</t>
  </si>
  <si>
    <t>ORD00181</t>
  </si>
  <si>
    <t>2024-09-28</t>
  </si>
  <si>
    <t>CUST3242</t>
  </si>
  <si>
    <t>ORD00182</t>
  </si>
  <si>
    <t>2024-03-14</t>
  </si>
  <si>
    <t>CUST7463</t>
  </si>
  <si>
    <t>ORD00183</t>
  </si>
  <si>
    <t>2025-03-03</t>
  </si>
  <si>
    <t>CUST9188</t>
  </si>
  <si>
    <t>ORD00184</t>
  </si>
  <si>
    <t>2025-11-26</t>
  </si>
  <si>
    <t>CUST2970</t>
  </si>
  <si>
    <t>ORD00185</t>
  </si>
  <si>
    <t>2025-10-23</t>
  </si>
  <si>
    <t>CUST2506</t>
  </si>
  <si>
    <t>ORD00186</t>
  </si>
  <si>
    <t>2024-11-26</t>
  </si>
  <si>
    <t>CUST1463</t>
  </si>
  <si>
    <t>ORD00187</t>
  </si>
  <si>
    <t>2025-10-06</t>
  </si>
  <si>
    <t>CUST2448</t>
  </si>
  <si>
    <t>ORD00188</t>
  </si>
  <si>
    <t>2025-07-18</t>
  </si>
  <si>
    <t>CUST6023</t>
  </si>
  <si>
    <t>ORD00189</t>
  </si>
  <si>
    <t>2024-01-26</t>
  </si>
  <si>
    <t>CUST3229</t>
  </si>
  <si>
    <t>ORD00190</t>
  </si>
  <si>
    <t>2024-01-05</t>
  </si>
  <si>
    <t>CUST9708</t>
  </si>
  <si>
    <t>ORD00191</t>
  </si>
  <si>
    <t>2024-09-02</t>
  </si>
  <si>
    <t>CUST1973</t>
  </si>
  <si>
    <t>ORD00192</t>
  </si>
  <si>
    <t>2025-01-10</t>
  </si>
  <si>
    <t>CUST5377</t>
  </si>
  <si>
    <t>ORD00193</t>
  </si>
  <si>
    <t>2024-02-25</t>
  </si>
  <si>
    <t>CUST4875</t>
  </si>
  <si>
    <t>ORD00194</t>
  </si>
  <si>
    <t>2024-06-25</t>
  </si>
  <si>
    <t>CUST8055</t>
  </si>
  <si>
    <t>ORD00195</t>
  </si>
  <si>
    <t>2024-06-20</t>
  </si>
  <si>
    <t>CUST3172</t>
  </si>
  <si>
    <t>ORD00196</t>
  </si>
  <si>
    <t>2024-04-05</t>
  </si>
  <si>
    <t>CUST6219</t>
  </si>
  <si>
    <t>ORD00197</t>
  </si>
  <si>
    <t>2024-04-04</t>
  </si>
  <si>
    <t>CUST2795</t>
  </si>
  <si>
    <t>ORD00198</t>
  </si>
  <si>
    <t>2024-04-09</t>
  </si>
  <si>
    <t>CUST8899</t>
  </si>
  <si>
    <t>ORD00199</t>
  </si>
  <si>
    <t>2024-11-15</t>
  </si>
  <si>
    <t>CUST1614</t>
  </si>
  <si>
    <t>ORD00200</t>
  </si>
  <si>
    <t>CUST4878</t>
  </si>
  <si>
    <t>ORD00201</t>
  </si>
  <si>
    <t>2025-06-09</t>
  </si>
  <si>
    <t>CUST9621</t>
  </si>
  <si>
    <t>ORD00202</t>
  </si>
  <si>
    <t>2024-02-01</t>
  </si>
  <si>
    <t>CUST7040</t>
  </si>
  <si>
    <t>ORD00203</t>
  </si>
  <si>
    <t>2024-03-20</t>
  </si>
  <si>
    <t>CUST4907</t>
  </si>
  <si>
    <t>ORD00204</t>
  </si>
  <si>
    <t>2024-11-30</t>
  </si>
  <si>
    <t>CUST7453</t>
  </si>
  <si>
    <t>ORD00205</t>
  </si>
  <si>
    <t>2025-10-28</t>
  </si>
  <si>
    <t>CUST4568</t>
  </si>
  <si>
    <t>ORD00206</t>
  </si>
  <si>
    <t>2025-01-15</t>
  </si>
  <si>
    <t>CUST8825</t>
  </si>
  <si>
    <t>ORD00207</t>
  </si>
  <si>
    <t>2025-10-14</t>
  </si>
  <si>
    <t>CUST8422</t>
  </si>
  <si>
    <t>ORD00208</t>
  </si>
  <si>
    <t>2024-06-28</t>
  </si>
  <si>
    <t>ORD00209</t>
  </si>
  <si>
    <t>2024-06-02</t>
  </si>
  <si>
    <t>CUST3107</t>
  </si>
  <si>
    <t>ORD00210</t>
  </si>
  <si>
    <t>CUST5560</t>
  </si>
  <si>
    <t>ORD00211</t>
  </si>
  <si>
    <t>CUST2144</t>
  </si>
  <si>
    <t>ORD00212</t>
  </si>
  <si>
    <t>CUST5292</t>
  </si>
  <si>
    <t>ORD00213</t>
  </si>
  <si>
    <t>2024-05-11</t>
  </si>
  <si>
    <t>CUST6507</t>
  </si>
  <si>
    <t>ORD00214</t>
  </si>
  <si>
    <t>CUST4044</t>
  </si>
  <si>
    <t>ORD00215</t>
  </si>
  <si>
    <t>2025-04-10</t>
  </si>
  <si>
    <t>CUST6944</t>
  </si>
  <si>
    <t>ORD00216</t>
  </si>
  <si>
    <t>2025-09-09</t>
  </si>
  <si>
    <t>CUST2470</t>
  </si>
  <si>
    <t>ORD00217</t>
  </si>
  <si>
    <t>2025-03-02</t>
  </si>
  <si>
    <t>CUST3028</t>
  </si>
  <si>
    <t>ORD00218</t>
  </si>
  <si>
    <t>2025-10-03</t>
  </si>
  <si>
    <t>CUST2265</t>
  </si>
  <si>
    <t>ORD00219</t>
  </si>
  <si>
    <t>2025-12-13</t>
  </si>
  <si>
    <t>CUST9291</t>
  </si>
  <si>
    <t>ORD00220</t>
  </si>
  <si>
    <t>2024-10-08</t>
  </si>
  <si>
    <t>CUST8858</t>
  </si>
  <si>
    <t>ORD00221</t>
  </si>
  <si>
    <t>2024-09-27</t>
  </si>
  <si>
    <t>CUST5319</t>
  </si>
  <si>
    <t>ORD00222</t>
  </si>
  <si>
    <t>2024-10-03</t>
  </si>
  <si>
    <t>CUST8846</t>
  </si>
  <si>
    <t>ORD00223</t>
  </si>
  <si>
    <t>2025-08-13</t>
  </si>
  <si>
    <t>CUST5712</t>
  </si>
  <si>
    <t>ORD00224</t>
  </si>
  <si>
    <t>CUST4291</t>
  </si>
  <si>
    <t>ORD00225</t>
  </si>
  <si>
    <t>2025-05-16</t>
  </si>
  <si>
    <t>ORD00226</t>
  </si>
  <si>
    <t>CUST2856</t>
  </si>
  <si>
    <t>ORD00227</t>
  </si>
  <si>
    <t>2024-03-24</t>
  </si>
  <si>
    <t>CUST6780</t>
  </si>
  <si>
    <t>ORD00228</t>
  </si>
  <si>
    <t>CUST3941</t>
  </si>
  <si>
    <t>ORD00229</t>
  </si>
  <si>
    <t>CUST6855</t>
  </si>
  <si>
    <t>ORD00230</t>
  </si>
  <si>
    <t>2025-07-10</t>
  </si>
  <si>
    <t>CUST9505</t>
  </si>
  <si>
    <t>ORD00231</t>
  </si>
  <si>
    <t>2025-09-28</t>
  </si>
  <si>
    <t>CUST9458</t>
  </si>
  <si>
    <t>ORD00232</t>
  </si>
  <si>
    <t>2025-04-07</t>
  </si>
  <si>
    <t>CUST3167</t>
  </si>
  <si>
    <t>ORD00233</t>
  </si>
  <si>
    <t>2025-06-02</t>
  </si>
  <si>
    <t>CUST9147</t>
  </si>
  <si>
    <t>ORD00234</t>
  </si>
  <si>
    <t>CUST5659</t>
  </si>
  <si>
    <t>ORD00235</t>
  </si>
  <si>
    <t>CUST9550</t>
  </si>
  <si>
    <t>ORD00236</t>
  </si>
  <si>
    <t>2024-08-15</t>
  </si>
  <si>
    <t>CUST8204</t>
  </si>
  <si>
    <t>ORD00237</t>
  </si>
  <si>
    <t>2025-03-23</t>
  </si>
  <si>
    <t>CUST2065</t>
  </si>
  <si>
    <t>ORD00238</t>
  </si>
  <si>
    <t>2025-02-18</t>
  </si>
  <si>
    <t>CUST6334</t>
  </si>
  <si>
    <t>ORD00239</t>
  </si>
  <si>
    <t>2024-07-22</t>
  </si>
  <si>
    <t>CUST6277</t>
  </si>
  <si>
    <t>ORD00240</t>
  </si>
  <si>
    <t>2024-11-22</t>
  </si>
  <si>
    <t>CUST9120</t>
  </si>
  <si>
    <t>ORD00241</t>
  </si>
  <si>
    <t>CUST2810</t>
  </si>
  <si>
    <t>ORD00242</t>
  </si>
  <si>
    <t>CUST5524</t>
  </si>
  <si>
    <t>ORD00243</t>
  </si>
  <si>
    <t>CUST6327</t>
  </si>
  <si>
    <t>ORD00244</t>
  </si>
  <si>
    <t>2025-07-26</t>
  </si>
  <si>
    <t>CUST3041</t>
  </si>
  <si>
    <t>ORD00245</t>
  </si>
  <si>
    <t>CUST3761</t>
  </si>
  <si>
    <t>ORD00246</t>
  </si>
  <si>
    <t>2024-02-20</t>
  </si>
  <si>
    <t>CUST2978</t>
  </si>
  <si>
    <t>ORD00247</t>
  </si>
  <si>
    <t>2024-01-24</t>
  </si>
  <si>
    <t>CUST5570</t>
  </si>
  <si>
    <t>ORD00248</t>
  </si>
  <si>
    <t>2025-10-26</t>
  </si>
  <si>
    <t>CUST3197</t>
  </si>
  <si>
    <t>ORD00249</t>
  </si>
  <si>
    <t>2024-09-01</t>
  </si>
  <si>
    <t>CUST1963</t>
  </si>
  <si>
    <t>ORD00250</t>
  </si>
  <si>
    <t>2025-01-05</t>
  </si>
  <si>
    <t>CUST2068</t>
  </si>
  <si>
    <t>ORD00251</t>
  </si>
  <si>
    <t>2025-07-30</t>
  </si>
  <si>
    <t>CUST1164</t>
  </si>
  <si>
    <t>ORD00252</t>
  </si>
  <si>
    <t>2025-01-04</t>
  </si>
  <si>
    <t>CUST4414</t>
  </si>
  <si>
    <t>ORD00253</t>
  </si>
  <si>
    <t>2024-03-26</t>
  </si>
  <si>
    <t>CUST7141</t>
  </si>
  <si>
    <t>ORD00254</t>
  </si>
  <si>
    <t>2024-12-19</t>
  </si>
  <si>
    <t>CUST8898</t>
  </si>
  <si>
    <t>ORD00255</t>
  </si>
  <si>
    <t>2024-03-07</t>
  </si>
  <si>
    <t>CUST9441</t>
  </si>
  <si>
    <t>ORD00256</t>
  </si>
  <si>
    <t>2025-05-28</t>
  </si>
  <si>
    <t>CUST3937</t>
  </si>
  <si>
    <t>ORD00257</t>
  </si>
  <si>
    <t>CUST9875</t>
  </si>
  <si>
    <t>ORD00258</t>
  </si>
  <si>
    <t>2025-03-09</t>
  </si>
  <si>
    <t>CUST9687</t>
  </si>
  <si>
    <t>ORD00259</t>
  </si>
  <si>
    <t>2024-12-13</t>
  </si>
  <si>
    <t>CUST3084</t>
  </si>
  <si>
    <t>ORD00260</t>
  </si>
  <si>
    <t>CUST2341</t>
  </si>
  <si>
    <t>ORD00261</t>
  </si>
  <si>
    <t>2025-12-22</t>
  </si>
  <si>
    <t>CUST7262</t>
  </si>
  <si>
    <t>ORD00262</t>
  </si>
  <si>
    <t>2025-05-14</t>
  </si>
  <si>
    <t>CUST4604</t>
  </si>
  <si>
    <t>ORD00263</t>
  </si>
  <si>
    <t>CUST4206</t>
  </si>
  <si>
    <t>ORD00264</t>
  </si>
  <si>
    <t>2025-08-08</t>
  </si>
  <si>
    <t>CUST2376</t>
  </si>
  <si>
    <t>ORD00265</t>
  </si>
  <si>
    <t>2025-05-01</t>
  </si>
  <si>
    <t>CUST5255</t>
  </si>
  <si>
    <t>ORD00266</t>
  </si>
  <si>
    <t>CUST4150</t>
  </si>
  <si>
    <t>ORD00267</t>
  </si>
  <si>
    <t>2024-11-18</t>
  </si>
  <si>
    <t>CUST9387</t>
  </si>
  <si>
    <t>ORD00268</t>
  </si>
  <si>
    <t>2024-08-29</t>
  </si>
  <si>
    <t>CUST3921</t>
  </si>
  <si>
    <t>ORD00269</t>
  </si>
  <si>
    <t>2024-11-13</t>
  </si>
  <si>
    <t>CUST7985</t>
  </si>
  <si>
    <t>ORD00270</t>
  </si>
  <si>
    <t>2024-11-08</t>
  </si>
  <si>
    <t>CUST8719</t>
  </si>
  <si>
    <t>ORD00271</t>
  </si>
  <si>
    <t>2025-02-25</t>
  </si>
  <si>
    <t>CUST8580</t>
  </si>
  <si>
    <t>ORD00272</t>
  </si>
  <si>
    <t>2025-02-05</t>
  </si>
  <si>
    <t>CUST7950</t>
  </si>
  <si>
    <t>ORD00273</t>
  </si>
  <si>
    <t>CUST5256</t>
  </si>
  <si>
    <t>ORD00274</t>
  </si>
  <si>
    <t>CUST6588</t>
  </si>
  <si>
    <t>ORD00275</t>
  </si>
  <si>
    <t>CUST2371</t>
  </si>
  <si>
    <t>ORD00276</t>
  </si>
  <si>
    <t>2025-06-21</t>
  </si>
  <si>
    <t>CUST2691</t>
  </si>
  <si>
    <t>ORD00277</t>
  </si>
  <si>
    <t>CUST9408</t>
  </si>
  <si>
    <t>ORD00278</t>
  </si>
  <si>
    <t>2025-11-08</t>
  </si>
  <si>
    <t>CUST1254</t>
  </si>
  <si>
    <t>ORD00279</t>
  </si>
  <si>
    <t>2024-04-06</t>
  </si>
  <si>
    <t>CUST4282</t>
  </si>
  <si>
    <t>ORD00280</t>
  </si>
  <si>
    <t>2024-02-17</t>
  </si>
  <si>
    <t>CUST5623</t>
  </si>
  <si>
    <t>ORD00281</t>
  </si>
  <si>
    <t>2024-04-10</t>
  </si>
  <si>
    <t>CUST9995</t>
  </si>
  <si>
    <t>ORD00282</t>
  </si>
  <si>
    <t>CUST1673</t>
  </si>
  <si>
    <t>ORD00283</t>
  </si>
  <si>
    <t>2024-01-28</t>
  </si>
  <si>
    <t>CUST5637</t>
  </si>
  <si>
    <t>ORD00284</t>
  </si>
  <si>
    <t>CUST7418</t>
  </si>
  <si>
    <t>ORD00285</t>
  </si>
  <si>
    <t>CUST1279</t>
  </si>
  <si>
    <t>ORD00286</t>
  </si>
  <si>
    <t>CUST5231</t>
  </si>
  <si>
    <t>ORD00287</t>
  </si>
  <si>
    <t>CUST4748</t>
  </si>
  <si>
    <t>ORD00288</t>
  </si>
  <si>
    <t>2024-11-24</t>
  </si>
  <si>
    <t>CUST9121</t>
  </si>
  <si>
    <t>ORD00289</t>
  </si>
  <si>
    <t>2025-12-08</t>
  </si>
  <si>
    <t>CUST2307</t>
  </si>
  <si>
    <t>ORD00290</t>
  </si>
  <si>
    <t>CUST4992</t>
  </si>
  <si>
    <t>ORD00291</t>
  </si>
  <si>
    <t>2024-01-07</t>
  </si>
  <si>
    <t>CUST1411</t>
  </si>
  <si>
    <t>ORD00292</t>
  </si>
  <si>
    <t>CUST6053</t>
  </si>
  <si>
    <t>ORD00293</t>
  </si>
  <si>
    <t>CUST9399</t>
  </si>
  <si>
    <t>ORD00294</t>
  </si>
  <si>
    <t>CUST4883</t>
  </si>
  <si>
    <t>ORD00295</t>
  </si>
  <si>
    <t>2024-07-23</t>
  </si>
  <si>
    <t>CUST6417</t>
  </si>
  <si>
    <t>ORD00296</t>
  </si>
  <si>
    <t>CUST7966</t>
  </si>
  <si>
    <t>ORD00297</t>
  </si>
  <si>
    <t>2025-05-04</t>
  </si>
  <si>
    <t>CUST3215</t>
  </si>
  <si>
    <t>ORD00298</t>
  </si>
  <si>
    <t>2025-05-20</t>
  </si>
  <si>
    <t>CUST6514</t>
  </si>
  <si>
    <t>ORD00299</t>
  </si>
  <si>
    <t>2025-01-25</t>
  </si>
  <si>
    <t>CUST9468</t>
  </si>
  <si>
    <t>ORD00300</t>
  </si>
  <si>
    <t>2024-05-27</t>
  </si>
  <si>
    <t>CUST5184</t>
  </si>
  <si>
    <t>ORD00301</t>
  </si>
  <si>
    <t>2025-05-09</t>
  </si>
  <si>
    <t>CUST8124</t>
  </si>
  <si>
    <t>ORD00302</t>
  </si>
  <si>
    <t>CUST2010</t>
  </si>
  <si>
    <t>ORD00303</t>
  </si>
  <si>
    <t>2024-04-03</t>
  </si>
  <si>
    <t>CUST3361</t>
  </si>
  <si>
    <t>ORD00304</t>
  </si>
  <si>
    <t>2024-02-11</t>
  </si>
  <si>
    <t>CUST9771</t>
  </si>
  <si>
    <t>ORD00305</t>
  </si>
  <si>
    <t>2025-07-16</t>
  </si>
  <si>
    <t>CUST3508</t>
  </si>
  <si>
    <t>ORD00306</t>
  </si>
  <si>
    <t>2025-04-27</t>
  </si>
  <si>
    <t>CUST2024</t>
  </si>
  <si>
    <t>ORD00307</t>
  </si>
  <si>
    <t>CUST7334</t>
  </si>
  <si>
    <t>ORD00308</t>
  </si>
  <si>
    <t>2025-07-09</t>
  </si>
  <si>
    <t>CUST8388</t>
  </si>
  <si>
    <t>ORD00309</t>
  </si>
  <si>
    <t>2025-12-05</t>
  </si>
  <si>
    <t>CUST3724</t>
  </si>
  <si>
    <t>ORD00310</t>
  </si>
  <si>
    <t>CUST6204</t>
  </si>
  <si>
    <t>ORD00311</t>
  </si>
  <si>
    <t>2024-05-29</t>
  </si>
  <si>
    <t>CUST2109</t>
  </si>
  <si>
    <t>ORD00312</t>
  </si>
  <si>
    <t>2025-02-23</t>
  </si>
  <si>
    <t>CUST3744</t>
  </si>
  <si>
    <t>ORD00313</t>
  </si>
  <si>
    <t>CUST5204</t>
  </si>
  <si>
    <t>ORD00314</t>
  </si>
  <si>
    <t>2024-07-26</t>
  </si>
  <si>
    <t>CUST2989</t>
  </si>
  <si>
    <t>ORD00315</t>
  </si>
  <si>
    <t>CUST1924</t>
  </si>
  <si>
    <t>ORD00316</t>
  </si>
  <si>
    <t>2024-12-04</t>
  </si>
  <si>
    <t>CUST7746</t>
  </si>
  <si>
    <t>ORD00317</t>
  </si>
  <si>
    <t>CUST7569</t>
  </si>
  <si>
    <t>ORD00318</t>
  </si>
  <si>
    <t>2025-04-24</t>
  </si>
  <si>
    <t>CUST8886</t>
  </si>
  <si>
    <t>ORD00319</t>
  </si>
  <si>
    <t>CUST1888</t>
  </si>
  <si>
    <t>ORD00320</t>
  </si>
  <si>
    <t>CUST2992</t>
  </si>
  <si>
    <t>ORD00321</t>
  </si>
  <si>
    <t>2025-09-25</t>
  </si>
  <si>
    <t>CUST7432</t>
  </si>
  <si>
    <t>ORD00322</t>
  </si>
  <si>
    <t>CUST2747</t>
  </si>
  <si>
    <t>ORD00323</t>
  </si>
  <si>
    <t>2024-10-09</t>
  </si>
  <si>
    <t>CUST6704</t>
  </si>
  <si>
    <t>ORD00324</t>
  </si>
  <si>
    <t>2025-01-30</t>
  </si>
  <si>
    <t>CUST3654</t>
  </si>
  <si>
    <t>ORD00325</t>
  </si>
  <si>
    <t>2025-01-16</t>
  </si>
  <si>
    <t>CUST8831</t>
  </si>
  <si>
    <t>ORD00326</t>
  </si>
  <si>
    <t>2025-12-11</t>
  </si>
  <si>
    <t>CUST3066</t>
  </si>
  <si>
    <t>ORD00327</t>
  </si>
  <si>
    <t>2024-09-12</t>
  </si>
  <si>
    <t>CUST7214</t>
  </si>
  <si>
    <t>ORD00328</t>
  </si>
  <si>
    <t>CUST9240</t>
  </si>
  <si>
    <t>ORD00329</t>
  </si>
  <si>
    <t>CUST4996</t>
  </si>
  <si>
    <t>ORD00330</t>
  </si>
  <si>
    <t>CUST8716</t>
  </si>
  <si>
    <t>ORD00331</t>
  </si>
  <si>
    <t>CUST8077</t>
  </si>
  <si>
    <t>ORD00332</t>
  </si>
  <si>
    <t>CUST6464</t>
  </si>
  <si>
    <t>ORD00333</t>
  </si>
  <si>
    <t>2024-07-04</t>
  </si>
  <si>
    <t>CUST1144</t>
  </si>
  <si>
    <t>ORD00334</t>
  </si>
  <si>
    <t>2025-04-11</t>
  </si>
  <si>
    <t>CUST5088</t>
  </si>
  <si>
    <t>ORD00335</t>
  </si>
  <si>
    <t>2024-07-05</t>
  </si>
  <si>
    <t>CUST2668</t>
  </si>
  <si>
    <t>ORD00336</t>
  </si>
  <si>
    <t>2024-03-15</t>
  </si>
  <si>
    <t>CUST7661</t>
  </si>
  <si>
    <t>ORD00337</t>
  </si>
  <si>
    <t>2025-03-18</t>
  </si>
  <si>
    <t>CUST5177</t>
  </si>
  <si>
    <t>ORD00338</t>
  </si>
  <si>
    <t>2025-07-01</t>
  </si>
  <si>
    <t>CUST5096</t>
  </si>
  <si>
    <t>ORD00339</t>
  </si>
  <si>
    <t>2024-02-06</t>
  </si>
  <si>
    <t>CUST1024</t>
  </si>
  <si>
    <t>ORD00340</t>
  </si>
  <si>
    <t>2024-06-08</t>
  </si>
  <si>
    <t>CUST5503</t>
  </si>
  <si>
    <t>ORD00341</t>
  </si>
  <si>
    <t>2025-03-31</t>
  </si>
  <si>
    <t>CUST9351</t>
  </si>
  <si>
    <t>ORD00342</t>
  </si>
  <si>
    <t>2024-10-10</t>
  </si>
  <si>
    <t>CUST6948</t>
  </si>
  <si>
    <t>ORD00343</t>
  </si>
  <si>
    <t>2024-04-17</t>
  </si>
  <si>
    <t>CUST7735</t>
  </si>
  <si>
    <t>ORD00344</t>
  </si>
  <si>
    <t>2025-06-11</t>
  </si>
  <si>
    <t>CUST5688</t>
  </si>
  <si>
    <t>ORD00345</t>
  </si>
  <si>
    <t>CUST6995</t>
  </si>
  <si>
    <t>ORD00346</t>
  </si>
  <si>
    <t>2024-02-03</t>
  </si>
  <si>
    <t>CUST8668</t>
  </si>
  <si>
    <t>ORD00347</t>
  </si>
  <si>
    <t>CUST8260</t>
  </si>
  <si>
    <t>ORD00348</t>
  </si>
  <si>
    <t>2024-01-08</t>
  </si>
  <si>
    <t>CUST7037</t>
  </si>
  <si>
    <t>ORD00349</t>
  </si>
  <si>
    <t>2024-02-05</t>
  </si>
  <si>
    <t>CUST2875</t>
  </si>
  <si>
    <t>ORD00350</t>
  </si>
  <si>
    <t>CUST5356</t>
  </si>
  <si>
    <t>ORD00351</t>
  </si>
  <si>
    <t>2024-01-11</t>
  </si>
  <si>
    <t>CUST4943</t>
  </si>
  <si>
    <t>ORD00352</t>
  </si>
  <si>
    <t>CUST9079</t>
  </si>
  <si>
    <t>ORD00353</t>
  </si>
  <si>
    <t>CUST5212</t>
  </si>
  <si>
    <t>ORD00354</t>
  </si>
  <si>
    <t>2024-10-17</t>
  </si>
  <si>
    <t>CUST5376</t>
  </si>
  <si>
    <t>ORD00355</t>
  </si>
  <si>
    <t>2024-10-15</t>
  </si>
  <si>
    <t>CUST8703</t>
  </si>
  <si>
    <t>ORD00356</t>
  </si>
  <si>
    <t>2025-09-24</t>
  </si>
  <si>
    <t>CUST9638</t>
  </si>
  <si>
    <t>ORD00357</t>
  </si>
  <si>
    <t>2025-06-07</t>
  </si>
  <si>
    <t>CUST8308</t>
  </si>
  <si>
    <t>ORD00358</t>
  </si>
  <si>
    <t>CUST3339</t>
  </si>
  <si>
    <t>ORD00359</t>
  </si>
  <si>
    <t>2025-05-30</t>
  </si>
  <si>
    <t>CUST7494</t>
  </si>
  <si>
    <t>ORD00360</t>
  </si>
  <si>
    <t>CUST5412</t>
  </si>
  <si>
    <t>ORD00361</t>
  </si>
  <si>
    <t>2025-08-14</t>
  </si>
  <si>
    <t>CUST6950</t>
  </si>
  <si>
    <t>ORD00362</t>
  </si>
  <si>
    <t>2025-12-21</t>
  </si>
  <si>
    <t>CUST1378</t>
  </si>
  <si>
    <t>ORD00363</t>
  </si>
  <si>
    <t>2024-07-06</t>
  </si>
  <si>
    <t>CUST2581</t>
  </si>
  <si>
    <t>ORD00364</t>
  </si>
  <si>
    <t>CUST8233</t>
  </si>
  <si>
    <t>ORD00365</t>
  </si>
  <si>
    <t>ORD00366</t>
  </si>
  <si>
    <t>2025-09-07</t>
  </si>
  <si>
    <t>CUST3262</t>
  </si>
  <si>
    <t>ORD00367</t>
  </si>
  <si>
    <t>2024-11-07</t>
  </si>
  <si>
    <t>CUST6470</t>
  </si>
  <si>
    <t>ORD00368</t>
  </si>
  <si>
    <t>CUST3515</t>
  </si>
  <si>
    <t>ORD00369</t>
  </si>
  <si>
    <t>2025-02-04</t>
  </si>
  <si>
    <t>CUST5500</t>
  </si>
  <si>
    <t>ORD00370</t>
  </si>
  <si>
    <t>2024-07-13</t>
  </si>
  <si>
    <t>CUST2580</t>
  </si>
  <si>
    <t>ORD00371</t>
  </si>
  <si>
    <t>2024-10-11</t>
  </si>
  <si>
    <t>CUST9680</t>
  </si>
  <si>
    <t>ORD00372</t>
  </si>
  <si>
    <t>CUST2558</t>
  </si>
  <si>
    <t>ORD00373</t>
  </si>
  <si>
    <t>2024-03-03</t>
  </si>
  <si>
    <t>CUST7171</t>
  </si>
  <si>
    <t>ORD00374</t>
  </si>
  <si>
    <t>ORD00375</t>
  </si>
  <si>
    <t>CUST9213</t>
  </si>
  <si>
    <t>ORD00376</t>
  </si>
  <si>
    <t>2024-09-19</t>
  </si>
  <si>
    <t>CUST7268</t>
  </si>
  <si>
    <t>ORD00377</t>
  </si>
  <si>
    <t>2025-03-20</t>
  </si>
  <si>
    <t>CUST2730</t>
  </si>
  <si>
    <t>ORD00378</t>
  </si>
  <si>
    <t>2024-05-30</t>
  </si>
  <si>
    <t>CUST6560</t>
  </si>
  <si>
    <t>ORD00379</t>
  </si>
  <si>
    <t>CUST2090</t>
  </si>
  <si>
    <t>ORD00380</t>
  </si>
  <si>
    <t>2025-09-26</t>
  </si>
  <si>
    <t>CUST9733</t>
  </si>
  <si>
    <t>ORD00381</t>
  </si>
  <si>
    <t>2024-10-07</t>
  </si>
  <si>
    <t>CUST2072</t>
  </si>
  <si>
    <t>ORD00382</t>
  </si>
  <si>
    <t>2025-11-16</t>
  </si>
  <si>
    <t>CUST8593</t>
  </si>
  <si>
    <t>ORD00383</t>
  </si>
  <si>
    <t>2025-02-24</t>
  </si>
  <si>
    <t>CUST8503</t>
  </si>
  <si>
    <t>ORD00384</t>
  </si>
  <si>
    <t>2024-08-09</t>
  </si>
  <si>
    <t>CUST9788</t>
  </si>
  <si>
    <t>ORD00385</t>
  </si>
  <si>
    <t>CUST5964</t>
  </si>
  <si>
    <t>ORD00386</t>
  </si>
  <si>
    <t>2024-10-18</t>
  </si>
  <si>
    <t>CUST9234</t>
  </si>
  <si>
    <t>ORD00387</t>
  </si>
  <si>
    <t>2024-06-26</t>
  </si>
  <si>
    <t>ORD00388</t>
  </si>
  <si>
    <t>2025-07-14</t>
  </si>
  <si>
    <t>CUST9075</t>
  </si>
  <si>
    <t>ORD00389</t>
  </si>
  <si>
    <t>CUST5468</t>
  </si>
  <si>
    <t>ORD00390</t>
  </si>
  <si>
    <t>2024-05-22</t>
  </si>
  <si>
    <t>CUST8213</t>
  </si>
  <si>
    <t>ORD00391</t>
  </si>
  <si>
    <t>2024-01-10</t>
  </si>
  <si>
    <t>CUST1110</t>
  </si>
  <si>
    <t>ORD00392</t>
  </si>
  <si>
    <t>2024-12-17</t>
  </si>
  <si>
    <t>CUST7519</t>
  </si>
  <si>
    <t>ORD00393</t>
  </si>
  <si>
    <t>2024-08-12</t>
  </si>
  <si>
    <t>CUST2705</t>
  </si>
  <si>
    <t>ORD00394</t>
  </si>
  <si>
    <t>2025-04-22</t>
  </si>
  <si>
    <t>CUST6814</t>
  </si>
  <si>
    <t>ORD00395</t>
  </si>
  <si>
    <t>2024-12-10</t>
  </si>
  <si>
    <t>CUST3641</t>
  </si>
  <si>
    <t>ORD00396</t>
  </si>
  <si>
    <t>2025-03-14</t>
  </si>
  <si>
    <t>CUST7662</t>
  </si>
  <si>
    <t>ORD00397</t>
  </si>
  <si>
    <t>CUST2619</t>
  </si>
  <si>
    <t>ORD00398</t>
  </si>
  <si>
    <t>CUST8296</t>
  </si>
  <si>
    <t>ORD00399</t>
  </si>
  <si>
    <t>2025-08-07</t>
  </si>
  <si>
    <t>CUST6412</t>
  </si>
  <si>
    <t>ORD00400</t>
  </si>
  <si>
    <t>2025-10-27</t>
  </si>
  <si>
    <t>CUST9797</t>
  </si>
  <si>
    <t>ORD00401</t>
  </si>
  <si>
    <t>2025-04-26</t>
  </si>
  <si>
    <t>CUST1975</t>
  </si>
  <si>
    <t>ORD00402</t>
  </si>
  <si>
    <t>CUST2234</t>
  </si>
  <si>
    <t>ORD00403</t>
  </si>
  <si>
    <t>2024-08-26</t>
  </si>
  <si>
    <t>CUST5300</t>
  </si>
  <si>
    <t>ORD00404</t>
  </si>
  <si>
    <t>CUST2182</t>
  </si>
  <si>
    <t>ORD00405</t>
  </si>
  <si>
    <t>2024-07-17</t>
  </si>
  <si>
    <t>CUST6617</t>
  </si>
  <si>
    <t>ORD00406</t>
  </si>
  <si>
    <t>CUST8317</t>
  </si>
  <si>
    <t>ORD00407</t>
  </si>
  <si>
    <t>CUST7532</t>
  </si>
  <si>
    <t>ORD00408</t>
  </si>
  <si>
    <t>2024-07-14</t>
  </si>
  <si>
    <t>CUST4385</t>
  </si>
  <si>
    <t>ORD00409</t>
  </si>
  <si>
    <t>CUST2762</t>
  </si>
  <si>
    <t>ORD00410</t>
  </si>
  <si>
    <t>2024-01-25</t>
  </si>
  <si>
    <t>CUST8654</t>
  </si>
  <si>
    <t>ORD00411</t>
  </si>
  <si>
    <t>CUST1292</t>
  </si>
  <si>
    <t>ORD00412</t>
  </si>
  <si>
    <t>2025-04-21</t>
  </si>
  <si>
    <t>CUST1131</t>
  </si>
  <si>
    <t>ORD00413</t>
  </si>
  <si>
    <t>CUST3791</t>
  </si>
  <si>
    <t>ORD00414</t>
  </si>
  <si>
    <t>CUST9650</t>
  </si>
  <si>
    <t>ORD00415</t>
  </si>
  <si>
    <t>CUST6978</t>
  </si>
  <si>
    <t>ORD00416</t>
  </si>
  <si>
    <t>2024-12-20</t>
  </si>
  <si>
    <t>CUST4181</t>
  </si>
  <si>
    <t>ORD00417</t>
  </si>
  <si>
    <t>CUST6139</t>
  </si>
  <si>
    <t>ORD00418</t>
  </si>
  <si>
    <t>2025-06-27</t>
  </si>
  <si>
    <t>CUST8200</t>
  </si>
  <si>
    <t>ORD00419</t>
  </si>
  <si>
    <t>CUST5526</t>
  </si>
  <si>
    <t>ORD00420</t>
  </si>
  <si>
    <t>CUST8248</t>
  </si>
  <si>
    <t>ORD00421</t>
  </si>
  <si>
    <t>2025-07-12</t>
  </si>
  <si>
    <t>CUST7476</t>
  </si>
  <si>
    <t>ORD00422</t>
  </si>
  <si>
    <t>2025-03-06</t>
  </si>
  <si>
    <t>CUST3754</t>
  </si>
  <si>
    <t>ORD00423</t>
  </si>
  <si>
    <t>2024-10-20</t>
  </si>
  <si>
    <t>CUST9651</t>
  </si>
  <si>
    <t>ORD00424</t>
  </si>
  <si>
    <t>CUST4449</t>
  </si>
  <si>
    <t>ORD00425</t>
  </si>
  <si>
    <t>ORD00426</t>
  </si>
  <si>
    <t>CUST5707</t>
  </si>
  <si>
    <t>ORD00427</t>
  </si>
  <si>
    <t>CUST3395</t>
  </si>
  <si>
    <t>ORD00428</t>
  </si>
  <si>
    <t>CUST6268</t>
  </si>
  <si>
    <t>ORD00429</t>
  </si>
  <si>
    <t>CUST4052</t>
  </si>
  <si>
    <t>ORD00430</t>
  </si>
  <si>
    <t>2024-12-22</t>
  </si>
  <si>
    <t>CUST9222</t>
  </si>
  <si>
    <t>ORD00431</t>
  </si>
  <si>
    <t>2025-10-16</t>
  </si>
  <si>
    <t>CUST8982</t>
  </si>
  <si>
    <t>ORD00432</t>
  </si>
  <si>
    <t>CUST9992</t>
  </si>
  <si>
    <t>ORD00433</t>
  </si>
  <si>
    <t>2024-06-09</t>
  </si>
  <si>
    <t>CUST5713</t>
  </si>
  <si>
    <t>ORD00434</t>
  </si>
  <si>
    <t>2025-12-25</t>
  </si>
  <si>
    <t>CUST3652</t>
  </si>
  <si>
    <t>ORD00435</t>
  </si>
  <si>
    <t>2025-01-07</t>
  </si>
  <si>
    <t>CUST4594</t>
  </si>
  <si>
    <t>ORD00436</t>
  </si>
  <si>
    <t>CUST5059</t>
  </si>
  <si>
    <t>ORD00437</t>
  </si>
  <si>
    <t>2025-05-15</t>
  </si>
  <si>
    <t>CUST9133</t>
  </si>
  <si>
    <t>ORD00438</t>
  </si>
  <si>
    <t>2025-06-10</t>
  </si>
  <si>
    <t>CUST4152</t>
  </si>
  <si>
    <t>ORD00439</t>
  </si>
  <si>
    <t>2025-11-11</t>
  </si>
  <si>
    <t>ORD00440</t>
  </si>
  <si>
    <t>2024-08-10</t>
  </si>
  <si>
    <t>CUST6641</t>
  </si>
  <si>
    <t>ORD00441</t>
  </si>
  <si>
    <t>CUST9517</t>
  </si>
  <si>
    <t>ORD00442</t>
  </si>
  <si>
    <t>CUST2953</t>
  </si>
  <si>
    <t>ORD00443</t>
  </si>
  <si>
    <t>CUST3034</t>
  </si>
  <si>
    <t>ORD00444</t>
  </si>
  <si>
    <t>CUST5842</t>
  </si>
  <si>
    <t>ORD00445</t>
  </si>
  <si>
    <t>2025-06-16</t>
  </si>
  <si>
    <t>CUST6073</t>
  </si>
  <si>
    <t>ORD00446</t>
  </si>
  <si>
    <t>2025-12-24</t>
  </si>
  <si>
    <t>CUST9969</t>
  </si>
  <si>
    <t>ORD00447</t>
  </si>
  <si>
    <t>CUST6884</t>
  </si>
  <si>
    <t>ORD00448</t>
  </si>
  <si>
    <t>2025-05-21</t>
  </si>
  <si>
    <t>CUST4444</t>
  </si>
  <si>
    <t>ORD00449</t>
  </si>
  <si>
    <t>2024-04-24</t>
  </si>
  <si>
    <t>CUST3291</t>
  </si>
  <si>
    <t>ORD00450</t>
  </si>
  <si>
    <t>2025-10-09</t>
  </si>
  <si>
    <t>CUST7272</t>
  </si>
  <si>
    <t>ORD00451</t>
  </si>
  <si>
    <t>CUST1157</t>
  </si>
  <si>
    <t>ORD00452</t>
  </si>
  <si>
    <t>CUST1760</t>
  </si>
  <si>
    <t>ORD00453</t>
  </si>
  <si>
    <t>2024-09-16</t>
  </si>
  <si>
    <t>CUST8320</t>
  </si>
  <si>
    <t>ORD00454</t>
  </si>
  <si>
    <t>CUST4763</t>
  </si>
  <si>
    <t>ORD00455</t>
  </si>
  <si>
    <t>2025-02-06</t>
  </si>
  <si>
    <t>CUST8529</t>
  </si>
  <si>
    <t>ORD00456</t>
  </si>
  <si>
    <t>CUST8699</t>
  </si>
  <si>
    <t>ORD00457</t>
  </si>
  <si>
    <t>CUST5898</t>
  </si>
  <si>
    <t>ORD00458</t>
  </si>
  <si>
    <t>2025-07-17</t>
  </si>
  <si>
    <t>CUST5392</t>
  </si>
  <si>
    <t>ORD00459</t>
  </si>
  <si>
    <t>CUST9326</t>
  </si>
  <si>
    <t>ORD00460</t>
  </si>
  <si>
    <t>2025-07-15</t>
  </si>
  <si>
    <t>CUST6134</t>
  </si>
  <si>
    <t>ORD00461</t>
  </si>
  <si>
    <t>CUST3600</t>
  </si>
  <si>
    <t>ORD00462</t>
  </si>
  <si>
    <t>2024-06-21</t>
  </si>
  <si>
    <t>CUST6756</t>
  </si>
  <si>
    <t>ORD00463</t>
  </si>
  <si>
    <t>2024-05-14</t>
  </si>
  <si>
    <t>CUST1709</t>
  </si>
  <si>
    <t>ORD00464</t>
  </si>
  <si>
    <t>2024-05-10</t>
  </si>
  <si>
    <t>CUST1733</t>
  </si>
  <si>
    <t>ORD00465</t>
  </si>
  <si>
    <t>CUST1107</t>
  </si>
  <si>
    <t>ORD00466</t>
  </si>
  <si>
    <t>2024-04-30</t>
  </si>
  <si>
    <t>CUST2143</t>
  </si>
  <si>
    <t>ORD00467</t>
  </si>
  <si>
    <t>2024-02-26</t>
  </si>
  <si>
    <t>CUST6903</t>
  </si>
  <si>
    <t>ORD00468</t>
  </si>
  <si>
    <t>CUST5632</t>
  </si>
  <si>
    <t>ORD00469</t>
  </si>
  <si>
    <t>CUST6447</t>
  </si>
  <si>
    <t>ORD00470</t>
  </si>
  <si>
    <t>2024-10-30</t>
  </si>
  <si>
    <t>CUST7242</t>
  </si>
  <si>
    <t>ORD00471</t>
  </si>
  <si>
    <t>2025-11-24</t>
  </si>
  <si>
    <t>CUST7587</t>
  </si>
  <si>
    <t>ORD00472</t>
  </si>
  <si>
    <t>CUST5756</t>
  </si>
  <si>
    <t>ORD00473</t>
  </si>
  <si>
    <t>CUST7000</t>
  </si>
  <si>
    <t>ORD00474</t>
  </si>
  <si>
    <t>2025-01-09</t>
  </si>
  <si>
    <t>CUST9270</t>
  </si>
  <si>
    <t>ORD00475</t>
  </si>
  <si>
    <t>2025-09-16</t>
  </si>
  <si>
    <t>CUST6818</t>
  </si>
  <si>
    <t>ORD00476</t>
  </si>
  <si>
    <t>2024-09-03</t>
  </si>
  <si>
    <t>CUST9485</t>
  </si>
  <si>
    <t>ORD00477</t>
  </si>
  <si>
    <t>2024-12-16</t>
  </si>
  <si>
    <t>CUST7964</t>
  </si>
  <si>
    <t>ORD00478</t>
  </si>
  <si>
    <t>CUST8205</t>
  </si>
  <si>
    <t>ORD00479</t>
  </si>
  <si>
    <t>2024-07-16</t>
  </si>
  <si>
    <t>CUST5684</t>
  </si>
  <si>
    <t>ORD00480</t>
  </si>
  <si>
    <t>CUST2312</t>
  </si>
  <si>
    <t>ORD00481</t>
  </si>
  <si>
    <t>CUST9244</t>
  </si>
  <si>
    <t>ORD00482</t>
  </si>
  <si>
    <t>2024-12-18</t>
  </si>
  <si>
    <t>ORD00483</t>
  </si>
  <si>
    <t>CUST3237</t>
  </si>
  <si>
    <t>ORD00484</t>
  </si>
  <si>
    <t>CUST3022</t>
  </si>
  <si>
    <t>ORD00485</t>
  </si>
  <si>
    <t>CUST5045</t>
  </si>
  <si>
    <t>ORD00486</t>
  </si>
  <si>
    <t>2024-03-27</t>
  </si>
  <si>
    <t>CUST9370</t>
  </si>
  <si>
    <t>ORD00487</t>
  </si>
  <si>
    <t>2024-02-24</t>
  </si>
  <si>
    <t>CUST2765</t>
  </si>
  <si>
    <t>ORD00488</t>
  </si>
  <si>
    <t>CUST9395</t>
  </si>
  <si>
    <t>ORD00489</t>
  </si>
  <si>
    <t>CUST9310</t>
  </si>
  <si>
    <t>ORD00490</t>
  </si>
  <si>
    <t>ORD00491</t>
  </si>
  <si>
    <t>CUST7820</t>
  </si>
  <si>
    <t>ORD00492</t>
  </si>
  <si>
    <t>2024-01-02</t>
  </si>
  <si>
    <t>CUST1646</t>
  </si>
  <si>
    <t>ORD00493</t>
  </si>
  <si>
    <t>CUST4757</t>
  </si>
  <si>
    <t>ORD00494</t>
  </si>
  <si>
    <t>CUST2831</t>
  </si>
  <si>
    <t>ORD00495</t>
  </si>
  <si>
    <t>2025-08-12</t>
  </si>
  <si>
    <t>CUST3777</t>
  </si>
  <si>
    <t>ORD00496</t>
  </si>
  <si>
    <t>2025-05-12</t>
  </si>
  <si>
    <t>CUST1122</t>
  </si>
  <si>
    <t>ORD00497</t>
  </si>
  <si>
    <t>2025-03-13</t>
  </si>
  <si>
    <t>CUST7638</t>
  </si>
  <si>
    <t>ORD00498</t>
  </si>
  <si>
    <t>CUST4857</t>
  </si>
  <si>
    <t>ORD00499</t>
  </si>
  <si>
    <t>2024-03-22</t>
  </si>
  <si>
    <t>CUST6054</t>
  </si>
  <si>
    <t>ORD00500</t>
  </si>
  <si>
    <t>2024-02-04</t>
  </si>
  <si>
    <t>ORD00501</t>
  </si>
  <si>
    <t>2024-08-28</t>
  </si>
  <si>
    <t>CUST2996</t>
  </si>
  <si>
    <t>ORD00502</t>
  </si>
  <si>
    <t>2025-03-04</t>
  </si>
  <si>
    <t>CUST3904</t>
  </si>
  <si>
    <t>ORD00503</t>
  </si>
  <si>
    <t>2024-08-04</t>
  </si>
  <si>
    <t>CUST4744</t>
  </si>
  <si>
    <t>ORD00504</t>
  </si>
  <si>
    <t>CUST7938</t>
  </si>
  <si>
    <t>ORD00505</t>
  </si>
  <si>
    <t>2024-08-23</t>
  </si>
  <si>
    <t>CUST3716</t>
  </si>
  <si>
    <t>ORD00506</t>
  </si>
  <si>
    <t>CUST6571</t>
  </si>
  <si>
    <t>ORD00507</t>
  </si>
  <si>
    <t>CUST6050</t>
  </si>
  <si>
    <t>ORD00508</t>
  </si>
  <si>
    <t>CUST9884</t>
  </si>
  <si>
    <t>ORD00509</t>
  </si>
  <si>
    <t>2024-01-21</t>
  </si>
  <si>
    <t>CUST7086</t>
  </si>
  <si>
    <t>ORD00510</t>
  </si>
  <si>
    <t>2025-01-17</t>
  </si>
  <si>
    <t>CUST1482</t>
  </si>
  <si>
    <t>ORD00511</t>
  </si>
  <si>
    <t>CUST2363</t>
  </si>
  <si>
    <t>ORD00512</t>
  </si>
  <si>
    <t>2024-05-07</t>
  </si>
  <si>
    <t>CUST3572</t>
  </si>
  <si>
    <t>ORD00513</t>
  </si>
  <si>
    <t>CUST7121</t>
  </si>
  <si>
    <t>ORD00514</t>
  </si>
  <si>
    <t>2025-09-02</t>
  </si>
  <si>
    <t>CUST7286</t>
  </si>
  <si>
    <t>ORD00515</t>
  </si>
  <si>
    <t>CUST7427</t>
  </si>
  <si>
    <t>ORD00516</t>
  </si>
  <si>
    <t>CUST6421</t>
  </si>
  <si>
    <t>ORD00517</t>
  </si>
  <si>
    <t>2024-03-12</t>
  </si>
  <si>
    <t>CUST9280</t>
  </si>
  <si>
    <t>ORD00518</t>
  </si>
  <si>
    <t>2025-06-18</t>
  </si>
  <si>
    <t>CUST1716</t>
  </si>
  <si>
    <t>ORD00519</t>
  </si>
  <si>
    <t>2025-11-10</t>
  </si>
  <si>
    <t>CUST2362</t>
  </si>
  <si>
    <t>ORD00520</t>
  </si>
  <si>
    <t>2024-11-23</t>
  </si>
  <si>
    <t>CUST2482</t>
  </si>
  <si>
    <t>ORD00521</t>
  </si>
  <si>
    <t>2024-12-31</t>
  </si>
  <si>
    <t>CUST6479</t>
  </si>
  <si>
    <t>ORD00522</t>
  </si>
  <si>
    <t>2024-06-17</t>
  </si>
  <si>
    <t>CUST2313</t>
  </si>
  <si>
    <t>ORD00523</t>
  </si>
  <si>
    <t>CUST7055</t>
  </si>
  <si>
    <t>ORD00524</t>
  </si>
  <si>
    <t>CUST8410</t>
  </si>
  <si>
    <t>ORD00525</t>
  </si>
  <si>
    <t>2025-06-06</t>
  </si>
  <si>
    <t>CUST6866</t>
  </si>
  <si>
    <t>ORD00526</t>
  </si>
  <si>
    <t>CUST8909</t>
  </si>
  <si>
    <t>ORD00527</t>
  </si>
  <si>
    <t>2024-09-24</t>
  </si>
  <si>
    <t>CUST5051</t>
  </si>
  <si>
    <t>ORD00528</t>
  </si>
  <si>
    <t>2024-05-21</t>
  </si>
  <si>
    <t>CUST7895</t>
  </si>
  <si>
    <t>ORD00529</t>
  </si>
  <si>
    <t>2024-06-23</t>
  </si>
  <si>
    <t>CUST4560</t>
  </si>
  <si>
    <t>ORD00530</t>
  </si>
  <si>
    <t>2024-08-21</t>
  </si>
  <si>
    <t>CUST7718</t>
  </si>
  <si>
    <t>ORD00531</t>
  </si>
  <si>
    <t>2024-05-05</t>
  </si>
  <si>
    <t>ORD00532</t>
  </si>
  <si>
    <t>2024-08-14</t>
  </si>
  <si>
    <t>CUST1013</t>
  </si>
  <si>
    <t>ORD00533</t>
  </si>
  <si>
    <t>CUST1872</t>
  </si>
  <si>
    <t>ORD00534</t>
  </si>
  <si>
    <t>ORD00535</t>
  </si>
  <si>
    <t>CUST1902</t>
  </si>
  <si>
    <t>ORD00536</t>
  </si>
  <si>
    <t>CUST8524</t>
  </si>
  <si>
    <t>ORD00537</t>
  </si>
  <si>
    <t>2024-10-24</t>
  </si>
  <si>
    <t>CUST1702</t>
  </si>
  <si>
    <t>ORD00538</t>
  </si>
  <si>
    <t>CUST9949</t>
  </si>
  <si>
    <t>ORD00539</t>
  </si>
  <si>
    <t>2024-12-21</t>
  </si>
  <si>
    <t>CUST2257</t>
  </si>
  <si>
    <t>ORD00540</t>
  </si>
  <si>
    <t>CUST3914</t>
  </si>
  <si>
    <t>ORD00541</t>
  </si>
  <si>
    <t>CUST6080</t>
  </si>
  <si>
    <t>ORD00542</t>
  </si>
  <si>
    <t>2024-11-02</t>
  </si>
  <si>
    <t>ORD00543</t>
  </si>
  <si>
    <t>CUST9300</t>
  </si>
  <si>
    <t>ORD00544</t>
  </si>
  <si>
    <t>2024-08-24</t>
  </si>
  <si>
    <t>CUST2799</t>
  </si>
  <si>
    <t>ORD00545</t>
  </si>
  <si>
    <t>ORD00546</t>
  </si>
  <si>
    <t>CUST6755</t>
  </si>
  <si>
    <t>ORD00547</t>
  </si>
  <si>
    <t>2025-12-27</t>
  </si>
  <si>
    <t>CUST7666</t>
  </si>
  <si>
    <t>ORD00548</t>
  </si>
  <si>
    <t>CUST9583</t>
  </si>
  <si>
    <t>ORD00549</t>
  </si>
  <si>
    <t>CUST6777</t>
  </si>
  <si>
    <t>ORD00550</t>
  </si>
  <si>
    <t>2025-12-03</t>
  </si>
  <si>
    <t>CUST3573</t>
  </si>
  <si>
    <t>ORD00551</t>
  </si>
  <si>
    <t>CUST3715</t>
  </si>
  <si>
    <t>ORD00552</t>
  </si>
  <si>
    <t>2024-07-15</t>
  </si>
  <si>
    <t>CUST1192</t>
  </si>
  <si>
    <t>ORD00553</t>
  </si>
  <si>
    <t>CUST8880</t>
  </si>
  <si>
    <t>ORD00554</t>
  </si>
  <si>
    <t>2024-07-29</t>
  </si>
  <si>
    <t>CUST3030</t>
  </si>
  <si>
    <t>ORD00555</t>
  </si>
  <si>
    <t>2024-01-19</t>
  </si>
  <si>
    <t>CUST1021</t>
  </si>
  <si>
    <t>ORD00556</t>
  </si>
  <si>
    <t>2025-01-14</t>
  </si>
  <si>
    <t>CUST3496</t>
  </si>
  <si>
    <t>ORD00557</t>
  </si>
  <si>
    <t>2024-07-09</t>
  </si>
  <si>
    <t>CUST9032</t>
  </si>
  <si>
    <t>ORD00558</t>
  </si>
  <si>
    <t>CUST3397</t>
  </si>
  <si>
    <t>ORD00559</t>
  </si>
  <si>
    <t>CUST1393</t>
  </si>
  <si>
    <t>ORD00560</t>
  </si>
  <si>
    <t>CUST3331</t>
  </si>
  <si>
    <t>ORD00561</t>
  </si>
  <si>
    <t>2024-04-12</t>
  </si>
  <si>
    <t>CUST7867</t>
  </si>
  <si>
    <t>ORD00562</t>
  </si>
  <si>
    <t>CUST6081</t>
  </si>
  <si>
    <t>ORD00563</t>
  </si>
  <si>
    <t>CUST1451</t>
  </si>
  <si>
    <t>ORD00564</t>
  </si>
  <si>
    <t>CUST2500</t>
  </si>
  <si>
    <t>ORD00565</t>
  </si>
  <si>
    <t>2025-11-12</t>
  </si>
  <si>
    <t>CUST3051</t>
  </si>
  <si>
    <t>ORD00566</t>
  </si>
  <si>
    <t>2024-06-10</t>
  </si>
  <si>
    <t>CUST8268</t>
  </si>
  <si>
    <t>ORD00567</t>
  </si>
  <si>
    <t>CUST1534</t>
  </si>
  <si>
    <t>ORD00568</t>
  </si>
  <si>
    <t>CUST7352</t>
  </si>
  <si>
    <t>ORD00569</t>
  </si>
  <si>
    <t>CUST4529</t>
  </si>
  <si>
    <t>ORD00570</t>
  </si>
  <si>
    <t>CUST7498</t>
  </si>
  <si>
    <t>ORD00571</t>
  </si>
  <si>
    <t>CUST8035</t>
  </si>
  <si>
    <t>ORD00572</t>
  </si>
  <si>
    <t>CUST6797</t>
  </si>
  <si>
    <t>ORD00573</t>
  </si>
  <si>
    <t>CUST6183</t>
  </si>
  <si>
    <t>ORD00574</t>
  </si>
  <si>
    <t>CUST5485</t>
  </si>
  <si>
    <t>ORD00575</t>
  </si>
  <si>
    <t>2024-02-14</t>
  </si>
  <si>
    <t>CUST6216</t>
  </si>
  <si>
    <t>ORD00576</t>
  </si>
  <si>
    <t>CUST7234</t>
  </si>
  <si>
    <t>ORD00577</t>
  </si>
  <si>
    <t>CUST5830</t>
  </si>
  <si>
    <t>ORD00578</t>
  </si>
  <si>
    <t>CUST6426</t>
  </si>
  <si>
    <t>ORD00579</t>
  </si>
  <si>
    <t>2024-06-06</t>
  </si>
  <si>
    <t>CUST3238</t>
  </si>
  <si>
    <t>ORD00580</t>
  </si>
  <si>
    <t>CUST3548</t>
  </si>
  <si>
    <t>ORD00581</t>
  </si>
  <si>
    <t>CUST3443</t>
  </si>
  <si>
    <t>ORD00582</t>
  </si>
  <si>
    <t>2025-01-24</t>
  </si>
  <si>
    <t>CUST8092</t>
  </si>
  <si>
    <t>ORD00583</t>
  </si>
  <si>
    <t>2025-05-03</t>
  </si>
  <si>
    <t>CUST3425</t>
  </si>
  <si>
    <t>ORD00584</t>
  </si>
  <si>
    <t>2024-04-25</t>
  </si>
  <si>
    <t>CUST8526</t>
  </si>
  <si>
    <t>ORD00585</t>
  </si>
  <si>
    <t>CUST6861</t>
  </si>
  <si>
    <t>ORD00586</t>
  </si>
  <si>
    <t>2024-10-23</t>
  </si>
  <si>
    <t>CUST6315</t>
  </si>
  <si>
    <t>ORD00587</t>
  </si>
  <si>
    <t>CUST1132</t>
  </si>
  <si>
    <t>ORD00588</t>
  </si>
  <si>
    <t>CUST4302</t>
  </si>
  <si>
    <t>ORD00589</t>
  </si>
  <si>
    <t>2025-07-21</t>
  </si>
  <si>
    <t>CUST7456</t>
  </si>
  <si>
    <t>ORD00590</t>
  </si>
  <si>
    <t>CUST3638</t>
  </si>
  <si>
    <t>ORD00591</t>
  </si>
  <si>
    <t>2024-10-21</t>
  </si>
  <si>
    <t>CUST5990</t>
  </si>
  <si>
    <t>ORD00592</t>
  </si>
  <si>
    <t>2024-01-29</t>
  </si>
  <si>
    <t>CUST4631</t>
  </si>
  <si>
    <t>ORD00593</t>
  </si>
  <si>
    <t>2024-05-15</t>
  </si>
  <si>
    <t>CUST6827</t>
  </si>
  <si>
    <t>ORD00594</t>
  </si>
  <si>
    <t>2024-08-18</t>
  </si>
  <si>
    <t>CUST5257</t>
  </si>
  <si>
    <t>ORD00595</t>
  </si>
  <si>
    <t>2024-07-24</t>
  </si>
  <si>
    <t>CUST5192</t>
  </si>
  <si>
    <t>ORD00596</t>
  </si>
  <si>
    <t>2025-06-25</t>
  </si>
  <si>
    <t>CUST1185</t>
  </si>
  <si>
    <t>ORD00597</t>
  </si>
  <si>
    <t>ORD00598</t>
  </si>
  <si>
    <t>CUST9124</t>
  </si>
  <si>
    <t>ORD00599</t>
  </si>
  <si>
    <t>2024-02-10</t>
  </si>
  <si>
    <t>CUST6276</t>
  </si>
  <si>
    <t>ORD00600</t>
  </si>
  <si>
    <t>2025-05-17</t>
  </si>
  <si>
    <t>CUST5363</t>
  </si>
  <si>
    <t>ORD00601</t>
  </si>
  <si>
    <t>2025-07-02</t>
  </si>
  <si>
    <t>CUST1089</t>
  </si>
  <si>
    <t>ORD00602</t>
  </si>
  <si>
    <t>CUST9536</t>
  </si>
  <si>
    <t>ORD00603</t>
  </si>
  <si>
    <t>CUST6082</t>
  </si>
  <si>
    <t>ORD00604</t>
  </si>
  <si>
    <t>CUST1554</t>
  </si>
  <si>
    <t>ORD00605</t>
  </si>
  <si>
    <t>2024-02-19</t>
  </si>
  <si>
    <t>ORD00606</t>
  </si>
  <si>
    <t>CUST5875</t>
  </si>
  <si>
    <t>ORD00607</t>
  </si>
  <si>
    <t>2024-02-12</t>
  </si>
  <si>
    <t>CUST6432</t>
  </si>
  <si>
    <t>ORD00608</t>
  </si>
  <si>
    <t>CUST9127</t>
  </si>
  <si>
    <t>ORD00609</t>
  </si>
  <si>
    <t>CUST1835</t>
  </si>
  <si>
    <t>ORD00610</t>
  </si>
  <si>
    <t>2025-11-18</t>
  </si>
  <si>
    <t>CUST4988</t>
  </si>
  <si>
    <t>ORD00611</t>
  </si>
  <si>
    <t>CUST1881</t>
  </si>
  <si>
    <t>ORD00612</t>
  </si>
  <si>
    <t>2024-04-23</t>
  </si>
  <si>
    <t>CUST6422</t>
  </si>
  <si>
    <t>ORD00613</t>
  </si>
  <si>
    <t>2025-06-26</t>
  </si>
  <si>
    <t>CUST9487</t>
  </si>
  <si>
    <t>ORD00614</t>
  </si>
  <si>
    <t>CUST6452</t>
  </si>
  <si>
    <t>ORD00615</t>
  </si>
  <si>
    <t>2025-01-29</t>
  </si>
  <si>
    <t>CUST7719</t>
  </si>
  <si>
    <t>ORD00616</t>
  </si>
  <si>
    <t>2024-07-02</t>
  </si>
  <si>
    <t>CUST3827</t>
  </si>
  <si>
    <t>ORD00617</t>
  </si>
  <si>
    <t>2025-10-12</t>
  </si>
  <si>
    <t>CUST7116</t>
  </si>
  <si>
    <t>ORD00618</t>
  </si>
  <si>
    <t>2025-11-03</t>
  </si>
  <si>
    <t>CUST2774</t>
  </si>
  <si>
    <t>ORD00619</t>
  </si>
  <si>
    <t>ORD00620</t>
  </si>
  <si>
    <t>CUST9064</t>
  </si>
  <si>
    <t>ORD00621</t>
  </si>
  <si>
    <t>2025-11-01</t>
  </si>
  <si>
    <t>CUST5532</t>
  </si>
  <si>
    <t>ORD00622</t>
  </si>
  <si>
    <t>2024-08-13</t>
  </si>
  <si>
    <t>CUST1358</t>
  </si>
  <si>
    <t>ORD00623</t>
  </si>
  <si>
    <t>CUST5167</t>
  </si>
  <si>
    <t>ORD00624</t>
  </si>
  <si>
    <t>2025-08-16</t>
  </si>
  <si>
    <t>CUST4885</t>
  </si>
  <si>
    <t>ORD00625</t>
  </si>
  <si>
    <t>CUST3381</t>
  </si>
  <si>
    <t>ORD00626</t>
  </si>
  <si>
    <t>2024-09-06</t>
  </si>
  <si>
    <t>CUST4694</t>
  </si>
  <si>
    <t>ORD00627</t>
  </si>
  <si>
    <t>CUST9944</t>
  </si>
  <si>
    <t>ORD00628</t>
  </si>
  <si>
    <t>CUST3788</t>
  </si>
  <si>
    <t>ORD00629</t>
  </si>
  <si>
    <t>2024-10-14</t>
  </si>
  <si>
    <t>CUST8709</t>
  </si>
  <si>
    <t>ORD00630</t>
  </si>
  <si>
    <t>CUST9976</t>
  </si>
  <si>
    <t>ORD00631</t>
  </si>
  <si>
    <t>2025-03-21</t>
  </si>
  <si>
    <t>CUST8355</t>
  </si>
  <si>
    <t>ORD00632</t>
  </si>
  <si>
    <t>2024-09-21</t>
  </si>
  <si>
    <t>CUST6006</t>
  </si>
  <si>
    <t>ORD00633</t>
  </si>
  <si>
    <t>CUST2903</t>
  </si>
  <si>
    <t>ORD00634</t>
  </si>
  <si>
    <t>2024-08-20</t>
  </si>
  <si>
    <t>CUST6788</t>
  </si>
  <si>
    <t>ORD00635</t>
  </si>
  <si>
    <t>CUST1551</t>
  </si>
  <si>
    <t>ORD00636</t>
  </si>
  <si>
    <t>2025-01-03</t>
  </si>
  <si>
    <t>CUST2587</t>
  </si>
  <si>
    <t>ORD00637</t>
  </si>
  <si>
    <t>CUST7305</t>
  </si>
  <si>
    <t>ORD00638</t>
  </si>
  <si>
    <t>2024-04-11</t>
  </si>
  <si>
    <t>CUST9425</t>
  </si>
  <si>
    <t>ORD00639</t>
  </si>
  <si>
    <t>CUST8338</t>
  </si>
  <si>
    <t>ORD00640</t>
  </si>
  <si>
    <t>2025-12-04</t>
  </si>
  <si>
    <t>CUST6576</t>
  </si>
  <si>
    <t>ORD00641</t>
  </si>
  <si>
    <t>2025-10-19</t>
  </si>
  <si>
    <t>CUST3141</t>
  </si>
  <si>
    <t>ORD00642</t>
  </si>
  <si>
    <t>CUST2087</t>
  </si>
  <si>
    <t>ORD00643</t>
  </si>
  <si>
    <t>CUST6090</t>
  </si>
  <si>
    <t>ORD00644</t>
  </si>
  <si>
    <t>CUST6239</t>
  </si>
  <si>
    <t>ORD00645</t>
  </si>
  <si>
    <t>CUST9481</t>
  </si>
  <si>
    <t>ORD00646</t>
  </si>
  <si>
    <t>2025-01-08</t>
  </si>
  <si>
    <t>ORD00647</t>
  </si>
  <si>
    <t>CUST2027</t>
  </si>
  <si>
    <t>ORD00648</t>
  </si>
  <si>
    <t>CUST5155</t>
  </si>
  <si>
    <t>ORD00649</t>
  </si>
  <si>
    <t>CUST4516</t>
  </si>
  <si>
    <t>ORD00650</t>
  </si>
  <si>
    <t>2024-02-13</t>
  </si>
  <si>
    <t>CUST4718</t>
  </si>
  <si>
    <t>ORD00651</t>
  </si>
  <si>
    <t>2024-07-27</t>
  </si>
  <si>
    <t>CUST7965</t>
  </si>
  <si>
    <t>ORD00652</t>
  </si>
  <si>
    <t>2024-09-09</t>
  </si>
  <si>
    <t>CUST1397</t>
  </si>
  <si>
    <t>ORD00653</t>
  </si>
  <si>
    <t>CUST8026</t>
  </si>
  <si>
    <t>ORD00654</t>
  </si>
  <si>
    <t>2025-10-21</t>
  </si>
  <si>
    <t>CUST3527</t>
  </si>
  <si>
    <t>ORD00655</t>
  </si>
  <si>
    <t>2025-08-03</t>
  </si>
  <si>
    <t>CUST3362</t>
  </si>
  <si>
    <t>ORD00656</t>
  </si>
  <si>
    <t>CUST2028</t>
  </si>
  <si>
    <t>ORD00657</t>
  </si>
  <si>
    <t>CUST7778</t>
  </si>
  <si>
    <t>ORD00658</t>
  </si>
  <si>
    <t>CUST7508</t>
  </si>
  <si>
    <t>ORD00659</t>
  </si>
  <si>
    <t>2025-06-01</t>
  </si>
  <si>
    <t>CUST6217</t>
  </si>
  <si>
    <t>ORD00660</t>
  </si>
  <si>
    <t>2024-04-15</t>
  </si>
  <si>
    <t>CUST6693</t>
  </si>
  <si>
    <t>ORD00661</t>
  </si>
  <si>
    <t>2025-05-02</t>
  </si>
  <si>
    <t>CUST3849</t>
  </si>
  <si>
    <t>ORD00662</t>
  </si>
  <si>
    <t>2025-08-10</t>
  </si>
  <si>
    <t>CUST8190</t>
  </si>
  <si>
    <t>ORD00663</t>
  </si>
  <si>
    <t>2025-05-25</t>
  </si>
  <si>
    <t>CUST1891</t>
  </si>
  <si>
    <t>ORD00664</t>
  </si>
  <si>
    <t>2025-07-08</t>
  </si>
  <si>
    <t>CUST1526</t>
  </si>
  <si>
    <t>ORD00665</t>
  </si>
  <si>
    <t>CUST4408</t>
  </si>
  <si>
    <t>ORD00666</t>
  </si>
  <si>
    <t>CUST6058</t>
  </si>
  <si>
    <t>ORD00667</t>
  </si>
  <si>
    <t>CUST4573</t>
  </si>
  <si>
    <t>ORD00668</t>
  </si>
  <si>
    <t>2024-07-10</t>
  </si>
  <si>
    <t>CUST3182</t>
  </si>
  <si>
    <t>ORD00669</t>
  </si>
  <si>
    <t>2024-09-22</t>
  </si>
  <si>
    <t>CUST7682</t>
  </si>
  <si>
    <t>ORD00670</t>
  </si>
  <si>
    <t>CUST1862</t>
  </si>
  <si>
    <t>ORD00671</t>
  </si>
  <si>
    <t>CUST4779</t>
  </si>
  <si>
    <t>ORD00672</t>
  </si>
  <si>
    <t>2025-12-17</t>
  </si>
  <si>
    <t>CUST2983</t>
  </si>
  <si>
    <t>ORD00673</t>
  </si>
  <si>
    <t>CUST7796</t>
  </si>
  <si>
    <t>ORD00674</t>
  </si>
  <si>
    <t>2024-02-08</t>
  </si>
  <si>
    <t>CUST7603</t>
  </si>
  <si>
    <t>ORD00675</t>
  </si>
  <si>
    <t>CUST4940</t>
  </si>
  <si>
    <t>ORD00676</t>
  </si>
  <si>
    <t>CUST7538</t>
  </si>
  <si>
    <t>ORD00677</t>
  </si>
  <si>
    <t>CUST3213</t>
  </si>
  <si>
    <t>ORD00678</t>
  </si>
  <si>
    <t>2025-11-02</t>
  </si>
  <si>
    <t>CUST2694</t>
  </si>
  <si>
    <t>ORD00679</t>
  </si>
  <si>
    <t>CUST4856</t>
  </si>
  <si>
    <t>ORD00680</t>
  </si>
  <si>
    <t>2025-01-12</t>
  </si>
  <si>
    <t>CUST6964</t>
  </si>
  <si>
    <t>ORD00681</t>
  </si>
  <si>
    <t>2024-01-18</t>
  </si>
  <si>
    <t>CUST8897</t>
  </si>
  <si>
    <t>ORD00682</t>
  </si>
  <si>
    <t>2025-03-07</t>
  </si>
  <si>
    <t>CUST6695</t>
  </si>
  <si>
    <t>ORD00683</t>
  </si>
  <si>
    <t>CUST4026</t>
  </si>
  <si>
    <t>ORD00684</t>
  </si>
  <si>
    <t>2025-05-19</t>
  </si>
  <si>
    <t>CUST4574</t>
  </si>
  <si>
    <t>ORD00685</t>
  </si>
  <si>
    <t>CUST1816</t>
  </si>
  <si>
    <t>ORD00686</t>
  </si>
  <si>
    <t>CUST5414</t>
  </si>
  <si>
    <t>ORD00687</t>
  </si>
  <si>
    <t>CUST8076</t>
  </si>
  <si>
    <t>ORD00688</t>
  </si>
  <si>
    <t>2025-06-17</t>
  </si>
  <si>
    <t>CUST7958</t>
  </si>
  <si>
    <t>ORD00689</t>
  </si>
  <si>
    <t>CUST9635</t>
  </si>
  <si>
    <t>ORD00690</t>
  </si>
  <si>
    <t>CUST2744</t>
  </si>
  <si>
    <t>ORD00691</t>
  </si>
  <si>
    <t>CUST3993</t>
  </si>
  <si>
    <t>ORD00692</t>
  </si>
  <si>
    <t>CUST6651</t>
  </si>
  <si>
    <t>ORD00693</t>
  </si>
  <si>
    <t>CUST9616</t>
  </si>
  <si>
    <t>ORD00694</t>
  </si>
  <si>
    <t>CUST6675</t>
  </si>
  <si>
    <t>ORD00695</t>
  </si>
  <si>
    <t>CUST6798</t>
  </si>
  <si>
    <t>ORD00696</t>
  </si>
  <si>
    <t>CUST5838</t>
  </si>
  <si>
    <t>ORD00697</t>
  </si>
  <si>
    <t>2024-02-15</t>
  </si>
  <si>
    <t>ORD00698</t>
  </si>
  <si>
    <t>CUST7689</t>
  </si>
  <si>
    <t>ORD00699</t>
  </si>
  <si>
    <t>CUST7390</t>
  </si>
  <si>
    <t>ORD00700</t>
  </si>
  <si>
    <t>2025-02-17</t>
  </si>
  <si>
    <t>CUST1789</t>
  </si>
  <si>
    <t>ORD00701</t>
  </si>
  <si>
    <t>2024-03-28</t>
  </si>
  <si>
    <t>CUST7399</t>
  </si>
  <si>
    <t>ORD00702</t>
  </si>
  <si>
    <t>CUST5899</t>
  </si>
  <si>
    <t>ORD00703</t>
  </si>
  <si>
    <t>CUST6669</t>
  </si>
  <si>
    <t>ORD00704</t>
  </si>
  <si>
    <t>CUST3036</t>
  </si>
  <si>
    <t>ORD00705</t>
  </si>
  <si>
    <t>2025-07-25</t>
  </si>
  <si>
    <t>CUST3309</t>
  </si>
  <si>
    <t>ORD00706</t>
  </si>
  <si>
    <t>2025-07-22</t>
  </si>
  <si>
    <t>CUST9328</t>
  </si>
  <si>
    <t>ORD00707</t>
  </si>
  <si>
    <t>ORD00708</t>
  </si>
  <si>
    <t>2025-08-30</t>
  </si>
  <si>
    <t>CUST4178</t>
  </si>
  <si>
    <t>ORD00709</t>
  </si>
  <si>
    <t>2024-11-27</t>
  </si>
  <si>
    <t>CUST3427</t>
  </si>
  <si>
    <t>ORD00710</t>
  </si>
  <si>
    <t>2024-03-23</t>
  </si>
  <si>
    <t>CUST6488</t>
  </si>
  <si>
    <t>ORD00711</t>
  </si>
  <si>
    <t>2025-09-12</t>
  </si>
  <si>
    <t>CUST1065</t>
  </si>
  <si>
    <t>ORD00712</t>
  </si>
  <si>
    <t>CUST7932</t>
  </si>
  <si>
    <t>ORD00713</t>
  </si>
  <si>
    <t>ORD00714</t>
  </si>
  <si>
    <t>2025-10-24</t>
  </si>
  <si>
    <t>CUST9007</t>
  </si>
  <si>
    <t>ORD00715</t>
  </si>
  <si>
    <t>CUST5460</t>
  </si>
  <si>
    <t>ORD00716</t>
  </si>
  <si>
    <t>CUST4217</t>
  </si>
  <si>
    <t>ORD00717</t>
  </si>
  <si>
    <t>2025-05-27</t>
  </si>
  <si>
    <t>ORD00718</t>
  </si>
  <si>
    <t>CUST7217</t>
  </si>
  <si>
    <t>ORD00719</t>
  </si>
  <si>
    <t>CUST7589</t>
  </si>
  <si>
    <t>ORD00720</t>
  </si>
  <si>
    <t>CUST1719</t>
  </si>
  <si>
    <t>ORD00721</t>
  </si>
  <si>
    <t>2024-03-19</t>
  </si>
  <si>
    <t>CUST1800</t>
  </si>
  <si>
    <t>ORD00722</t>
  </si>
  <si>
    <t>2024-09-14</t>
  </si>
  <si>
    <t>CUST3370</t>
  </si>
  <si>
    <t>ORD00723</t>
  </si>
  <si>
    <t>2025-02-20</t>
  </si>
  <si>
    <t>CUST2533</t>
  </si>
  <si>
    <t>ORD00724</t>
  </si>
  <si>
    <t>2025-07-06</t>
  </si>
  <si>
    <t>CUST9290</t>
  </si>
  <si>
    <t>ORD00725</t>
  </si>
  <si>
    <t>CUST1567</t>
  </si>
  <si>
    <t>ORD00726</t>
  </si>
  <si>
    <t>CUST7721</t>
  </si>
  <si>
    <t>ORD00727</t>
  </si>
  <si>
    <t>ORD00728</t>
  </si>
  <si>
    <t>CUST9233</t>
  </si>
  <si>
    <t>ORD00729</t>
  </si>
  <si>
    <t>CUST9223</t>
  </si>
  <si>
    <t>ORD00730</t>
  </si>
  <si>
    <t>2024-11-28</t>
  </si>
  <si>
    <t>CUST6666</t>
  </si>
  <si>
    <t>ORD00731</t>
  </si>
  <si>
    <t>CUST5310</t>
  </si>
  <si>
    <t>ORD00732</t>
  </si>
  <si>
    <t>2024-04-19</t>
  </si>
  <si>
    <t>CUST3106</t>
  </si>
  <si>
    <t>ORD00733</t>
  </si>
  <si>
    <t>CUST9897</t>
  </si>
  <si>
    <t>ORD00734</t>
  </si>
  <si>
    <t>2025-12-26</t>
  </si>
  <si>
    <t>CUST1796</t>
  </si>
  <si>
    <t>ORD00735</t>
  </si>
  <si>
    <t>CUST1836</t>
  </si>
  <si>
    <t>ORD00736</t>
  </si>
  <si>
    <t>2025-06-30</t>
  </si>
  <si>
    <t>CUST5197</t>
  </si>
  <si>
    <t>ORD00737</t>
  </si>
  <si>
    <t>CUST9403</t>
  </si>
  <si>
    <t>ORD00738</t>
  </si>
  <si>
    <t>2025-04-05</t>
  </si>
  <si>
    <t>CUST1244</t>
  </si>
  <si>
    <t>ORD00739</t>
  </si>
  <si>
    <t>CUST3498</t>
  </si>
  <si>
    <t>ORD00740</t>
  </si>
  <si>
    <t>2024-09-17</t>
  </si>
  <si>
    <t>CUST5183</t>
  </si>
  <si>
    <t>ORD00741</t>
  </si>
  <si>
    <t>2024-01-27</t>
  </si>
  <si>
    <t>CUST4575</t>
  </si>
  <si>
    <t>ORD00742</t>
  </si>
  <si>
    <t>CUST6714</t>
  </si>
  <si>
    <t>ORD00743</t>
  </si>
  <si>
    <t>2025-11-29</t>
  </si>
  <si>
    <t>CUST3810</t>
  </si>
  <si>
    <t>ORD00744</t>
  </si>
  <si>
    <t>CUST8951</t>
  </si>
  <si>
    <t>ORD00745</t>
  </si>
  <si>
    <t>2024-05-01</t>
  </si>
  <si>
    <t>CUST7942</t>
  </si>
  <si>
    <t>ORD00746</t>
  </si>
  <si>
    <t>CUST7885</t>
  </si>
  <si>
    <t>ORD00747</t>
  </si>
  <si>
    <t>CUST3534</t>
  </si>
  <si>
    <t>ORD00748</t>
  </si>
  <si>
    <t>CUST3484</t>
  </si>
  <si>
    <t>ORD00749</t>
  </si>
  <si>
    <t>CUST7076</t>
  </si>
  <si>
    <t>ORD00750</t>
  </si>
  <si>
    <t>CUST6095</t>
  </si>
  <si>
    <t>ORD00751</t>
  </si>
  <si>
    <t>2024-03-31</t>
  </si>
  <si>
    <t>CUST1390</t>
  </si>
  <si>
    <t>ORD00752</t>
  </si>
  <si>
    <t>CUST1767</t>
  </si>
  <si>
    <t>ORD00753</t>
  </si>
  <si>
    <t>ORD00754</t>
  </si>
  <si>
    <t>CUST2993</t>
  </si>
  <si>
    <t>ORD00755</t>
  </si>
  <si>
    <t>CUST8395</t>
  </si>
  <si>
    <t>ORD00756</t>
  </si>
  <si>
    <t>CUST6817</t>
  </si>
  <si>
    <t>ORD00757</t>
  </si>
  <si>
    <t>CUST5582</t>
  </si>
  <si>
    <t>ORD00758</t>
  </si>
  <si>
    <t>ORD00759</t>
  </si>
  <si>
    <t>CUST7091</t>
  </si>
  <si>
    <t>ORD00760</t>
  </si>
  <si>
    <t>2025-08-22</t>
  </si>
  <si>
    <t>CUST2571</t>
  </si>
  <si>
    <t>ORD00761</t>
  </si>
  <si>
    <t>2025-04-23</t>
  </si>
  <si>
    <t>CUST6178</t>
  </si>
  <si>
    <t>ORD00762</t>
  </si>
  <si>
    <t>2025-07-04</t>
  </si>
  <si>
    <t>CUST5666</t>
  </si>
  <si>
    <t>ORD00763</t>
  </si>
  <si>
    <t>2025-03-19</t>
  </si>
  <si>
    <t>CUST4163</t>
  </si>
  <si>
    <t>ORD00764</t>
  </si>
  <si>
    <t>2024-01-30</t>
  </si>
  <si>
    <t>CUST6078</t>
  </si>
  <si>
    <t>ORD00765</t>
  </si>
  <si>
    <t>CUST6587</t>
  </si>
  <si>
    <t>ORD00766</t>
  </si>
  <si>
    <t>2025-07-19</t>
  </si>
  <si>
    <t>CUST4583</t>
  </si>
  <si>
    <t>ORD00767</t>
  </si>
  <si>
    <t>CUST2924</t>
  </si>
  <si>
    <t>ORD00768</t>
  </si>
  <si>
    <t>CUST7651</t>
  </si>
  <si>
    <t>ORD00769</t>
  </si>
  <si>
    <t>CUST9088</t>
  </si>
  <si>
    <t>ORD00770</t>
  </si>
  <si>
    <t>2025-02-02</t>
  </si>
  <si>
    <t>ORD00771</t>
  </si>
  <si>
    <t>2024-01-01</t>
  </si>
  <si>
    <t>CUST1442</t>
  </si>
  <si>
    <t>ORD00772</t>
  </si>
  <si>
    <t>ORD00773</t>
  </si>
  <si>
    <t>CUST9217</t>
  </si>
  <si>
    <t>ORD00774</t>
  </si>
  <si>
    <t>CUST1301</t>
  </si>
  <si>
    <t>ORD00775</t>
  </si>
  <si>
    <t>2024-08-17</t>
  </si>
  <si>
    <t>CUST1506</t>
  </si>
  <si>
    <t>ORD00776</t>
  </si>
  <si>
    <t>2025-10-31</t>
  </si>
  <si>
    <t>CUST8718</t>
  </si>
  <si>
    <t>ORD00777</t>
  </si>
  <si>
    <t>CUST7945</t>
  </si>
  <si>
    <t>ORD00778</t>
  </si>
  <si>
    <t>CUST2592</t>
  </si>
  <si>
    <t>ORD00779</t>
  </si>
  <si>
    <t>CUST7402</t>
  </si>
  <si>
    <t>ORD00780</t>
  </si>
  <si>
    <t>2025-12-30</t>
  </si>
  <si>
    <t>CUST2248</t>
  </si>
  <si>
    <t>ORD00781</t>
  </si>
  <si>
    <t>CUST9701</t>
  </si>
  <si>
    <t>ORD00782</t>
  </si>
  <si>
    <t>ORD00783</t>
  </si>
  <si>
    <t>2024-09-08</t>
  </si>
  <si>
    <t>CUST7160</t>
  </si>
  <si>
    <t>ORD00784</t>
  </si>
  <si>
    <t>2024-06-19</t>
  </si>
  <si>
    <t>CUST6300</t>
  </si>
  <si>
    <t>ORD00785</t>
  </si>
  <si>
    <t>CUST6909</t>
  </si>
  <si>
    <t>ORD00786</t>
  </si>
  <si>
    <t>2024-09-05</t>
  </si>
  <si>
    <t>CUST4396</t>
  </si>
  <si>
    <t>ORD00787</t>
  </si>
  <si>
    <t>CUST5282</t>
  </si>
  <si>
    <t>ORD00788</t>
  </si>
  <si>
    <t>2024-07-25</t>
  </si>
  <si>
    <t>CUST1389</t>
  </si>
  <si>
    <t>ORD00789</t>
  </si>
  <si>
    <t>CUST6331</t>
  </si>
  <si>
    <t>ORD00790</t>
  </si>
  <si>
    <t>2025-10-18</t>
  </si>
  <si>
    <t>CUST1677</t>
  </si>
  <si>
    <t>ORD00791</t>
  </si>
  <si>
    <t>CUST6601</t>
  </si>
  <si>
    <t>ORD00792</t>
  </si>
  <si>
    <t>ORD00793</t>
  </si>
  <si>
    <t>2025-09-27</t>
  </si>
  <si>
    <t>CUST4831</t>
  </si>
  <si>
    <t>ORD00794</t>
  </si>
  <si>
    <t>2024-02-21</t>
  </si>
  <si>
    <t>CUST3588</t>
  </si>
  <si>
    <t>ORD00795</t>
  </si>
  <si>
    <t>ORD00796</t>
  </si>
  <si>
    <t>2025-04-08</t>
  </si>
  <si>
    <t>CUST1618</t>
  </si>
  <si>
    <t>ORD00797</t>
  </si>
  <si>
    <t>2025-10-07</t>
  </si>
  <si>
    <t>CUST6702</t>
  </si>
  <si>
    <t>ORD00798</t>
  </si>
  <si>
    <t>CUST7929</t>
  </si>
  <si>
    <t>ORD00799</t>
  </si>
  <si>
    <t>2025-06-04</t>
  </si>
  <si>
    <t>CUST2928</t>
  </si>
  <si>
    <t>ORD00800</t>
  </si>
  <si>
    <t>CUST7487</t>
  </si>
  <si>
    <t>ORD00801</t>
  </si>
  <si>
    <t>CUST9499</t>
  </si>
  <si>
    <t>ORD00802</t>
  </si>
  <si>
    <t>CUST9492</t>
  </si>
  <si>
    <t>ORD00803</t>
  </si>
  <si>
    <t>2024-04-02</t>
  </si>
  <si>
    <t>CUST4334</t>
  </si>
  <si>
    <t>ORD00804</t>
  </si>
  <si>
    <t>2025-11-20</t>
  </si>
  <si>
    <t>CUST5420</t>
  </si>
  <si>
    <t>ORD00805</t>
  </si>
  <si>
    <t>CUST7107</t>
  </si>
  <si>
    <t>ORD00806</t>
  </si>
  <si>
    <t>CUST4671</t>
  </si>
  <si>
    <t>ORD00807</t>
  </si>
  <si>
    <t>CUST5121</t>
  </si>
  <si>
    <t>ORD00808</t>
  </si>
  <si>
    <t>CUST7319</t>
  </si>
  <si>
    <t>ORD00809</t>
  </si>
  <si>
    <t>CUST9688</t>
  </si>
  <si>
    <t>ORD00810</t>
  </si>
  <si>
    <t>2025-08-04</t>
  </si>
  <si>
    <t>CUST3541</t>
  </si>
  <si>
    <t>ORD00811</t>
  </si>
  <si>
    <t>2024-01-15</t>
  </si>
  <si>
    <t>CUST9793</t>
  </si>
  <si>
    <t>ORD00812</t>
  </si>
  <si>
    <t>CUST5634</t>
  </si>
  <si>
    <t>ORD00813</t>
  </si>
  <si>
    <t>2025-08-06</t>
  </si>
  <si>
    <t>CUST1855</t>
  </si>
  <si>
    <t>ORD00814</t>
  </si>
  <si>
    <t>CUST5245</t>
  </si>
  <si>
    <t>ORD00815</t>
  </si>
  <si>
    <t>CUST4456</t>
  </si>
  <si>
    <t>ORD00816</t>
  </si>
  <si>
    <t>CUST6282</t>
  </si>
  <si>
    <t>ORD00817</t>
  </si>
  <si>
    <t>CUST7011</t>
  </si>
  <si>
    <t>ORD00818</t>
  </si>
  <si>
    <t>CUST4194</t>
  </si>
  <si>
    <t>ORD00819</t>
  </si>
  <si>
    <t>2024-04-28</t>
  </si>
  <si>
    <t>CUST9139</t>
  </si>
  <si>
    <t>ORD00820</t>
  </si>
  <si>
    <t>2025-10-22</t>
  </si>
  <si>
    <t>CUST2275</t>
  </si>
  <si>
    <t>ORD00821</t>
  </si>
  <si>
    <t>2024-10-06</t>
  </si>
  <si>
    <t>CUST9025</t>
  </si>
  <si>
    <t>ORD00822</t>
  </si>
  <si>
    <t>2024-05-19</t>
  </si>
  <si>
    <t>CUST2154</t>
  </si>
  <si>
    <t>ORD00823</t>
  </si>
  <si>
    <t>2024-03-25</t>
  </si>
  <si>
    <t>CUST7506</t>
  </si>
  <si>
    <t>ORD00824</t>
  </si>
  <si>
    <t>ORD00825</t>
  </si>
  <si>
    <t>CUST6266</t>
  </si>
  <si>
    <t>ORD00826</t>
  </si>
  <si>
    <t>ORD00827</t>
  </si>
  <si>
    <t>2025-02-03</t>
  </si>
  <si>
    <t>CUST8515</t>
  </si>
  <si>
    <t>ORD00828</t>
  </si>
  <si>
    <t>CUST5221</t>
  </si>
  <si>
    <t>ORD00829</t>
  </si>
  <si>
    <t>CUST1155</t>
  </si>
  <si>
    <t>ORD00830</t>
  </si>
  <si>
    <t>CUST3421</t>
  </si>
  <si>
    <t>ORD00831</t>
  </si>
  <si>
    <t>CUST5032</t>
  </si>
  <si>
    <t>ORD00832</t>
  </si>
  <si>
    <t>CUST7570</t>
  </si>
  <si>
    <t>ORD00833</t>
  </si>
  <si>
    <t>2025-05-05</t>
  </si>
  <si>
    <t>CUST7380</t>
  </si>
  <si>
    <t>ORD00834</t>
  </si>
  <si>
    <t>CUST9610</t>
  </si>
  <si>
    <t>ORD00835</t>
  </si>
  <si>
    <t>CUST2465</t>
  </si>
  <si>
    <t>ORD00836</t>
  </si>
  <si>
    <t>2025-02-13</t>
  </si>
  <si>
    <t>CUST2056</t>
  </si>
  <si>
    <t>ORD00837</t>
  </si>
  <si>
    <t>2024-01-31</t>
  </si>
  <si>
    <t>CUST5084</t>
  </si>
  <si>
    <t>ORD00838</t>
  </si>
  <si>
    <t>CUST5070</t>
  </si>
  <si>
    <t>ORD00839</t>
  </si>
  <si>
    <t>CUST1599</t>
  </si>
  <si>
    <t>ORD00840</t>
  </si>
  <si>
    <t>CUST9546</t>
  </si>
  <si>
    <t>ORD00841</t>
  </si>
  <si>
    <t>CUST2057</t>
  </si>
  <si>
    <t>ORD00842</t>
  </si>
  <si>
    <t>2025-03-10</t>
  </si>
  <si>
    <t>CUST4019</t>
  </si>
  <si>
    <t>ORD00843</t>
  </si>
  <si>
    <t>CUST9438</t>
  </si>
  <si>
    <t>ORD00844</t>
  </si>
  <si>
    <t>CUST2583</t>
  </si>
  <si>
    <t>ORD00845</t>
  </si>
  <si>
    <t>CUST5018</t>
  </si>
  <si>
    <t>ORD00846</t>
  </si>
  <si>
    <t>CUST6919</t>
  </si>
  <si>
    <t>ORD00847</t>
  </si>
  <si>
    <t>2025-01-21</t>
  </si>
  <si>
    <t>CUST4971</t>
  </si>
  <si>
    <t>ORD00848</t>
  </si>
  <si>
    <t>CUST1066</t>
  </si>
  <si>
    <t>ORD00849</t>
  </si>
  <si>
    <t>2025-09-17</t>
  </si>
  <si>
    <t>CUST5382</t>
  </si>
  <si>
    <t>ORD00850</t>
  </si>
  <si>
    <t>CUST6324</t>
  </si>
  <si>
    <t>ORD00851</t>
  </si>
  <si>
    <t>CUST8399</t>
  </si>
  <si>
    <t>ORD00852</t>
  </si>
  <si>
    <t>2025-02-22</t>
  </si>
  <si>
    <t>CUST8018</t>
  </si>
  <si>
    <t>ORD00853</t>
  </si>
  <si>
    <t>CUST2721</t>
  </si>
  <si>
    <t>ORD00854</t>
  </si>
  <si>
    <t>CUST1316</t>
  </si>
  <si>
    <t>ORD00855</t>
  </si>
  <si>
    <t>2025-06-08</t>
  </si>
  <si>
    <t>CUST4727</t>
  </si>
  <si>
    <t>ORD00856</t>
  </si>
  <si>
    <t>CUST9791</t>
  </si>
  <si>
    <t>ORD00857</t>
  </si>
  <si>
    <t>CUST1606</t>
  </si>
  <si>
    <t>ORD00858</t>
  </si>
  <si>
    <t>CUST2496</t>
  </si>
  <si>
    <t>ORD00859</t>
  </si>
  <si>
    <t>CUST1744</t>
  </si>
  <si>
    <t>ORD00860</t>
  </si>
  <si>
    <t>CUST2627</t>
  </si>
  <si>
    <t>ORD00861</t>
  </si>
  <si>
    <t>2024-03-29</t>
  </si>
  <si>
    <t>CUST3544</t>
  </si>
  <si>
    <t>ORD00862</t>
  </si>
  <si>
    <t>CUST1724</t>
  </si>
  <si>
    <t>ORD00863</t>
  </si>
  <si>
    <t>CUST4160</t>
  </si>
  <si>
    <t>ORD00864</t>
  </si>
  <si>
    <t>2024-12-11</t>
  </si>
  <si>
    <t>CUST6187</t>
  </si>
  <si>
    <t>ORD00865</t>
  </si>
  <si>
    <t>2025-11-05</t>
  </si>
  <si>
    <t>CUST9073</t>
  </si>
  <si>
    <t>ORD00866</t>
  </si>
  <si>
    <t>CUST3364</t>
  </si>
  <si>
    <t>ORD00867</t>
  </si>
  <si>
    <t>2024-03-01</t>
  </si>
  <si>
    <t>CUST1742</t>
  </si>
  <si>
    <t>ORD00868</t>
  </si>
  <si>
    <t>CUST7864</t>
  </si>
  <si>
    <t>ORD00869</t>
  </si>
  <si>
    <t>CUST2029</t>
  </si>
  <si>
    <t>ORD00870</t>
  </si>
  <si>
    <t>2025-10-04</t>
  </si>
  <si>
    <t>ORD00871</t>
  </si>
  <si>
    <t>2025-11-07</t>
  </si>
  <si>
    <t>CUST7881</t>
  </si>
  <si>
    <t>ORD00872</t>
  </si>
  <si>
    <t>CUST7908</t>
  </si>
  <si>
    <t>ORD00873</t>
  </si>
  <si>
    <t>CUST2259</t>
  </si>
  <si>
    <t>ORD00874</t>
  </si>
  <si>
    <t>CUST6831</t>
  </si>
  <si>
    <t>ORD00875</t>
  </si>
  <si>
    <t>2024-02-29</t>
  </si>
  <si>
    <t>CUST2654</t>
  </si>
  <si>
    <t>ORD00876</t>
  </si>
  <si>
    <t>2024-05-13</t>
  </si>
  <si>
    <t>CUST9681</t>
  </si>
  <si>
    <t>ORD00877</t>
  </si>
  <si>
    <t>2025-03-16</t>
  </si>
  <si>
    <t>CUST7990</t>
  </si>
  <si>
    <t>ORD00878</t>
  </si>
  <si>
    <t>CUST1985</t>
  </si>
  <si>
    <t>ORD00879</t>
  </si>
  <si>
    <t>CUST1354</t>
  </si>
  <si>
    <t>ORD00880</t>
  </si>
  <si>
    <t>CUST8749</t>
  </si>
  <si>
    <t>ORD00881</t>
  </si>
  <si>
    <t>2025-04-12</t>
  </si>
  <si>
    <t>CUST8794</t>
  </si>
  <si>
    <t>ORD00882</t>
  </si>
  <si>
    <t>CUST7125</t>
  </si>
  <si>
    <t>ORD00883</t>
  </si>
  <si>
    <t>2025-12-14</t>
  </si>
  <si>
    <t>CUST1147</t>
  </si>
  <si>
    <t>ORD00884</t>
  </si>
  <si>
    <t>CUST4984</t>
  </si>
  <si>
    <t>ORD00885</t>
  </si>
  <si>
    <t>CUST2522</t>
  </si>
  <si>
    <t>ORD00886</t>
  </si>
  <si>
    <t>2024-12-01</t>
  </si>
  <si>
    <t>CUST1375</t>
  </si>
  <si>
    <t>ORD00887</t>
  </si>
  <si>
    <t>CUST2287</t>
  </si>
  <si>
    <t>ORD00888</t>
  </si>
  <si>
    <t>CUST6761</t>
  </si>
  <si>
    <t>ORD00889</t>
  </si>
  <si>
    <t>CUST6897</t>
  </si>
  <si>
    <t>ORD00890</t>
  </si>
  <si>
    <t>CUST9335</t>
  </si>
  <si>
    <t>ORD00891</t>
  </si>
  <si>
    <t>CUST1910</t>
  </si>
  <si>
    <t>ORD00892</t>
  </si>
  <si>
    <t>2025-12-19</t>
  </si>
  <si>
    <t>CUST4380</t>
  </si>
  <si>
    <t>ORD00893</t>
  </si>
  <si>
    <t>CUST4609</t>
  </si>
  <si>
    <t>ORD00894</t>
  </si>
  <si>
    <t>CUST1138</t>
  </si>
  <si>
    <t>ORD00895</t>
  </si>
  <si>
    <t>CUST9087</t>
  </si>
  <si>
    <t>ORD00896</t>
  </si>
  <si>
    <t>ORD00897</t>
  </si>
  <si>
    <t>CUST1757</t>
  </si>
  <si>
    <t>ORD00898</t>
  </si>
  <si>
    <t>CUST2766</t>
  </si>
  <si>
    <t>ORD00899</t>
  </si>
  <si>
    <t>CUST6142</t>
  </si>
  <si>
    <t>ORD00900</t>
  </si>
  <si>
    <t>CUST4791</t>
  </si>
  <si>
    <t>ORD00901</t>
  </si>
  <si>
    <t>2024-11-05</t>
  </si>
  <si>
    <t>CUST8254</t>
  </si>
  <si>
    <t>ORD00902</t>
  </si>
  <si>
    <t>2024-11-10</t>
  </si>
  <si>
    <t>CUST5387</t>
  </si>
  <si>
    <t>ORD00903</t>
  </si>
  <si>
    <t>CUST7548</t>
  </si>
  <si>
    <t>ORD00904</t>
  </si>
  <si>
    <t>CUST1658</t>
  </si>
  <si>
    <t>ORD00905</t>
  </si>
  <si>
    <t>CUST2545</t>
  </si>
  <si>
    <t>ORD00906</t>
  </si>
  <si>
    <t>CUST8727</t>
  </si>
  <si>
    <t>ORD00907</t>
  </si>
  <si>
    <t>2025-12-01</t>
  </si>
  <si>
    <t>CUST5782</t>
  </si>
  <si>
    <t>ORD00908</t>
  </si>
  <si>
    <t>2024-01-14</t>
  </si>
  <si>
    <t>CUST9585</t>
  </si>
  <si>
    <t>ORD00909</t>
  </si>
  <si>
    <t>CUST9925</t>
  </si>
  <si>
    <t>ORD00910</t>
  </si>
  <si>
    <t>CUST8605</t>
  </si>
  <si>
    <t>ORD00911</t>
  </si>
  <si>
    <t>CUST9874</t>
  </si>
  <si>
    <t>ORD00912</t>
  </si>
  <si>
    <t>2024-01-13</t>
  </si>
  <si>
    <t>CUST7566</t>
  </si>
  <si>
    <t>ORD00913</t>
  </si>
  <si>
    <t>CUST2026</t>
  </si>
  <si>
    <t>ORD00914</t>
  </si>
  <si>
    <t>2024-05-20</t>
  </si>
  <si>
    <t>ORD00915</t>
  </si>
  <si>
    <t>CUST6657</t>
  </si>
  <si>
    <t>ORD00916</t>
  </si>
  <si>
    <t>CUST3333</t>
  </si>
  <si>
    <t>ORD00917</t>
  </si>
  <si>
    <t>CUST9556</t>
  </si>
  <si>
    <t>ORD00918</t>
  </si>
  <si>
    <t>2024-12-07</t>
  </si>
  <si>
    <t>CUST6718</t>
  </si>
  <si>
    <t>ORD00919</t>
  </si>
  <si>
    <t>CUST2317</t>
  </si>
  <si>
    <t>ORD00920</t>
  </si>
  <si>
    <t>CUST3708</t>
  </si>
  <si>
    <t>ORD00921</t>
  </si>
  <si>
    <t>CUST4455</t>
  </si>
  <si>
    <t>ORD00922</t>
  </si>
  <si>
    <t>CUST7534</t>
  </si>
  <si>
    <t>ORD00923</t>
  </si>
  <si>
    <t>2025-03-29</t>
  </si>
  <si>
    <t>CUST4536</t>
  </si>
  <si>
    <t>ORD00924</t>
  </si>
  <si>
    <t>2025-04-25</t>
  </si>
  <si>
    <t>CUST6420</t>
  </si>
  <si>
    <t>ORD00925</t>
  </si>
  <si>
    <t>2025-09-11</t>
  </si>
  <si>
    <t>CUST1339</t>
  </si>
  <si>
    <t>ORD00926</t>
  </si>
  <si>
    <t>CUST1934</t>
  </si>
  <si>
    <t>ORD00927</t>
  </si>
  <si>
    <t>CUST9801</t>
  </si>
  <si>
    <t>ORD00928</t>
  </si>
  <si>
    <t>2025-06-15</t>
  </si>
  <si>
    <t>CUST2345</t>
  </si>
  <si>
    <t>ORD00929</t>
  </si>
  <si>
    <t>CUST6281</t>
  </si>
  <si>
    <t>ORD00930</t>
  </si>
  <si>
    <t>CUST2002</t>
  </si>
  <si>
    <t>ORD00931</t>
  </si>
  <si>
    <t>CUST3586</t>
  </si>
  <si>
    <t>ORD00932</t>
  </si>
  <si>
    <t>CUST9358</t>
  </si>
  <si>
    <t>ORD00933</t>
  </si>
  <si>
    <t>CUST2974</t>
  </si>
  <si>
    <t>ORD00934</t>
  </si>
  <si>
    <t>2025-07-20</t>
  </si>
  <si>
    <t>CUST1846</t>
  </si>
  <si>
    <t>ORD00935</t>
  </si>
  <si>
    <t>ORD00936</t>
  </si>
  <si>
    <t>CUST3448</t>
  </si>
  <si>
    <t>ORD00937</t>
  </si>
  <si>
    <t>CUST4293</t>
  </si>
  <si>
    <t>ORD00938</t>
  </si>
  <si>
    <t>CUST8336</t>
  </si>
  <si>
    <t>ORD00939</t>
  </si>
  <si>
    <t>ORD00940</t>
  </si>
  <si>
    <t>CUST9570</t>
  </si>
  <si>
    <t>ORD00941</t>
  </si>
  <si>
    <t>CUST3221</t>
  </si>
  <si>
    <t>ORD00942</t>
  </si>
  <si>
    <t>CUST4544</t>
  </si>
  <si>
    <t>ORD00943</t>
  </si>
  <si>
    <t>2025-03-30</t>
  </si>
  <si>
    <t>CUST7792</t>
  </si>
  <si>
    <t>ORD00944</t>
  </si>
  <si>
    <t>2024-03-10</t>
  </si>
  <si>
    <t>ORD00945</t>
  </si>
  <si>
    <t>CUST4292</t>
  </si>
  <si>
    <t>ORD00946</t>
  </si>
  <si>
    <t>CUST5189</t>
  </si>
  <si>
    <t>ORD00947</t>
  </si>
  <si>
    <t>2025-03-27</t>
  </si>
  <si>
    <t>CUST1544</t>
  </si>
  <si>
    <t>ORD00948</t>
  </si>
  <si>
    <t>CUST9757</t>
  </si>
  <si>
    <t>ORD00949</t>
  </si>
  <si>
    <t>ORD00950</t>
  </si>
  <si>
    <t>CUST3073</t>
  </si>
  <si>
    <t>ORD00951</t>
  </si>
  <si>
    <t>2024-10-29</t>
  </si>
  <si>
    <t>CUST8073</t>
  </si>
  <si>
    <t>ORD00952</t>
  </si>
  <si>
    <t>CUST6672</t>
  </si>
  <si>
    <t>ORD00953</t>
  </si>
  <si>
    <t>CUST1798</t>
  </si>
  <si>
    <t>ORD00954</t>
  </si>
  <si>
    <t>CUST2598</t>
  </si>
  <si>
    <t>ORD00955</t>
  </si>
  <si>
    <t>CUST5952</t>
  </si>
  <si>
    <t>ORD00956</t>
  </si>
  <si>
    <t>2025-10-01</t>
  </si>
  <si>
    <t>CUST2701</t>
  </si>
  <si>
    <t>ORD00957</t>
  </si>
  <si>
    <t>2024-03-09</t>
  </si>
  <si>
    <t>CUST8415</t>
  </si>
  <si>
    <t>ORD00958</t>
  </si>
  <si>
    <t>2025-06-03</t>
  </si>
  <si>
    <t>CUST1849</t>
  </si>
  <si>
    <t>ORD00959</t>
  </si>
  <si>
    <t>2024-10-28</t>
  </si>
  <si>
    <t>CUST4530</t>
  </si>
  <si>
    <t>ORD00960</t>
  </si>
  <si>
    <t>CUST2105</t>
  </si>
  <si>
    <t>ORD00961</t>
  </si>
  <si>
    <t>CUST6285</t>
  </si>
  <si>
    <t>ORD00962</t>
  </si>
  <si>
    <t>CUST4527</t>
  </si>
  <si>
    <t>ORD00963</t>
  </si>
  <si>
    <t>ORD00964</t>
  </si>
  <si>
    <t>CUST8276</t>
  </si>
  <si>
    <t>ORD00965</t>
  </si>
  <si>
    <t>CUST8117</t>
  </si>
  <si>
    <t>ORD00966</t>
  </si>
  <si>
    <t>ORD00967</t>
  </si>
  <si>
    <t>CUST1227</t>
  </si>
  <si>
    <t>ORD00968</t>
  </si>
  <si>
    <t>CUST6996</t>
  </si>
  <si>
    <t>ORD00969</t>
  </si>
  <si>
    <t>ORD00970</t>
  </si>
  <si>
    <t>CUST3932</t>
  </si>
  <si>
    <t>ORD00971</t>
  </si>
  <si>
    <t>CUST5836</t>
  </si>
  <si>
    <t>ORD00972</t>
  </si>
  <si>
    <t>CUST7088</t>
  </si>
  <si>
    <t>ORD00973</t>
  </si>
  <si>
    <t>2025-11-14</t>
  </si>
  <si>
    <t>CUST3438</t>
  </si>
  <si>
    <t>ORD00974</t>
  </si>
  <si>
    <t>ORD00975</t>
  </si>
  <si>
    <t>CUST1933</t>
  </si>
  <si>
    <t>ORD00976</t>
  </si>
  <si>
    <t>2024-04-27</t>
  </si>
  <si>
    <t>CUST7188</t>
  </si>
  <si>
    <t>ORD00977</t>
  </si>
  <si>
    <t>CUST8595</t>
  </si>
  <si>
    <t>ORD00978</t>
  </si>
  <si>
    <t>CUST2455</t>
  </si>
  <si>
    <t>ORD00979</t>
  </si>
  <si>
    <t>CUST8616</t>
  </si>
  <si>
    <t>ORD00980</t>
  </si>
  <si>
    <t>ORD00981</t>
  </si>
  <si>
    <t>2025-08-27</t>
  </si>
  <si>
    <t>CUST4732</t>
  </si>
  <si>
    <t>ORD00982</t>
  </si>
  <si>
    <t>CUST7527</t>
  </si>
  <si>
    <t>ORD00983</t>
  </si>
  <si>
    <t>CUST5340</t>
  </si>
  <si>
    <t>ORD00984</t>
  </si>
  <si>
    <t>CUST1163</t>
  </si>
  <si>
    <t>ORD00985</t>
  </si>
  <si>
    <t>CUST6263</t>
  </si>
  <si>
    <t>ORD00986</t>
  </si>
  <si>
    <t>2025-11-19</t>
  </si>
  <si>
    <t>CUST1455</t>
  </si>
  <si>
    <t>ORD00987</t>
  </si>
  <si>
    <t>2025-04-09</t>
  </si>
  <si>
    <t>CUST2380</t>
  </si>
  <si>
    <t>ORD00988</t>
  </si>
  <si>
    <t>CUST4515</t>
  </si>
  <si>
    <t>ORD00989</t>
  </si>
  <si>
    <t>CUST4760</t>
  </si>
  <si>
    <t>ORD00990</t>
  </si>
  <si>
    <t>CUST8178</t>
  </si>
  <si>
    <t>ORD00991</t>
  </si>
  <si>
    <t>CUST2725</t>
  </si>
  <si>
    <t>ORD00992</t>
  </si>
  <si>
    <t>CUST8845</t>
  </si>
  <si>
    <t>ORD00993</t>
  </si>
  <si>
    <t>2025-05-06</t>
  </si>
  <si>
    <t>CUST9918</t>
  </si>
  <si>
    <t>ORD00994</t>
  </si>
  <si>
    <t>2024-08-01</t>
  </si>
  <si>
    <t>CUST7332</t>
  </si>
  <si>
    <t>ORD00995</t>
  </si>
  <si>
    <t>CUST8933</t>
  </si>
  <si>
    <t>ORD00996</t>
  </si>
  <si>
    <t>2025-01-01</t>
  </si>
  <si>
    <t>CUST9686</t>
  </si>
  <si>
    <t>ORD00997</t>
  </si>
  <si>
    <t>CUST7475</t>
  </si>
  <si>
    <t>ORD00998</t>
  </si>
  <si>
    <t>CUST6668</t>
  </si>
  <si>
    <t>ORD00999</t>
  </si>
  <si>
    <t>CUST6534</t>
  </si>
  <si>
    <t>ORD01000</t>
  </si>
  <si>
    <t>CUST7335</t>
  </si>
  <si>
    <t>Row Labels</t>
  </si>
  <si>
    <t>Grand Total</t>
  </si>
  <si>
    <t>Sum of Sales</t>
  </si>
  <si>
    <t>Sum of Profit</t>
  </si>
  <si>
    <t>Sum of Quantity</t>
  </si>
  <si>
    <t>Count of OrderID</t>
  </si>
  <si>
    <t>Year</t>
  </si>
  <si>
    <t>month</t>
  </si>
  <si>
    <t>Aug</t>
  </si>
  <si>
    <t>Apr</t>
  </si>
  <si>
    <t>Nov</t>
  </si>
  <si>
    <t>May</t>
  </si>
  <si>
    <t>Feb</t>
  </si>
  <si>
    <t>Jun</t>
  </si>
  <si>
    <t>Jul</t>
  </si>
  <si>
    <t>Mar</t>
  </si>
  <si>
    <t>Dec</t>
  </si>
  <si>
    <t>Jan</t>
  </si>
  <si>
    <t>Sep</t>
  </si>
  <si>
    <t>Oct</t>
  </si>
  <si>
    <t>id</t>
  </si>
  <si>
    <t>OrderMonth</t>
  </si>
  <si>
    <t>Category</t>
  </si>
  <si>
    <t>Sum of Profit Margin</t>
  </si>
  <si>
    <t>right click-&gt;PV options-&gt; tools-&gt; remove gtrand totals for rows and cols</t>
  </si>
  <si>
    <t>it is line chart of the above pivot chart</t>
  </si>
  <si>
    <t>as the sparkline is not working I used this</t>
  </si>
  <si>
    <t>yoy=year on year growth</t>
  </si>
  <si>
    <t>we can do this by(curr year sales/previous year sales)-1</t>
  </si>
  <si>
    <t>Column Labels</t>
  </si>
  <si>
    <t>Average of ShippingDays</t>
  </si>
  <si>
    <t>waterfallchart</t>
  </si>
  <si>
    <t>combo area chart</t>
  </si>
  <si>
    <t>bar chart</t>
  </si>
  <si>
    <t>3d column chart</t>
  </si>
  <si>
    <t>100% stacked bar chart</t>
  </si>
  <si>
    <t>Average of Discount</t>
  </si>
  <si>
    <t>clusterd cloumn-combo chart</t>
  </si>
  <si>
    <t>Percentage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</si>
</sst>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quot;₹&quot;\ 0.00,&quot;k&quot;"/>
    <numFmt numFmtId="165" formatCode="_-[$$-409]* #,##0.00_ ;_-[$$-409]* \-#,##0.00\ ;_-[$$-409]* &quot;-&quot;??_ ;_-@_ "/>
    <numFmt numFmtId="166" formatCode="&quot;#&quot;\ 0"/>
    <numFmt numFmtId="167" formatCode="[Green]\⬆0.00%;[Red]\⬇0.00%"/>
    <numFmt numFmtId="168" formatCode="0.0"/>
  </numFmts>
  <fonts count="7" x14ac:knownFonts="1">
    <font>
      <sz val="11"/>
      <color theme="1"/>
      <name val="Calibri"/>
      <family val="2"/>
      <scheme val="minor"/>
    </font>
    <font>
      <b/>
      <sz val="11"/>
      <color theme="1"/>
      <name val="Calibri"/>
      <family val="2"/>
      <scheme val="minor"/>
    </font>
    <font>
      <sz val="11"/>
      <color theme="1"/>
      <name val="Calibri"/>
      <family val="2"/>
      <scheme val="minor"/>
    </font>
    <font>
      <b/>
      <sz val="11"/>
      <color theme="0" tint="-4.9989318521683403E-2"/>
      <name val="Calibri"/>
      <family val="2"/>
      <scheme val="minor"/>
    </font>
    <font>
      <b/>
      <sz val="11"/>
      <color theme="5" tint="-0.499984740745262"/>
      <name val="Arial Black"/>
      <family val="2"/>
    </font>
    <font>
      <b/>
      <sz val="11"/>
      <color theme="1"/>
      <name val="Arial Black"/>
      <family val="2"/>
    </font>
    <font>
      <b/>
      <sz val="11"/>
      <color theme="6" tint="-0.499984740745262"/>
      <name val="Arial Black"/>
      <family val="2"/>
    </font>
  </fonts>
  <fills count="4">
    <fill>
      <patternFill patternType="none"/>
    </fill>
    <fill>
      <patternFill patternType="gray125"/>
    </fill>
    <fill>
      <patternFill patternType="solid">
        <fgColor theme="7" tint="0.39997558519241921"/>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19">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0" fontId="0" fillId="0" borderId="0" xfId="0" applyNumberFormat="1"/>
    <xf numFmtId="0" fontId="1" fillId="0" borderId="0" xfId="0" applyFont="1"/>
    <xf numFmtId="0" fontId="0" fillId="3" borderId="1" xfId="0" applyFill="1" applyBorder="1"/>
    <xf numFmtId="0" fontId="3" fillId="2" borderId="1" xfId="0" applyFont="1" applyFill="1" applyBorder="1"/>
    <xf numFmtId="0" fontId="3" fillId="2" borderId="0" xfId="0" applyFont="1" applyFill="1"/>
    <xf numFmtId="164" fontId="0" fillId="0" borderId="0" xfId="0" applyNumberFormat="1"/>
    <xf numFmtId="165" fontId="0" fillId="0" borderId="0" xfId="0" applyNumberFormat="1"/>
    <xf numFmtId="166" fontId="0" fillId="0" borderId="0" xfId="0" applyNumberFormat="1"/>
    <xf numFmtId="10" fontId="0" fillId="0" borderId="0" xfId="1" applyNumberFormat="1" applyFont="1"/>
    <xf numFmtId="2" fontId="0" fillId="0" borderId="0" xfId="0" applyNumberFormat="1"/>
    <xf numFmtId="167" fontId="5" fillId="0" borderId="0" xfId="0" applyNumberFormat="1" applyFont="1" applyAlignment="1">
      <alignment horizontal="center" vertical="center"/>
    </xf>
    <xf numFmtId="167" fontId="4" fillId="0" borderId="0" xfId="0" applyNumberFormat="1" applyFont="1" applyAlignment="1">
      <alignment horizontal="center" vertical="center"/>
    </xf>
    <xf numFmtId="167" fontId="6" fillId="0" borderId="0" xfId="0" applyNumberFormat="1" applyFont="1" applyAlignment="1">
      <alignment horizontal="center" vertical="center"/>
    </xf>
    <xf numFmtId="168" fontId="0" fillId="0" borderId="0" xfId="0" applyNumberFormat="1"/>
  </cellXfs>
  <cellStyles count="2">
    <cellStyle name="Normal" xfId="0" builtinId="0"/>
    <cellStyle name="Percent" xfId="1" builtinId="5"/>
  </cellStyles>
  <dxfs count="39">
    <dxf>
      <numFmt numFmtId="168" formatCode="0.0"/>
    </dxf>
    <dxf>
      <numFmt numFmtId="1" formatCode="0"/>
    </dxf>
    <dxf>
      <numFmt numFmtId="168" formatCode="0.0"/>
    </dxf>
    <dxf>
      <numFmt numFmtId="2" formatCode="0.00"/>
    </dxf>
    <dxf>
      <numFmt numFmtId="169" formatCode="0.000"/>
    </dxf>
    <dxf>
      <numFmt numFmtId="2" formatCode="0.00"/>
    </dxf>
    <dxf>
      <numFmt numFmtId="164" formatCode="&quot;₹&quot;\ 0.00,&quot;k&quot;"/>
    </dxf>
    <dxf>
      <numFmt numFmtId="168" formatCode="0.0"/>
    </dxf>
    <dxf>
      <numFmt numFmtId="1" formatCode="0"/>
    </dxf>
    <dxf>
      <numFmt numFmtId="168" formatCode="0.0"/>
    </dxf>
    <dxf>
      <numFmt numFmtId="2" formatCode="0.00"/>
    </dxf>
    <dxf>
      <numFmt numFmtId="168" formatCode="0.0"/>
    </dxf>
    <dxf>
      <numFmt numFmtId="2" formatCode="0.00"/>
    </dxf>
    <dxf>
      <numFmt numFmtId="169" formatCode="0.000"/>
    </dxf>
    <dxf>
      <numFmt numFmtId="170" formatCode="0.0000"/>
    </dxf>
    <dxf>
      <numFmt numFmtId="171" formatCode="0.00000"/>
    </dxf>
    <dxf>
      <numFmt numFmtId="172" formatCode="0.000000"/>
    </dxf>
    <dxf>
      <numFmt numFmtId="173" formatCode="0.0000000"/>
    </dxf>
    <dxf>
      <numFmt numFmtId="174" formatCode="0.00000000"/>
    </dxf>
    <dxf>
      <numFmt numFmtId="2" formatCode="0.00"/>
    </dxf>
    <dxf>
      <numFmt numFmtId="168" formatCode="0.0"/>
    </dxf>
    <dxf>
      <numFmt numFmtId="2" formatCode="0.00"/>
    </dxf>
    <dxf>
      <numFmt numFmtId="169" formatCode="0.000"/>
    </dxf>
    <dxf>
      <numFmt numFmtId="170" formatCode="0.0000"/>
    </dxf>
    <dxf>
      <numFmt numFmtId="171" formatCode="0.00000"/>
    </dxf>
    <dxf>
      <numFmt numFmtId="172" formatCode="0.000000"/>
    </dxf>
    <dxf>
      <numFmt numFmtId="173" formatCode="0.0000000"/>
    </dxf>
    <dxf>
      <numFmt numFmtId="174" formatCode="0.00000000"/>
    </dxf>
    <dxf>
      <numFmt numFmtId="2" formatCode="0.00"/>
    </dxf>
    <dxf>
      <numFmt numFmtId="168" formatCode="0.0"/>
    </dxf>
    <dxf>
      <numFmt numFmtId="2" formatCode="0.00"/>
    </dxf>
    <dxf>
      <numFmt numFmtId="169" formatCode="0.000"/>
    </dxf>
    <dxf>
      <numFmt numFmtId="170" formatCode="0.0000"/>
    </dxf>
    <dxf>
      <numFmt numFmtId="171" formatCode="0.00000"/>
    </dxf>
    <dxf>
      <numFmt numFmtId="172" formatCode="0.000000"/>
    </dxf>
    <dxf>
      <numFmt numFmtId="173" formatCode="0.0000000"/>
    </dxf>
    <dxf>
      <numFmt numFmtId="174" formatCode="0.00000000"/>
    </dxf>
    <dxf>
      <font>
        <b/>
        <i val="0"/>
        <sz val="12"/>
        <color theme="0"/>
      </font>
      <border>
        <bottom style="thin">
          <color theme="4"/>
        </bottom>
        <vertical/>
        <horizontal/>
      </border>
    </dxf>
    <dxf>
      <font>
        <color theme="1"/>
      </font>
      <fill>
        <patternFill patternType="solid">
          <fgColor auto="1"/>
          <bgColor theme="3" tint="-0.24994659260841701"/>
        </patternFill>
      </fill>
      <border diagonalUp="0" diagonalDown="0">
        <left/>
        <right/>
        <top/>
        <bottom/>
        <vertical/>
        <horizontal/>
      </border>
    </dxf>
  </dxfs>
  <tableStyles count="1" defaultTableStyle="TableStyleMedium9" defaultPivotStyle="PivotStyleLight16">
    <tableStyle name="p" pivot="0" table="0" count="10">
      <tableStyleElement type="wholeTable" dxfId="38"/>
      <tableStyleElement type="headerRow" dxfId="37"/>
    </tableStyle>
  </tableStyles>
  <colors>
    <mruColors>
      <color rgb="FFFFFF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3" tint="-0.2499465926084170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p">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4.xml"/><Relationship Id="rId17" Type="http://schemas.microsoft.com/office/2007/relationships/slicerCache" Target="slicerCaches/slicerCache9.xml"/><Relationship Id="rId2" Type="http://schemas.openxmlformats.org/officeDocument/2006/relationships/worksheet" Target="worksheets/sheet2.xml"/><Relationship Id="rId16" Type="http://schemas.microsoft.com/office/2007/relationships/slicerCache" Target="slicerCaches/slicerCache8.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10" Type="http://schemas.microsoft.com/office/2007/relationships/slicerCache" Target="slicerCaches/slicerCache2.xml"/><Relationship Id="rId19" Type="http://schemas.openxmlformats.org/officeDocument/2006/relationships/styles" Target="styles.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image" Target="../media/image23.jpeg"/><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project.xlsx]KPIs!tot sales</c:name>
    <c:fmtId val="12"/>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34925" cap="rnd" cmpd="sng">
            <a:solidFill>
              <a:schemeClr val="tx2">
                <a:lumMod val="50000"/>
              </a:schemeClr>
            </a:solidFill>
            <a:round/>
          </a:ln>
          <a:effectLst/>
        </c:spPr>
        <c:marker>
          <c:symbol val="none"/>
        </c:marker>
      </c:pivotFmt>
    </c:pivotFmts>
    <c:plotArea>
      <c:layout>
        <c:manualLayout>
          <c:layoutTarget val="inner"/>
          <c:xMode val="edge"/>
          <c:yMode val="edge"/>
          <c:x val="7.3571567434769433E-2"/>
          <c:y val="0.16876650375313162"/>
          <c:w val="0.89209522191154433"/>
          <c:h val="0.63650934485818145"/>
        </c:manualLayout>
      </c:layout>
      <c:lineChart>
        <c:grouping val="standard"/>
        <c:varyColors val="0"/>
        <c:ser>
          <c:idx val="0"/>
          <c:order val="0"/>
          <c:tx>
            <c:strRef>
              <c:f>KPIs!$B$1</c:f>
              <c:strCache>
                <c:ptCount val="1"/>
                <c:pt idx="0">
                  <c:v>Total</c:v>
                </c:pt>
              </c:strCache>
            </c:strRef>
          </c:tx>
          <c:spPr>
            <a:ln w="34925" cap="rnd" cmpd="sng">
              <a:solidFill>
                <a:schemeClr val="tx2">
                  <a:lumMod val="50000"/>
                </a:schemeClr>
              </a:solidFill>
              <a:round/>
            </a:ln>
            <a:effectLst/>
          </c:spPr>
          <c:marker>
            <c:symbol val="none"/>
          </c:marker>
          <c:cat>
            <c:strRef>
              <c:f>KPIs!$A$2:$A$14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KPIs!$B$2:$B$14</c:f>
              <c:numCache>
                <c:formatCode>General</c:formatCode>
                <c:ptCount val="12"/>
                <c:pt idx="0">
                  <c:v>130235.7</c:v>
                </c:pt>
                <c:pt idx="1">
                  <c:v>123386.54999999999</c:v>
                </c:pt>
                <c:pt idx="2">
                  <c:v>109967.59</c:v>
                </c:pt>
                <c:pt idx="3">
                  <c:v>122940.36999999998</c:v>
                </c:pt>
                <c:pt idx="4">
                  <c:v>126507.20000000001</c:v>
                </c:pt>
                <c:pt idx="5">
                  <c:v>130764.56999999996</c:v>
                </c:pt>
                <c:pt idx="6">
                  <c:v>101473.74</c:v>
                </c:pt>
                <c:pt idx="7">
                  <c:v>144159.16000000003</c:v>
                </c:pt>
                <c:pt idx="8">
                  <c:v>134848.82</c:v>
                </c:pt>
                <c:pt idx="9">
                  <c:v>131816.47999999998</c:v>
                </c:pt>
                <c:pt idx="10">
                  <c:v>108358.24</c:v>
                </c:pt>
                <c:pt idx="11">
                  <c:v>162994.06000000003</c:v>
                </c:pt>
              </c:numCache>
            </c:numRef>
          </c:val>
          <c:smooth val="0"/>
          <c:extLst>
            <c:ext xmlns:c16="http://schemas.microsoft.com/office/drawing/2014/chart" uri="{C3380CC4-5D6E-409C-BE32-E72D297353CC}">
              <c16:uniqueId val="{00000000-6F52-4ACD-B5CF-2E4FDA1F3B3B}"/>
            </c:ext>
          </c:extLst>
        </c:ser>
        <c:dLbls>
          <c:showLegendKey val="0"/>
          <c:showVal val="0"/>
          <c:showCatName val="0"/>
          <c:showSerName val="0"/>
          <c:showPercent val="0"/>
          <c:showBubbleSize val="0"/>
        </c:dLbls>
        <c:smooth val="0"/>
        <c:axId val="930049520"/>
        <c:axId val="930039952"/>
      </c:lineChart>
      <c:catAx>
        <c:axId val="930049520"/>
        <c:scaling>
          <c:orientation val="minMax"/>
        </c:scaling>
        <c:delete val="1"/>
        <c:axPos val="b"/>
        <c:numFmt formatCode="General" sourceLinked="1"/>
        <c:majorTickMark val="none"/>
        <c:minorTickMark val="none"/>
        <c:tickLblPos val="nextTo"/>
        <c:crossAx val="930039952"/>
        <c:crosses val="autoZero"/>
        <c:auto val="1"/>
        <c:lblAlgn val="ctr"/>
        <c:lblOffset val="100"/>
        <c:noMultiLvlLbl val="0"/>
      </c:catAx>
      <c:valAx>
        <c:axId val="930039952"/>
        <c:scaling>
          <c:orientation val="minMax"/>
        </c:scaling>
        <c:delete val="1"/>
        <c:axPos val="l"/>
        <c:numFmt formatCode="General" sourceLinked="1"/>
        <c:majorTickMark val="none"/>
        <c:minorTickMark val="none"/>
        <c:tickLblPos val="nextTo"/>
        <c:crossAx val="9300495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project.xlsx]KPIs!tot quantity</c:name>
    <c:fmtId val="5"/>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34925" cap="rnd">
            <a:solidFill>
              <a:schemeClr val="tx2">
                <a:lumMod val="50000"/>
              </a:schemeClr>
            </a:solidFill>
            <a:round/>
          </a:ln>
          <a:effectLst/>
        </c:spPr>
        <c:marker>
          <c:symbol val="none"/>
        </c:marker>
      </c:pivotFmt>
    </c:pivotFmts>
    <c:plotArea>
      <c:layout/>
      <c:lineChart>
        <c:grouping val="standard"/>
        <c:varyColors val="0"/>
        <c:ser>
          <c:idx val="0"/>
          <c:order val="0"/>
          <c:tx>
            <c:strRef>
              <c:f>KPIs!$H$1</c:f>
              <c:strCache>
                <c:ptCount val="1"/>
                <c:pt idx="0">
                  <c:v>Total</c:v>
                </c:pt>
              </c:strCache>
            </c:strRef>
          </c:tx>
          <c:spPr>
            <a:ln w="34925" cap="rnd">
              <a:solidFill>
                <a:schemeClr val="tx2">
                  <a:lumMod val="50000"/>
                </a:schemeClr>
              </a:solidFill>
              <a:round/>
            </a:ln>
            <a:effectLst/>
          </c:spPr>
          <c:marker>
            <c:symbol val="none"/>
          </c:marker>
          <c:cat>
            <c:strRef>
              <c:f>KPIs!$G$2:$G$14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KPIs!$H$2:$H$14</c:f>
              <c:numCache>
                <c:formatCode>General</c:formatCode>
                <c:ptCount val="12"/>
                <c:pt idx="0">
                  <c:v>241</c:v>
                </c:pt>
                <c:pt idx="1">
                  <c:v>250</c:v>
                </c:pt>
                <c:pt idx="2">
                  <c:v>217</c:v>
                </c:pt>
                <c:pt idx="3">
                  <c:v>249</c:v>
                </c:pt>
                <c:pt idx="4">
                  <c:v>270</c:v>
                </c:pt>
                <c:pt idx="5">
                  <c:v>223</c:v>
                </c:pt>
                <c:pt idx="6">
                  <c:v>219</c:v>
                </c:pt>
                <c:pt idx="7">
                  <c:v>267</c:v>
                </c:pt>
                <c:pt idx="8">
                  <c:v>221</c:v>
                </c:pt>
                <c:pt idx="9">
                  <c:v>250</c:v>
                </c:pt>
                <c:pt idx="10">
                  <c:v>231</c:v>
                </c:pt>
                <c:pt idx="11">
                  <c:v>325</c:v>
                </c:pt>
              </c:numCache>
            </c:numRef>
          </c:val>
          <c:smooth val="0"/>
          <c:extLst>
            <c:ext xmlns:c16="http://schemas.microsoft.com/office/drawing/2014/chart" uri="{C3380CC4-5D6E-409C-BE32-E72D297353CC}">
              <c16:uniqueId val="{00000000-D907-4B6A-9F1D-D033C5DEB950}"/>
            </c:ext>
          </c:extLst>
        </c:ser>
        <c:dLbls>
          <c:showLegendKey val="0"/>
          <c:showVal val="0"/>
          <c:showCatName val="0"/>
          <c:showSerName val="0"/>
          <c:showPercent val="0"/>
          <c:showBubbleSize val="0"/>
        </c:dLbls>
        <c:smooth val="0"/>
        <c:axId val="930794448"/>
        <c:axId val="930789872"/>
      </c:lineChart>
      <c:catAx>
        <c:axId val="930794448"/>
        <c:scaling>
          <c:orientation val="minMax"/>
        </c:scaling>
        <c:delete val="1"/>
        <c:axPos val="b"/>
        <c:numFmt formatCode="General" sourceLinked="1"/>
        <c:majorTickMark val="none"/>
        <c:minorTickMark val="none"/>
        <c:tickLblPos val="nextTo"/>
        <c:crossAx val="930789872"/>
        <c:crosses val="autoZero"/>
        <c:auto val="1"/>
        <c:lblAlgn val="ctr"/>
        <c:lblOffset val="100"/>
        <c:noMultiLvlLbl val="0"/>
      </c:catAx>
      <c:valAx>
        <c:axId val="930789872"/>
        <c:scaling>
          <c:orientation val="minMax"/>
        </c:scaling>
        <c:delete val="1"/>
        <c:axPos val="l"/>
        <c:numFmt formatCode="General" sourceLinked="1"/>
        <c:majorTickMark val="none"/>
        <c:minorTickMark val="none"/>
        <c:tickLblPos val="nextTo"/>
        <c:crossAx val="9307944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project.xlsx]KPIs!tot order ids</c:name>
    <c:fmtId val="6"/>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34925" cap="rnd">
            <a:solidFill>
              <a:schemeClr val="tx2">
                <a:lumMod val="50000"/>
              </a:schemeClr>
            </a:solidFill>
            <a:round/>
          </a:ln>
          <a:effectLst/>
        </c:spPr>
        <c:marker>
          <c:symbol val="none"/>
        </c:marker>
      </c:pivotFmt>
    </c:pivotFmts>
    <c:plotArea>
      <c:layout>
        <c:manualLayout>
          <c:layoutTarget val="inner"/>
          <c:xMode val="edge"/>
          <c:yMode val="edge"/>
          <c:x val="0.1285204891874368"/>
          <c:y val="0.38218860656642156"/>
          <c:w val="0.79803923127688503"/>
          <c:h val="0.29932088796156048"/>
        </c:manualLayout>
      </c:layout>
      <c:lineChart>
        <c:grouping val="standard"/>
        <c:varyColors val="0"/>
        <c:ser>
          <c:idx val="0"/>
          <c:order val="0"/>
          <c:tx>
            <c:strRef>
              <c:f>KPIs!$K$1</c:f>
              <c:strCache>
                <c:ptCount val="1"/>
                <c:pt idx="0">
                  <c:v>Total</c:v>
                </c:pt>
              </c:strCache>
            </c:strRef>
          </c:tx>
          <c:spPr>
            <a:ln w="34925" cap="rnd">
              <a:solidFill>
                <a:schemeClr val="tx2">
                  <a:lumMod val="50000"/>
                </a:schemeClr>
              </a:solidFill>
              <a:round/>
            </a:ln>
            <a:effectLst/>
          </c:spPr>
          <c:marker>
            <c:symbol val="none"/>
          </c:marker>
          <c:cat>
            <c:strRef>
              <c:f>KPIs!$J$2:$J$14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KPIs!$K$2:$K$14</c:f>
              <c:numCache>
                <c:formatCode>General</c:formatCode>
                <c:ptCount val="12"/>
                <c:pt idx="0">
                  <c:v>85</c:v>
                </c:pt>
                <c:pt idx="1">
                  <c:v>75</c:v>
                </c:pt>
                <c:pt idx="2">
                  <c:v>81</c:v>
                </c:pt>
                <c:pt idx="3">
                  <c:v>79</c:v>
                </c:pt>
                <c:pt idx="4">
                  <c:v>92</c:v>
                </c:pt>
                <c:pt idx="5">
                  <c:v>81</c:v>
                </c:pt>
                <c:pt idx="6">
                  <c:v>72</c:v>
                </c:pt>
                <c:pt idx="7">
                  <c:v>93</c:v>
                </c:pt>
                <c:pt idx="8">
                  <c:v>76</c:v>
                </c:pt>
                <c:pt idx="9">
                  <c:v>79</c:v>
                </c:pt>
                <c:pt idx="10">
                  <c:v>82</c:v>
                </c:pt>
                <c:pt idx="11">
                  <c:v>105</c:v>
                </c:pt>
              </c:numCache>
            </c:numRef>
          </c:val>
          <c:smooth val="0"/>
          <c:extLst>
            <c:ext xmlns:c16="http://schemas.microsoft.com/office/drawing/2014/chart" uri="{C3380CC4-5D6E-409C-BE32-E72D297353CC}">
              <c16:uniqueId val="{00000000-9C10-4219-82D1-7D493D3279F6}"/>
            </c:ext>
          </c:extLst>
        </c:ser>
        <c:dLbls>
          <c:showLegendKey val="0"/>
          <c:showVal val="0"/>
          <c:showCatName val="0"/>
          <c:showSerName val="0"/>
          <c:showPercent val="0"/>
          <c:showBubbleSize val="0"/>
        </c:dLbls>
        <c:smooth val="0"/>
        <c:axId val="930790704"/>
        <c:axId val="930792784"/>
      </c:lineChart>
      <c:catAx>
        <c:axId val="930790704"/>
        <c:scaling>
          <c:orientation val="minMax"/>
        </c:scaling>
        <c:delete val="1"/>
        <c:axPos val="b"/>
        <c:numFmt formatCode="General" sourceLinked="1"/>
        <c:majorTickMark val="none"/>
        <c:minorTickMark val="none"/>
        <c:tickLblPos val="nextTo"/>
        <c:crossAx val="930792784"/>
        <c:crosses val="autoZero"/>
        <c:auto val="1"/>
        <c:lblAlgn val="ctr"/>
        <c:lblOffset val="100"/>
        <c:noMultiLvlLbl val="0"/>
      </c:catAx>
      <c:valAx>
        <c:axId val="930792784"/>
        <c:scaling>
          <c:orientation val="minMax"/>
        </c:scaling>
        <c:delete val="1"/>
        <c:axPos val="l"/>
        <c:numFmt formatCode="General" sourceLinked="1"/>
        <c:majorTickMark val="none"/>
        <c:minorTickMark val="none"/>
        <c:tickLblPos val="nextTo"/>
        <c:crossAx val="93079070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project.xlsx]KPIs!tot profit</c:name>
    <c:fmtId val="5"/>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34925" cap="rnd">
            <a:solidFill>
              <a:schemeClr val="tx2">
                <a:lumMod val="50000"/>
              </a:schemeClr>
            </a:solidFill>
            <a:round/>
          </a:ln>
          <a:effectLst/>
        </c:spPr>
        <c:marker>
          <c:symbol val="none"/>
        </c:marker>
      </c:pivotFmt>
    </c:pivotFmts>
    <c:plotArea>
      <c:layout>
        <c:manualLayout>
          <c:layoutTarget val="inner"/>
          <c:xMode val="edge"/>
          <c:yMode val="edge"/>
          <c:x val="4.5365664823581113E-2"/>
          <c:y val="0.22086346349563449"/>
          <c:w val="0.93888888888888888"/>
          <c:h val="0.77371681071905252"/>
        </c:manualLayout>
      </c:layout>
      <c:lineChart>
        <c:grouping val="standard"/>
        <c:varyColors val="0"/>
        <c:ser>
          <c:idx val="0"/>
          <c:order val="0"/>
          <c:tx>
            <c:strRef>
              <c:f>KPIs!$E$1</c:f>
              <c:strCache>
                <c:ptCount val="1"/>
                <c:pt idx="0">
                  <c:v>Total</c:v>
                </c:pt>
              </c:strCache>
            </c:strRef>
          </c:tx>
          <c:spPr>
            <a:ln w="34925" cap="rnd">
              <a:solidFill>
                <a:schemeClr val="tx2">
                  <a:lumMod val="50000"/>
                </a:schemeClr>
              </a:solidFill>
              <a:round/>
            </a:ln>
            <a:effectLst/>
          </c:spPr>
          <c:marker>
            <c:symbol val="none"/>
          </c:marker>
          <c:cat>
            <c:strRef>
              <c:f>KPIs!$D$2:$D$14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KPIs!$E$2:$E$14</c:f>
              <c:numCache>
                <c:formatCode>General</c:formatCode>
                <c:ptCount val="12"/>
                <c:pt idx="0">
                  <c:v>30775.80999999999</c:v>
                </c:pt>
                <c:pt idx="1">
                  <c:v>26446.85999999999</c:v>
                </c:pt>
                <c:pt idx="2">
                  <c:v>26292.469999999994</c:v>
                </c:pt>
                <c:pt idx="3">
                  <c:v>29191.89000000001</c:v>
                </c:pt>
                <c:pt idx="4">
                  <c:v>28306.76999999999</c:v>
                </c:pt>
                <c:pt idx="5">
                  <c:v>28542.190000000002</c:v>
                </c:pt>
                <c:pt idx="6">
                  <c:v>25104.22</c:v>
                </c:pt>
                <c:pt idx="7">
                  <c:v>32803.589999999997</c:v>
                </c:pt>
                <c:pt idx="8">
                  <c:v>30069.350000000002</c:v>
                </c:pt>
                <c:pt idx="9">
                  <c:v>26467.579999999998</c:v>
                </c:pt>
                <c:pt idx="10">
                  <c:v>25108.149999999998</c:v>
                </c:pt>
                <c:pt idx="11">
                  <c:v>35893.79</c:v>
                </c:pt>
              </c:numCache>
            </c:numRef>
          </c:val>
          <c:smooth val="0"/>
          <c:extLst>
            <c:ext xmlns:c16="http://schemas.microsoft.com/office/drawing/2014/chart" uri="{C3380CC4-5D6E-409C-BE32-E72D297353CC}">
              <c16:uniqueId val="{00000000-3C42-49D9-84FD-48C3B11060E6}"/>
            </c:ext>
          </c:extLst>
        </c:ser>
        <c:dLbls>
          <c:showLegendKey val="0"/>
          <c:showVal val="0"/>
          <c:showCatName val="0"/>
          <c:showSerName val="0"/>
          <c:showPercent val="0"/>
          <c:showBubbleSize val="0"/>
        </c:dLbls>
        <c:smooth val="0"/>
        <c:axId val="826318848"/>
        <c:axId val="826323840"/>
      </c:lineChart>
      <c:catAx>
        <c:axId val="826318848"/>
        <c:scaling>
          <c:orientation val="minMax"/>
        </c:scaling>
        <c:delete val="1"/>
        <c:axPos val="b"/>
        <c:numFmt formatCode="General" sourceLinked="1"/>
        <c:majorTickMark val="none"/>
        <c:minorTickMark val="none"/>
        <c:tickLblPos val="nextTo"/>
        <c:crossAx val="826323840"/>
        <c:crosses val="autoZero"/>
        <c:auto val="1"/>
        <c:lblAlgn val="ctr"/>
        <c:lblOffset val="100"/>
        <c:noMultiLvlLbl val="0"/>
      </c:catAx>
      <c:valAx>
        <c:axId val="826323840"/>
        <c:scaling>
          <c:orientation val="minMax"/>
        </c:scaling>
        <c:delete val="1"/>
        <c:axPos val="l"/>
        <c:numFmt formatCode="General" sourceLinked="1"/>
        <c:majorTickMark val="none"/>
        <c:minorTickMark val="none"/>
        <c:tickLblPos val="nextTo"/>
        <c:crossAx val="8263188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project.xlsx]KPIs!tot profit margin</c:name>
    <c:fmtId val="7"/>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34925" cap="rnd">
            <a:solidFill>
              <a:schemeClr val="tx2">
                <a:lumMod val="50000"/>
              </a:schemeClr>
            </a:solidFill>
            <a:round/>
          </a:ln>
          <a:effectLst/>
        </c:spPr>
        <c:marker>
          <c:symbol val="none"/>
        </c:marker>
      </c:pivotFmt>
    </c:pivotFmts>
    <c:plotArea>
      <c:layout>
        <c:manualLayout>
          <c:layoutTarget val="inner"/>
          <c:xMode val="edge"/>
          <c:yMode val="edge"/>
          <c:x val="5.0909799357400462E-2"/>
          <c:y val="0.21021730587966375"/>
          <c:w val="0.85585239780817224"/>
          <c:h val="0.58904633451098865"/>
        </c:manualLayout>
      </c:layout>
      <c:lineChart>
        <c:grouping val="standard"/>
        <c:varyColors val="0"/>
        <c:ser>
          <c:idx val="0"/>
          <c:order val="0"/>
          <c:tx>
            <c:strRef>
              <c:f>KPIs!$N$1</c:f>
              <c:strCache>
                <c:ptCount val="1"/>
                <c:pt idx="0">
                  <c:v>Total</c:v>
                </c:pt>
              </c:strCache>
            </c:strRef>
          </c:tx>
          <c:spPr>
            <a:ln w="34925" cap="rnd">
              <a:solidFill>
                <a:schemeClr val="tx2">
                  <a:lumMod val="50000"/>
                </a:schemeClr>
              </a:solidFill>
              <a:round/>
            </a:ln>
            <a:effectLst/>
          </c:spPr>
          <c:marker>
            <c:symbol val="none"/>
          </c:marker>
          <c:cat>
            <c:strRef>
              <c:f>KPIs!$M$2:$M$14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KPIs!$N$2:$N$14</c:f>
              <c:numCache>
                <c:formatCode>General</c:formatCode>
                <c:ptCount val="12"/>
                <c:pt idx="0">
                  <c:v>0.23630855441326756</c:v>
                </c:pt>
                <c:pt idx="1">
                  <c:v>0.21434151453298592</c:v>
                </c:pt>
                <c:pt idx="2">
                  <c:v>0.23909290000808414</c:v>
                </c:pt>
                <c:pt idx="3">
                  <c:v>0.23744755282581315</c:v>
                </c:pt>
                <c:pt idx="4">
                  <c:v>0.22375619727572807</c:v>
                </c:pt>
                <c:pt idx="5">
                  <c:v>0.2182715853384446</c:v>
                </c:pt>
                <c:pt idx="6">
                  <c:v>0.24739622290456625</c:v>
                </c:pt>
                <c:pt idx="7">
                  <c:v>0.22755120104750881</c:v>
                </c:pt>
                <c:pt idx="8">
                  <c:v>0.22298563680423752</c:v>
                </c:pt>
                <c:pt idx="9">
                  <c:v>0.20079113021376388</c:v>
                </c:pt>
                <c:pt idx="10">
                  <c:v>0.23171426556946659</c:v>
                </c:pt>
                <c:pt idx="11">
                  <c:v>0.22021532563824717</c:v>
                </c:pt>
              </c:numCache>
            </c:numRef>
          </c:val>
          <c:smooth val="0"/>
          <c:extLst>
            <c:ext xmlns:c16="http://schemas.microsoft.com/office/drawing/2014/chart" uri="{C3380CC4-5D6E-409C-BE32-E72D297353CC}">
              <c16:uniqueId val="{00000000-8204-4A0E-B563-8F78D35993BC}"/>
            </c:ext>
          </c:extLst>
        </c:ser>
        <c:dLbls>
          <c:showLegendKey val="0"/>
          <c:showVal val="0"/>
          <c:showCatName val="0"/>
          <c:showSerName val="0"/>
          <c:showPercent val="0"/>
          <c:showBubbleSize val="0"/>
        </c:dLbls>
        <c:smooth val="0"/>
        <c:axId val="826321344"/>
        <c:axId val="826322592"/>
      </c:lineChart>
      <c:catAx>
        <c:axId val="826321344"/>
        <c:scaling>
          <c:orientation val="minMax"/>
        </c:scaling>
        <c:delete val="1"/>
        <c:axPos val="b"/>
        <c:numFmt formatCode="General" sourceLinked="1"/>
        <c:majorTickMark val="none"/>
        <c:minorTickMark val="none"/>
        <c:tickLblPos val="nextTo"/>
        <c:crossAx val="826322592"/>
        <c:crosses val="autoZero"/>
        <c:auto val="1"/>
        <c:lblAlgn val="ctr"/>
        <c:lblOffset val="100"/>
        <c:noMultiLvlLbl val="0"/>
      </c:catAx>
      <c:valAx>
        <c:axId val="826322592"/>
        <c:scaling>
          <c:orientation val="minMax"/>
        </c:scaling>
        <c:delete val="1"/>
        <c:axPos val="l"/>
        <c:numFmt formatCode="General" sourceLinked="1"/>
        <c:majorTickMark val="none"/>
        <c:minorTickMark val="none"/>
        <c:tickLblPos val="nextTo"/>
        <c:crossAx val="82632134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project.xlsx]pivot tables area!PV Sales vs profit</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tx2">
              <a:lumMod val="60000"/>
              <a:lumOff val="40000"/>
            </a:schemeClr>
          </a:solidFill>
          <a:ln>
            <a:noFill/>
          </a:ln>
          <a:effectLst/>
        </c:spPr>
        <c:marker>
          <c:symbol val="none"/>
        </c:marker>
      </c:pivotFmt>
      <c:pivotFmt>
        <c:idx val="5"/>
        <c:spPr>
          <a:solidFill>
            <a:schemeClr val="bg1">
              <a:lumMod val="75000"/>
            </a:schemeClr>
          </a:solidFill>
          <a:ln>
            <a:solidFill>
              <a:schemeClr val="accent1">
                <a:shade val="50000"/>
              </a:schemeClr>
            </a:solidFill>
          </a:ln>
          <a:effectLst/>
        </c:spPr>
        <c:marker>
          <c:symbol val="none"/>
        </c:marker>
      </c:pivotFmt>
    </c:pivotFmts>
    <c:plotArea>
      <c:layout/>
      <c:areaChart>
        <c:grouping val="stacked"/>
        <c:varyColors val="0"/>
        <c:ser>
          <c:idx val="0"/>
          <c:order val="0"/>
          <c:tx>
            <c:strRef>
              <c:f>'pivot tables area'!$B$1</c:f>
              <c:strCache>
                <c:ptCount val="1"/>
                <c:pt idx="0">
                  <c:v>Sum of Sales</c:v>
                </c:pt>
              </c:strCache>
            </c:strRef>
          </c:tx>
          <c:spPr>
            <a:solidFill>
              <a:schemeClr val="tx2">
                <a:lumMod val="60000"/>
                <a:lumOff val="40000"/>
              </a:schemeClr>
            </a:solidFill>
            <a:ln>
              <a:noFill/>
            </a:ln>
            <a:effectLst/>
          </c:spPr>
          <c:cat>
            <c:strRef>
              <c:f>'pivot tables area'!$A$2:$A$14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 area'!$B$2:$B$14</c:f>
              <c:numCache>
                <c:formatCode>"₹"\ 0.00,"k"</c:formatCode>
                <c:ptCount val="12"/>
                <c:pt idx="0">
                  <c:v>130235.7</c:v>
                </c:pt>
                <c:pt idx="1">
                  <c:v>123386.54999999999</c:v>
                </c:pt>
                <c:pt idx="2">
                  <c:v>109967.59</c:v>
                </c:pt>
                <c:pt idx="3">
                  <c:v>122940.36999999998</c:v>
                </c:pt>
                <c:pt idx="4">
                  <c:v>126507.20000000001</c:v>
                </c:pt>
                <c:pt idx="5">
                  <c:v>130764.56999999996</c:v>
                </c:pt>
                <c:pt idx="6">
                  <c:v>101473.74</c:v>
                </c:pt>
                <c:pt idx="7">
                  <c:v>144159.16000000003</c:v>
                </c:pt>
                <c:pt idx="8">
                  <c:v>134848.82</c:v>
                </c:pt>
                <c:pt idx="9">
                  <c:v>131816.47999999998</c:v>
                </c:pt>
                <c:pt idx="10">
                  <c:v>108358.24</c:v>
                </c:pt>
                <c:pt idx="11">
                  <c:v>162994.06000000003</c:v>
                </c:pt>
              </c:numCache>
            </c:numRef>
          </c:val>
          <c:extLst>
            <c:ext xmlns:c16="http://schemas.microsoft.com/office/drawing/2014/chart" uri="{C3380CC4-5D6E-409C-BE32-E72D297353CC}">
              <c16:uniqueId val="{00000000-66A5-4AA5-B1FE-3A7AEBB4859E}"/>
            </c:ext>
          </c:extLst>
        </c:ser>
        <c:dLbls>
          <c:showLegendKey val="0"/>
          <c:showVal val="0"/>
          <c:showCatName val="0"/>
          <c:showSerName val="0"/>
          <c:showPercent val="0"/>
          <c:showBubbleSize val="0"/>
        </c:dLbls>
        <c:axId val="1618963936"/>
        <c:axId val="1618964352"/>
      </c:areaChart>
      <c:barChart>
        <c:barDir val="col"/>
        <c:grouping val="clustered"/>
        <c:varyColors val="0"/>
        <c:ser>
          <c:idx val="1"/>
          <c:order val="1"/>
          <c:tx>
            <c:strRef>
              <c:f>'pivot tables area'!$C$1</c:f>
              <c:strCache>
                <c:ptCount val="1"/>
                <c:pt idx="0">
                  <c:v>Sum of Profit</c:v>
                </c:pt>
              </c:strCache>
            </c:strRef>
          </c:tx>
          <c:spPr>
            <a:solidFill>
              <a:schemeClr val="bg1">
                <a:lumMod val="75000"/>
              </a:schemeClr>
            </a:solidFill>
            <a:ln>
              <a:solidFill>
                <a:schemeClr val="accent1">
                  <a:shade val="50000"/>
                </a:schemeClr>
              </a:solidFill>
            </a:ln>
            <a:effectLst/>
          </c:spPr>
          <c:invertIfNegative val="0"/>
          <c:cat>
            <c:strRef>
              <c:f>'pivot tables area'!$A$2:$A$14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 area'!$C$2:$C$14</c:f>
              <c:numCache>
                <c:formatCode>"₹"\ 0.00,"k"</c:formatCode>
                <c:ptCount val="12"/>
                <c:pt idx="0">
                  <c:v>30775.80999999999</c:v>
                </c:pt>
                <c:pt idx="1">
                  <c:v>26446.85999999999</c:v>
                </c:pt>
                <c:pt idx="2">
                  <c:v>26292.469999999994</c:v>
                </c:pt>
                <c:pt idx="3">
                  <c:v>29191.89000000001</c:v>
                </c:pt>
                <c:pt idx="4">
                  <c:v>28306.76999999999</c:v>
                </c:pt>
                <c:pt idx="5">
                  <c:v>28542.190000000002</c:v>
                </c:pt>
                <c:pt idx="6">
                  <c:v>25104.22</c:v>
                </c:pt>
                <c:pt idx="7">
                  <c:v>32803.589999999997</c:v>
                </c:pt>
                <c:pt idx="8">
                  <c:v>30069.350000000002</c:v>
                </c:pt>
                <c:pt idx="9">
                  <c:v>26467.579999999998</c:v>
                </c:pt>
                <c:pt idx="10">
                  <c:v>25108.149999999998</c:v>
                </c:pt>
                <c:pt idx="11">
                  <c:v>35893.79</c:v>
                </c:pt>
              </c:numCache>
            </c:numRef>
          </c:val>
          <c:extLst>
            <c:ext xmlns:c16="http://schemas.microsoft.com/office/drawing/2014/chart" uri="{C3380CC4-5D6E-409C-BE32-E72D297353CC}">
              <c16:uniqueId val="{00000001-66A5-4AA5-B1FE-3A7AEBB4859E}"/>
            </c:ext>
          </c:extLst>
        </c:ser>
        <c:dLbls>
          <c:showLegendKey val="0"/>
          <c:showVal val="0"/>
          <c:showCatName val="0"/>
          <c:showSerName val="0"/>
          <c:showPercent val="0"/>
          <c:showBubbleSize val="0"/>
        </c:dLbls>
        <c:gapWidth val="99"/>
        <c:overlap val="-36"/>
        <c:axId val="1497198208"/>
        <c:axId val="1497201952"/>
      </c:barChart>
      <c:catAx>
        <c:axId val="161896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18964352"/>
        <c:crosses val="autoZero"/>
        <c:auto val="1"/>
        <c:lblAlgn val="ctr"/>
        <c:lblOffset val="100"/>
        <c:noMultiLvlLbl val="0"/>
      </c:catAx>
      <c:valAx>
        <c:axId val="1618964352"/>
        <c:scaling>
          <c:orientation val="minMax"/>
        </c:scaling>
        <c:delete val="0"/>
        <c:axPos val="l"/>
        <c:numFmt formatCode="&quot;₹&quot;\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lumMod val="60000"/>
                    <a:lumOff val="40000"/>
                  </a:schemeClr>
                </a:solidFill>
                <a:latin typeface="+mn-lt"/>
                <a:ea typeface="+mn-ea"/>
                <a:cs typeface="+mn-cs"/>
              </a:defRPr>
            </a:pPr>
            <a:endParaRPr lang="en-US"/>
          </a:p>
        </c:txPr>
        <c:crossAx val="1618963936"/>
        <c:crosses val="autoZero"/>
        <c:crossBetween val="between"/>
      </c:valAx>
      <c:valAx>
        <c:axId val="1497201952"/>
        <c:scaling>
          <c:orientation val="minMax"/>
        </c:scaling>
        <c:delete val="0"/>
        <c:axPos val="r"/>
        <c:numFmt formatCode="&quot;₹&quot;\ 0,&quot;k&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97198208"/>
        <c:crosses val="max"/>
        <c:crossBetween val="between"/>
      </c:valAx>
      <c:catAx>
        <c:axId val="1497198208"/>
        <c:scaling>
          <c:orientation val="minMax"/>
        </c:scaling>
        <c:delete val="1"/>
        <c:axPos val="b"/>
        <c:numFmt formatCode="General" sourceLinked="1"/>
        <c:majorTickMark val="out"/>
        <c:minorTickMark val="none"/>
        <c:tickLblPos val="nextTo"/>
        <c:crossAx val="1497201952"/>
        <c:crosses val="autoZero"/>
        <c:auto val="1"/>
        <c:lblAlgn val="ctr"/>
        <c:lblOffset val="100"/>
        <c:noMultiLvlLbl val="0"/>
      </c:catAx>
      <c:spPr>
        <a:noFill/>
        <a:ln>
          <a:noFill/>
        </a:ln>
        <a:effectLst/>
      </c:spPr>
    </c:plotArea>
    <c:legend>
      <c:legendPos val="t"/>
      <c:legendEntry>
        <c:idx val="0"/>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x:chartSpace xmlns:a="http://schemas.openxmlformats.org/drawingml/2006/main" xmlns:r="http://schemas.openxmlformats.org/officeDocument/2006/relationships" xmlns:cx="http://schemas.microsoft.com/office/drawing/2014/chartex">
  <cx:chartData>
    <cx:data id="0">
      <cx:strDim type="cat">
        <cx:f>_xlchart.0</cx:f>
      </cx:strDim>
      <cx:numDim type="val">
        <cx:f>_xlchart.2</cx:f>
      </cx:numDim>
    </cx:data>
  </cx:chartData>
  <cx:chart>
    <cx:plotArea>
      <cx:plotAreaRegion>
        <cx:plotSurface>
          <cx:spPr>
            <a:noFill/>
            <a:ln>
              <a:noFill/>
            </a:ln>
          </cx:spPr>
        </cx:plotSurface>
        <cx:series layoutId="waterfall" uniqueId="{F1A7337B-E48B-4AB4-BDF5-8D3B840D9AC0}">
          <cx:tx>
            <cx:txData>
              <cx:f>_xlchart.1</cx:f>
              <cx:v>Sum of Profit</cx:v>
            </cx:txData>
          </cx:tx>
          <cx:spPr>
            <a:gradFill>
              <a:gsLst>
                <a:gs pos="90000">
                  <a:schemeClr val="accent1">
                    <a:lumMod val="60000"/>
                    <a:lumOff val="40000"/>
                  </a:schemeClr>
                </a:gs>
                <a:gs pos="0">
                  <a:schemeClr val="bg2">
                    <a:lumMod val="90000"/>
                  </a:schemeClr>
                </a:gs>
              </a:gsLst>
              <a:lin ang="5400000" scaled="1"/>
            </a:gradFill>
          </cx:spPr>
          <cx:dataLabels pos="outEnd">
            <cx:txPr>
              <a:bodyPr spcFirstLastPara="1" vertOverflow="ellipsis" wrap="square" lIns="0" tIns="0" rIns="0" bIns="0" anchor="ctr" anchorCtr="1">
                <a:spAutoFit/>
              </a:bodyPr>
              <a:lstStyle/>
              <a:p>
                <a:pPr>
                  <a:defRPr b="1">
                    <a:solidFill>
                      <a:schemeClr val="bg1"/>
                    </a:solidFill>
                  </a:defRPr>
                </a:pPr>
                <a:endParaRPr lang="en-US" b="1">
                  <a:solidFill>
                    <a:schemeClr val="bg1"/>
                  </a:solidFill>
                </a:endParaRPr>
              </a:p>
            </cx:txPr>
            <cx:visibility seriesName="0" categoryName="0" value="1"/>
          </cx:dataLabels>
          <cx:dataId val="0"/>
          <cx:layoutPr>
            <cx:subtotals>
              <cx:idx val="5"/>
            </cx:subtotals>
          </cx:layoutPr>
        </cx:series>
      </cx:plotAreaRegion>
      <cx:axis id="0">
        <cx:catScaling gapWidth="0.5"/>
        <cx:tickLabels/>
        <cx:txPr>
          <a:bodyPr spcFirstLastPara="1" vertOverflow="ellipsis" wrap="square" lIns="0" tIns="0" rIns="0" bIns="0" anchor="ctr" anchorCtr="1"/>
          <a:lstStyle/>
          <a:p>
            <a:pPr>
              <a:defRPr lang="en-US" sz="900" b="1" i="0" u="none" strike="noStrike" kern="1200" baseline="0">
                <a:solidFill>
                  <a:schemeClr val="bg1"/>
                </a:solidFill>
                <a:latin typeface="Calibri"/>
              </a:defRPr>
            </a:pPr>
            <a:endParaRPr lang="en-US" b="1">
              <a:solidFill>
                <a:schemeClr val="bg1"/>
              </a:solidFill>
            </a:endParaRPr>
          </a:p>
        </cx:txPr>
      </cx:axis>
      <cx:axis id="1" hidden="1">
        <cx:valScaling/>
        <cx:tickLabels/>
      </cx:axis>
    </cx:plotArea>
  </cx:chart>
  <cx:spPr>
    <a:noFill/>
    <a:ln>
      <a:noFill/>
    </a:ln>
  </cx:spPr>
  <cx:clrMapOvr bg1="lt1" tx1="dk1" bg2="lt2" tx2="dk2" accent1="accent1" accent2="accent2" accent3="accent3" accent4="accent4" accent5="accent5" accent6="accent6" hlink="hlink" folHlink="folHlink"/>
</cx: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project.xlsx]pivot tables area!monthly sales trend for regions</c:name>
    <c:fmtId val="6"/>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solidFill>
            <a:schemeClr val="accent1"/>
          </a:solidFill>
          <a:ln w="28575" cap="rnd">
            <a:solidFill>
              <a:schemeClr val="accent1"/>
            </a:solidFill>
            <a:round/>
          </a:ln>
          <a:effectLst/>
        </c:spPr>
        <c:marker>
          <c:symbol val="none"/>
        </c:marker>
      </c:pivotFmt>
      <c:pivotFmt>
        <c:idx val="13"/>
        <c:spPr>
          <a:solidFill>
            <a:schemeClr val="accent1"/>
          </a:solidFill>
          <a:ln w="28575" cap="rnd">
            <a:solidFill>
              <a:schemeClr val="accent1"/>
            </a:solidFill>
            <a:round/>
          </a:ln>
          <a:effectLst/>
        </c:spPr>
        <c:marker>
          <c:symbol val="none"/>
        </c:marker>
      </c:pivotFmt>
      <c:pivotFmt>
        <c:idx val="14"/>
        <c:spPr>
          <a:solidFill>
            <a:schemeClr val="accent1"/>
          </a:solidFill>
          <a:ln w="28575" cap="rnd">
            <a:solidFill>
              <a:schemeClr val="accent1"/>
            </a:solidFill>
            <a:round/>
          </a:ln>
          <a:effectLst/>
        </c:spPr>
        <c:marker>
          <c:symbol val="none"/>
        </c:marker>
      </c:pivotFmt>
      <c:pivotFmt>
        <c:idx val="15"/>
        <c:spPr>
          <a:ln w="28575" cap="rnd">
            <a:solidFill>
              <a:schemeClr val="accent3">
                <a:lumMod val="40000"/>
                <a:lumOff val="60000"/>
              </a:schemeClr>
            </a:solidFill>
            <a:round/>
          </a:ln>
          <a:effectLst/>
        </c:spPr>
        <c:marker>
          <c:symbol val="none"/>
        </c:marker>
      </c:pivotFmt>
      <c:pivotFmt>
        <c:idx val="16"/>
        <c:spPr>
          <a:ln w="28575" cap="rnd">
            <a:solidFill>
              <a:schemeClr val="accent2">
                <a:lumMod val="60000"/>
                <a:lumOff val="40000"/>
              </a:schemeClr>
            </a:solidFill>
            <a:round/>
          </a:ln>
          <a:effectLst/>
        </c:spPr>
        <c:marker>
          <c:symbol val="none"/>
        </c:marker>
      </c:pivotFmt>
      <c:pivotFmt>
        <c:idx val="17"/>
        <c:spPr>
          <a:ln w="28575" cap="rnd">
            <a:solidFill>
              <a:schemeClr val="accent4">
                <a:lumMod val="60000"/>
                <a:lumOff val="40000"/>
              </a:schemeClr>
            </a:solidFill>
            <a:round/>
          </a:ln>
          <a:effectLst/>
        </c:spPr>
        <c:marker>
          <c:symbol val="none"/>
        </c:marker>
      </c:pivotFmt>
      <c:pivotFmt>
        <c:idx val="18"/>
        <c:spPr>
          <a:ln w="28575" cap="rnd">
            <a:solidFill>
              <a:schemeClr val="accent1"/>
            </a:solidFill>
            <a:round/>
          </a:ln>
          <a:effectLst/>
        </c:spPr>
        <c:marker>
          <c:symbol val="none"/>
        </c:marker>
      </c:pivotFmt>
      <c:pivotFmt>
        <c:idx val="19"/>
        <c:spPr>
          <a:ln w="28575" cap="rnd">
            <a:solidFill>
              <a:schemeClr val="accent1"/>
            </a:solidFill>
            <a:round/>
          </a:ln>
          <a:effectLst/>
        </c:spPr>
        <c:marker>
          <c:symbol val="none"/>
        </c:marker>
      </c:pivotFmt>
    </c:pivotFmts>
    <c:plotArea>
      <c:layout>
        <c:manualLayout>
          <c:layoutTarget val="inner"/>
          <c:xMode val="edge"/>
          <c:yMode val="edge"/>
          <c:x val="0.12579307325686997"/>
          <c:y val="6.7753634786083788E-2"/>
          <c:w val="0.62067657343945182"/>
          <c:h val="0.65207514300042391"/>
        </c:manualLayout>
      </c:layout>
      <c:lineChart>
        <c:grouping val="standard"/>
        <c:varyColors val="0"/>
        <c:ser>
          <c:idx val="0"/>
          <c:order val="0"/>
          <c:tx>
            <c:strRef>
              <c:f>'pivot tables area'!$B$200:$B$201</c:f>
              <c:strCache>
                <c:ptCount val="1"/>
                <c:pt idx="0">
                  <c:v>Africa</c:v>
                </c:pt>
              </c:strCache>
            </c:strRef>
          </c:tx>
          <c:spPr>
            <a:ln w="28575" cap="rnd">
              <a:solidFill>
                <a:schemeClr val="accent1"/>
              </a:solidFill>
              <a:round/>
            </a:ln>
            <a:effectLst/>
          </c:spPr>
          <c:marker>
            <c:symbol val="none"/>
          </c:marker>
          <c:cat>
            <c:multiLvlStrRef>
              <c:f>'pivot tables area'!$A$202:$A$228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'pivot tables area'!$B$202:$B$228</c:f>
              <c:numCache>
                <c:formatCode>General</c:formatCode>
                <c:ptCount val="24"/>
                <c:pt idx="0">
                  <c:v>17583.88</c:v>
                </c:pt>
                <c:pt idx="1">
                  <c:v>19182.03</c:v>
                </c:pt>
                <c:pt idx="2">
                  <c:v>13833.910000000002</c:v>
                </c:pt>
                <c:pt idx="3">
                  <c:v>25065.620000000003</c:v>
                </c:pt>
                <c:pt idx="4">
                  <c:v>10973.46</c:v>
                </c:pt>
                <c:pt idx="5">
                  <c:v>17889.98</c:v>
                </c:pt>
                <c:pt idx="6">
                  <c:v>15617.419999999998</c:v>
                </c:pt>
                <c:pt idx="7">
                  <c:v>12965.63</c:v>
                </c:pt>
                <c:pt idx="8">
                  <c:v>14790.21</c:v>
                </c:pt>
                <c:pt idx="9">
                  <c:v>21130.27</c:v>
                </c:pt>
                <c:pt idx="10">
                  <c:v>4588.72</c:v>
                </c:pt>
                <c:pt idx="11">
                  <c:v>16928.2</c:v>
                </c:pt>
                <c:pt idx="12">
                  <c:v>11038.33</c:v>
                </c:pt>
                <c:pt idx="13">
                  <c:v>5743</c:v>
                </c:pt>
                <c:pt idx="14">
                  <c:v>5465.78</c:v>
                </c:pt>
                <c:pt idx="15">
                  <c:v>5998.63</c:v>
                </c:pt>
                <c:pt idx="16">
                  <c:v>9995.25</c:v>
                </c:pt>
                <c:pt idx="17">
                  <c:v>17071.669999999998</c:v>
                </c:pt>
                <c:pt idx="18">
                  <c:v>17661.39</c:v>
                </c:pt>
                <c:pt idx="19">
                  <c:v>6305.09</c:v>
                </c:pt>
                <c:pt idx="20">
                  <c:v>10795.650000000001</c:v>
                </c:pt>
                <c:pt idx="21">
                  <c:v>12921.82</c:v>
                </c:pt>
                <c:pt idx="22">
                  <c:v>23297.54</c:v>
                </c:pt>
                <c:pt idx="23">
                  <c:v>18134.330000000002</c:v>
                </c:pt>
              </c:numCache>
            </c:numRef>
          </c:val>
          <c:smooth val="0"/>
          <c:extLst>
            <c:ext xmlns:c16="http://schemas.microsoft.com/office/drawing/2014/chart" uri="{C3380CC4-5D6E-409C-BE32-E72D297353CC}">
              <c16:uniqueId val="{00000000-A7A4-438B-8F34-776643DE1325}"/>
            </c:ext>
          </c:extLst>
        </c:ser>
        <c:ser>
          <c:idx val="1"/>
          <c:order val="1"/>
          <c:tx>
            <c:strRef>
              <c:f>'pivot tables area'!$C$200:$C$201</c:f>
              <c:strCache>
                <c:ptCount val="1"/>
                <c:pt idx="0">
                  <c:v>Asia</c:v>
                </c:pt>
              </c:strCache>
            </c:strRef>
          </c:tx>
          <c:spPr>
            <a:ln w="28575" cap="rnd">
              <a:solidFill>
                <a:schemeClr val="accent2"/>
              </a:solidFill>
              <a:round/>
            </a:ln>
            <a:effectLst/>
          </c:spPr>
          <c:marker>
            <c:symbol val="none"/>
          </c:marker>
          <c:cat>
            <c:multiLvlStrRef>
              <c:f>'pivot tables area'!$A$202:$A$228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'pivot tables area'!$C$202:$C$228</c:f>
              <c:numCache>
                <c:formatCode>General</c:formatCode>
                <c:ptCount val="24"/>
                <c:pt idx="0">
                  <c:v>6479.7900000000009</c:v>
                </c:pt>
                <c:pt idx="1">
                  <c:v>12515.84</c:v>
                </c:pt>
                <c:pt idx="2">
                  <c:v>13388.24</c:v>
                </c:pt>
                <c:pt idx="3">
                  <c:v>2202.09</c:v>
                </c:pt>
                <c:pt idx="4">
                  <c:v>15445.04</c:v>
                </c:pt>
                <c:pt idx="5">
                  <c:v>11875.73</c:v>
                </c:pt>
                <c:pt idx="6">
                  <c:v>9118.4700000000012</c:v>
                </c:pt>
                <c:pt idx="7">
                  <c:v>19527.059999999998</c:v>
                </c:pt>
                <c:pt idx="8">
                  <c:v>25357.67</c:v>
                </c:pt>
                <c:pt idx="9">
                  <c:v>12287.880000000001</c:v>
                </c:pt>
                <c:pt idx="10">
                  <c:v>12393.599999999999</c:v>
                </c:pt>
                <c:pt idx="11">
                  <c:v>6567.4</c:v>
                </c:pt>
                <c:pt idx="12">
                  <c:v>13539.899999999998</c:v>
                </c:pt>
                <c:pt idx="13">
                  <c:v>9237</c:v>
                </c:pt>
                <c:pt idx="14">
                  <c:v>10944.7</c:v>
                </c:pt>
                <c:pt idx="15">
                  <c:v>9202.489999999998</c:v>
                </c:pt>
                <c:pt idx="16">
                  <c:v>12709.54</c:v>
                </c:pt>
                <c:pt idx="17">
                  <c:v>9583.5500000000011</c:v>
                </c:pt>
                <c:pt idx="18">
                  <c:v>12881.429999999998</c:v>
                </c:pt>
                <c:pt idx="19">
                  <c:v>18159.150000000001</c:v>
                </c:pt>
                <c:pt idx="20">
                  <c:v>13149.66</c:v>
                </c:pt>
                <c:pt idx="21">
                  <c:v>13758.15</c:v>
                </c:pt>
                <c:pt idx="22">
                  <c:v>5495.6799999999994</c:v>
                </c:pt>
                <c:pt idx="23">
                  <c:v>9921.6000000000022</c:v>
                </c:pt>
              </c:numCache>
            </c:numRef>
          </c:val>
          <c:smooth val="0"/>
          <c:extLst>
            <c:ext xmlns:c16="http://schemas.microsoft.com/office/drawing/2014/chart" uri="{C3380CC4-5D6E-409C-BE32-E72D297353CC}">
              <c16:uniqueId val="{00000000-1878-40C5-9C32-040C6690EC0E}"/>
            </c:ext>
          </c:extLst>
        </c:ser>
        <c:ser>
          <c:idx val="2"/>
          <c:order val="2"/>
          <c:tx>
            <c:strRef>
              <c:f>'pivot tables area'!$D$200:$D$201</c:f>
              <c:strCache>
                <c:ptCount val="1"/>
                <c:pt idx="0">
                  <c:v>Europe</c:v>
                </c:pt>
              </c:strCache>
            </c:strRef>
          </c:tx>
          <c:spPr>
            <a:ln w="28575" cap="rnd">
              <a:solidFill>
                <a:schemeClr val="accent3">
                  <a:lumMod val="40000"/>
                  <a:lumOff val="60000"/>
                </a:schemeClr>
              </a:solidFill>
              <a:round/>
            </a:ln>
            <a:effectLst/>
          </c:spPr>
          <c:marker>
            <c:symbol val="none"/>
          </c:marker>
          <c:cat>
            <c:multiLvlStrRef>
              <c:f>'pivot tables area'!$A$202:$A$228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'pivot tables area'!$D$202:$D$228</c:f>
              <c:numCache>
                <c:formatCode>General</c:formatCode>
                <c:ptCount val="24"/>
                <c:pt idx="0">
                  <c:v>11241.150000000001</c:v>
                </c:pt>
                <c:pt idx="1">
                  <c:v>20341.11</c:v>
                </c:pt>
                <c:pt idx="2">
                  <c:v>11317.989999999998</c:v>
                </c:pt>
                <c:pt idx="3">
                  <c:v>9060.14</c:v>
                </c:pt>
                <c:pt idx="4">
                  <c:v>14461.18</c:v>
                </c:pt>
                <c:pt idx="5">
                  <c:v>2812.6099999999997</c:v>
                </c:pt>
                <c:pt idx="6">
                  <c:v>14656.61</c:v>
                </c:pt>
                <c:pt idx="7">
                  <c:v>15172.440000000002</c:v>
                </c:pt>
                <c:pt idx="8">
                  <c:v>22854.06</c:v>
                </c:pt>
                <c:pt idx="9">
                  <c:v>12284.189999999997</c:v>
                </c:pt>
                <c:pt idx="10">
                  <c:v>9436.23</c:v>
                </c:pt>
                <c:pt idx="11">
                  <c:v>26479.35</c:v>
                </c:pt>
                <c:pt idx="12">
                  <c:v>14075.449999999999</c:v>
                </c:pt>
                <c:pt idx="13">
                  <c:v>11198.609999999999</c:v>
                </c:pt>
                <c:pt idx="14">
                  <c:v>12630.6</c:v>
                </c:pt>
                <c:pt idx="15">
                  <c:v>10882.38</c:v>
                </c:pt>
                <c:pt idx="16">
                  <c:v>8293.7900000000009</c:v>
                </c:pt>
                <c:pt idx="17">
                  <c:v>17170.78</c:v>
                </c:pt>
                <c:pt idx="18">
                  <c:v>8828.0400000000009</c:v>
                </c:pt>
                <c:pt idx="19">
                  <c:v>24567.19</c:v>
                </c:pt>
                <c:pt idx="20">
                  <c:v>4961.16</c:v>
                </c:pt>
                <c:pt idx="21">
                  <c:v>21824.35</c:v>
                </c:pt>
                <c:pt idx="22">
                  <c:v>9849.7000000000007</c:v>
                </c:pt>
                <c:pt idx="23">
                  <c:v>14022.529999999999</c:v>
                </c:pt>
              </c:numCache>
            </c:numRef>
          </c:val>
          <c:smooth val="0"/>
          <c:extLst>
            <c:ext xmlns:c16="http://schemas.microsoft.com/office/drawing/2014/chart" uri="{C3380CC4-5D6E-409C-BE32-E72D297353CC}">
              <c16:uniqueId val="{00000001-1878-40C5-9C32-040C6690EC0E}"/>
            </c:ext>
          </c:extLst>
        </c:ser>
        <c:ser>
          <c:idx val="3"/>
          <c:order val="3"/>
          <c:tx>
            <c:strRef>
              <c:f>'pivot tables area'!$E$200:$E$201</c:f>
              <c:strCache>
                <c:ptCount val="1"/>
                <c:pt idx="0">
                  <c:v>Middle East</c:v>
                </c:pt>
              </c:strCache>
            </c:strRef>
          </c:tx>
          <c:spPr>
            <a:ln w="28575" cap="rnd">
              <a:solidFill>
                <a:schemeClr val="accent2">
                  <a:lumMod val="60000"/>
                  <a:lumOff val="40000"/>
                </a:schemeClr>
              </a:solidFill>
              <a:round/>
            </a:ln>
            <a:effectLst/>
          </c:spPr>
          <c:marker>
            <c:symbol val="none"/>
          </c:marker>
          <c:cat>
            <c:multiLvlStrRef>
              <c:f>'pivot tables area'!$A$202:$A$228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'pivot tables area'!$E$202:$E$228</c:f>
              <c:numCache>
                <c:formatCode>General</c:formatCode>
                <c:ptCount val="24"/>
                <c:pt idx="0">
                  <c:v>15096.66</c:v>
                </c:pt>
                <c:pt idx="1">
                  <c:v>8251.08</c:v>
                </c:pt>
                <c:pt idx="2">
                  <c:v>17172.759999999998</c:v>
                </c:pt>
                <c:pt idx="3">
                  <c:v>9183.6400000000012</c:v>
                </c:pt>
                <c:pt idx="4">
                  <c:v>12194.14</c:v>
                </c:pt>
                <c:pt idx="5">
                  <c:v>9718.7999999999993</c:v>
                </c:pt>
                <c:pt idx="6">
                  <c:v>8087.52</c:v>
                </c:pt>
                <c:pt idx="7">
                  <c:v>8905.4399999999987</c:v>
                </c:pt>
                <c:pt idx="8">
                  <c:v>9336.66</c:v>
                </c:pt>
                <c:pt idx="9">
                  <c:v>15163.430000000002</c:v>
                </c:pt>
                <c:pt idx="10">
                  <c:v>13026.900000000001</c:v>
                </c:pt>
                <c:pt idx="11">
                  <c:v>30959.460000000003</c:v>
                </c:pt>
                <c:pt idx="12">
                  <c:v>13669.909999999998</c:v>
                </c:pt>
                <c:pt idx="13">
                  <c:v>16675.48</c:v>
                </c:pt>
                <c:pt idx="14">
                  <c:v>7056.7400000000007</c:v>
                </c:pt>
                <c:pt idx="15">
                  <c:v>19062.829999999998</c:v>
                </c:pt>
                <c:pt idx="16">
                  <c:v>13363.53</c:v>
                </c:pt>
                <c:pt idx="17">
                  <c:v>12740.09</c:v>
                </c:pt>
                <c:pt idx="18">
                  <c:v>4765.8900000000003</c:v>
                </c:pt>
                <c:pt idx="19">
                  <c:v>6542.67</c:v>
                </c:pt>
                <c:pt idx="20">
                  <c:v>6013.85</c:v>
                </c:pt>
                <c:pt idx="21">
                  <c:v>8643.17</c:v>
                </c:pt>
                <c:pt idx="22">
                  <c:v>7911.2100000000009</c:v>
                </c:pt>
                <c:pt idx="23">
                  <c:v>23225.69</c:v>
                </c:pt>
              </c:numCache>
            </c:numRef>
          </c:val>
          <c:smooth val="0"/>
          <c:extLst>
            <c:ext xmlns:c16="http://schemas.microsoft.com/office/drawing/2014/chart" uri="{C3380CC4-5D6E-409C-BE32-E72D297353CC}">
              <c16:uniqueId val="{00000002-1878-40C5-9C32-040C6690EC0E}"/>
            </c:ext>
          </c:extLst>
        </c:ser>
        <c:ser>
          <c:idx val="4"/>
          <c:order val="4"/>
          <c:tx>
            <c:strRef>
              <c:f>'pivot tables area'!$F$200:$F$201</c:f>
              <c:strCache>
                <c:ptCount val="1"/>
                <c:pt idx="0">
                  <c:v>North America</c:v>
                </c:pt>
              </c:strCache>
            </c:strRef>
          </c:tx>
          <c:spPr>
            <a:ln w="28575" cap="rnd">
              <a:solidFill>
                <a:schemeClr val="accent4">
                  <a:lumMod val="60000"/>
                  <a:lumOff val="40000"/>
                </a:schemeClr>
              </a:solidFill>
              <a:round/>
            </a:ln>
            <a:effectLst/>
          </c:spPr>
          <c:marker>
            <c:symbol val="none"/>
          </c:marker>
          <c:cat>
            <c:multiLvlStrRef>
              <c:f>'pivot tables area'!$A$202:$A$228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'pivot tables area'!$F$202:$F$228</c:f>
              <c:numCache>
                <c:formatCode>General</c:formatCode>
                <c:ptCount val="24"/>
                <c:pt idx="0">
                  <c:v>18978.730000000003</c:v>
                </c:pt>
                <c:pt idx="1">
                  <c:v>10743.28</c:v>
                </c:pt>
                <c:pt idx="2">
                  <c:v>10759.85</c:v>
                </c:pt>
                <c:pt idx="3">
                  <c:v>14044.49</c:v>
                </c:pt>
                <c:pt idx="4">
                  <c:v>16262.570000000002</c:v>
                </c:pt>
                <c:pt idx="5">
                  <c:v>23623.350000000002</c:v>
                </c:pt>
                <c:pt idx="6">
                  <c:v>9212.9700000000012</c:v>
                </c:pt>
                <c:pt idx="7">
                  <c:v>18619.169999999998</c:v>
                </c:pt>
                <c:pt idx="8">
                  <c:v>19287.240000000002</c:v>
                </c:pt>
                <c:pt idx="9">
                  <c:v>2340.4899999999998</c:v>
                </c:pt>
                <c:pt idx="10">
                  <c:v>12847.65</c:v>
                </c:pt>
                <c:pt idx="11">
                  <c:v>7302.92</c:v>
                </c:pt>
                <c:pt idx="12">
                  <c:v>8531.9</c:v>
                </c:pt>
                <c:pt idx="13">
                  <c:v>9499.119999999999</c:v>
                </c:pt>
                <c:pt idx="14">
                  <c:v>7397.0199999999986</c:v>
                </c:pt>
                <c:pt idx="15">
                  <c:v>18238.059999999998</c:v>
                </c:pt>
                <c:pt idx="16">
                  <c:v>12808.7</c:v>
                </c:pt>
                <c:pt idx="17">
                  <c:v>8278.01</c:v>
                </c:pt>
                <c:pt idx="18">
                  <c:v>644</c:v>
                </c:pt>
                <c:pt idx="19">
                  <c:v>13395.319999999996</c:v>
                </c:pt>
                <c:pt idx="20">
                  <c:v>8302.66</c:v>
                </c:pt>
                <c:pt idx="21">
                  <c:v>11462.730000000001</c:v>
                </c:pt>
                <c:pt idx="22">
                  <c:v>9511.01</c:v>
                </c:pt>
                <c:pt idx="23">
                  <c:v>9452.58</c:v>
                </c:pt>
              </c:numCache>
            </c:numRef>
          </c:val>
          <c:smooth val="0"/>
          <c:extLst>
            <c:ext xmlns:c16="http://schemas.microsoft.com/office/drawing/2014/chart" uri="{C3380CC4-5D6E-409C-BE32-E72D297353CC}">
              <c16:uniqueId val="{00000003-1878-40C5-9C32-040C6690EC0E}"/>
            </c:ext>
          </c:extLst>
        </c:ser>
        <c:dLbls>
          <c:showLegendKey val="0"/>
          <c:showVal val="0"/>
          <c:showCatName val="0"/>
          <c:showSerName val="0"/>
          <c:showPercent val="0"/>
          <c:showBubbleSize val="0"/>
        </c:dLbls>
        <c:smooth val="0"/>
        <c:axId val="1507293184"/>
        <c:axId val="1507293600"/>
      </c:lineChart>
      <c:catAx>
        <c:axId val="150729318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07293600"/>
        <c:crosses val="autoZero"/>
        <c:auto val="1"/>
        <c:lblAlgn val="ctr"/>
        <c:lblOffset val="100"/>
        <c:noMultiLvlLbl val="0"/>
      </c:catAx>
      <c:valAx>
        <c:axId val="1507293600"/>
        <c:scaling>
          <c:orientation val="minMax"/>
        </c:scaling>
        <c:delete val="0"/>
        <c:axPos val="l"/>
        <c:majorGridlines>
          <c:spPr>
            <a:ln w="0" cap="flat" cmpd="sng" algn="ctr">
              <a:solidFill>
                <a:schemeClr val="bg1">
                  <a:lumMod val="65000"/>
                  <a:alpha val="46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07293184"/>
        <c:crosses val="autoZero"/>
        <c:crossBetween val="between"/>
      </c:valAx>
      <c:spPr>
        <a:noFill/>
        <a:ln>
          <a:noFill/>
        </a:ln>
        <a:effectLst/>
      </c:spPr>
    </c:plotArea>
    <c:legend>
      <c:legendPos val="r"/>
      <c:layout>
        <c:manualLayout>
          <c:xMode val="edge"/>
          <c:yMode val="edge"/>
          <c:x val="0.76049120752384525"/>
          <c:y val="5.147093799789098E-2"/>
          <c:w val="0.23950881845670063"/>
          <c:h val="0.5406429472020842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project.xlsx]pivot tables area!Average of ShippingDays region</c:name>
    <c:fmtId val="11"/>
  </c:pivotSource>
  <c:chart>
    <c:autoTitleDeleted val="1"/>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gradFill>
            <a:gsLst>
              <a:gs pos="12000">
                <a:schemeClr val="bg2">
                  <a:lumMod val="90000"/>
                </a:schemeClr>
              </a:gs>
              <a:gs pos="91000">
                <a:schemeClr val="accent1">
                  <a:lumMod val="75000"/>
                </a:schemeClr>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276007801572755"/>
          <c:y val="9.0447837612413595E-2"/>
          <c:w val="0.86506287291432971"/>
          <c:h val="0.66683568276723948"/>
        </c:manualLayout>
      </c:layout>
      <c:bar3DChart>
        <c:barDir val="col"/>
        <c:grouping val="standard"/>
        <c:varyColors val="0"/>
        <c:ser>
          <c:idx val="0"/>
          <c:order val="0"/>
          <c:tx>
            <c:strRef>
              <c:f>'pivot tables area'!$B$100</c:f>
              <c:strCache>
                <c:ptCount val="1"/>
                <c:pt idx="0">
                  <c:v>Total</c:v>
                </c:pt>
              </c:strCache>
            </c:strRef>
          </c:tx>
          <c:spPr>
            <a:gradFill>
              <a:gsLst>
                <a:gs pos="12000">
                  <a:schemeClr val="bg2">
                    <a:lumMod val="90000"/>
                  </a:schemeClr>
                </a:gs>
                <a:gs pos="91000">
                  <a:schemeClr val="accent1">
                    <a:lumMod val="75000"/>
                  </a:schemeClr>
                </a:gs>
              </a:gsLst>
              <a:lin ang="54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area'!$A$101:$A$106</c:f>
              <c:strCache>
                <c:ptCount val="5"/>
                <c:pt idx="0">
                  <c:v>Africa</c:v>
                </c:pt>
                <c:pt idx="1">
                  <c:v>Asia</c:v>
                </c:pt>
                <c:pt idx="2">
                  <c:v>Europe</c:v>
                </c:pt>
                <c:pt idx="3">
                  <c:v>Middle East</c:v>
                </c:pt>
                <c:pt idx="4">
                  <c:v>North America</c:v>
                </c:pt>
              </c:strCache>
            </c:strRef>
          </c:cat>
          <c:val>
            <c:numRef>
              <c:f>'pivot tables area'!$B$101:$B$106</c:f>
              <c:numCache>
                <c:formatCode>0.00</c:formatCode>
                <c:ptCount val="5"/>
                <c:pt idx="0">
                  <c:v>5.5051546391752577</c:v>
                </c:pt>
                <c:pt idx="1">
                  <c:v>5.557788944723618</c:v>
                </c:pt>
                <c:pt idx="2">
                  <c:v>5.7932692307692308</c:v>
                </c:pt>
                <c:pt idx="3">
                  <c:v>5.5273631840796016</c:v>
                </c:pt>
                <c:pt idx="4">
                  <c:v>5.5151515151515156</c:v>
                </c:pt>
              </c:numCache>
            </c:numRef>
          </c:val>
          <c:extLst>
            <c:ext xmlns:c16="http://schemas.microsoft.com/office/drawing/2014/chart" uri="{C3380CC4-5D6E-409C-BE32-E72D297353CC}">
              <c16:uniqueId val="{00000000-14D1-4597-A738-93E2C1B18907}"/>
            </c:ext>
          </c:extLst>
        </c:ser>
        <c:dLbls>
          <c:showLegendKey val="0"/>
          <c:showVal val="1"/>
          <c:showCatName val="0"/>
          <c:showSerName val="0"/>
          <c:showPercent val="0"/>
          <c:showBubbleSize val="0"/>
        </c:dLbls>
        <c:gapWidth val="150"/>
        <c:shape val="box"/>
        <c:axId val="1626687680"/>
        <c:axId val="1626675616"/>
        <c:axId val="1840927232"/>
      </c:bar3DChart>
      <c:catAx>
        <c:axId val="162668768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26675616"/>
        <c:crosses val="autoZero"/>
        <c:auto val="1"/>
        <c:lblAlgn val="ctr"/>
        <c:lblOffset val="100"/>
        <c:noMultiLvlLbl val="0"/>
      </c:catAx>
      <c:valAx>
        <c:axId val="1626675616"/>
        <c:scaling>
          <c:orientation val="minMax"/>
        </c:scaling>
        <c:delete val="0"/>
        <c:axPos val="l"/>
        <c:majorGridlines>
          <c:spPr>
            <a:ln w="9525" cap="flat" cmpd="sng" algn="ctr">
              <a:solidFill>
                <a:schemeClr val="bg2">
                  <a:lumMod val="50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26687680"/>
        <c:crosses val="autoZero"/>
        <c:crossBetween val="between"/>
      </c:valAx>
      <c:serAx>
        <c:axId val="1840927232"/>
        <c:scaling>
          <c:orientation val="minMax"/>
        </c:scaling>
        <c:delete val="1"/>
        <c:axPos val="b"/>
        <c:majorTickMark val="out"/>
        <c:minorTickMark val="none"/>
        <c:tickLblPos val="nextTo"/>
        <c:crossAx val="1626675616"/>
        <c:crosses val="autoZero"/>
      </c:ser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project.xlsx]pivot tables area!top 5 categories</c:name>
    <c:fmtId val="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82000">
                <a:schemeClr val="tx2">
                  <a:lumMod val="50000"/>
                </a:schemeClr>
              </a:gs>
              <a:gs pos="0">
                <a:schemeClr val="accent1">
                  <a:lumMod val="20000"/>
                  <a:lumOff val="80000"/>
                </a:schemeClr>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spPr>
            <a:noFill/>
            <a:ln>
              <a:noFill/>
            </a:ln>
            <a:effectLst/>
          </c:spPr>
          <c:txPr>
            <a:bodyPr rot="0" spcFirstLastPara="1" vertOverflow="overflow" horzOverflow="overflow" vert="horz" wrap="square" lIns="38100" tIns="19050" rIns="360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1"/>
          </a:solidFill>
          <a:ln>
            <a:noFill/>
          </a:ln>
          <a:effectLst/>
          <a:sp3d/>
        </c:spPr>
        <c:marker>
          <c:symbol val="none"/>
        </c:marker>
        <c:dLbl>
          <c:idx val="0"/>
          <c:numFmt formatCode="\$\ 0.00\ &quot;k&quot;" sourceLinked="0"/>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tables area'!$B$67</c:f>
              <c:strCache>
                <c:ptCount val="1"/>
                <c:pt idx="0">
                  <c:v>Total</c:v>
                </c:pt>
              </c:strCache>
            </c:strRef>
          </c:tx>
          <c:spPr>
            <a:solidFill>
              <a:schemeClr val="accent1"/>
            </a:solidFill>
            <a:ln>
              <a:noFill/>
            </a:ln>
            <a:effectLst/>
            <a:sp3d/>
          </c:spPr>
          <c:invertIfNegative val="0"/>
          <c:dLbls>
            <c:numFmt formatCode="\$\ 0.00\ &quot;k&quot;" sourceLinked="0"/>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area'!$A$68:$A$73</c:f>
              <c:strCache>
                <c:ptCount val="5"/>
                <c:pt idx="0">
                  <c:v>T-shirt</c:v>
                </c:pt>
                <c:pt idx="1">
                  <c:v>Headphones</c:v>
                </c:pt>
                <c:pt idx="2">
                  <c:v>Backpack</c:v>
                </c:pt>
                <c:pt idx="3">
                  <c:v>Mixer</c:v>
                </c:pt>
                <c:pt idx="4">
                  <c:v>Sofa</c:v>
                </c:pt>
              </c:strCache>
            </c:strRef>
          </c:cat>
          <c:val>
            <c:numRef>
              <c:f>'pivot tables area'!$B$68:$B$73</c:f>
              <c:numCache>
                <c:formatCode>General</c:formatCode>
                <c:ptCount val="5"/>
                <c:pt idx="0">
                  <c:v>170893.97999999998</c:v>
                </c:pt>
                <c:pt idx="1">
                  <c:v>177853.4</c:v>
                </c:pt>
                <c:pt idx="2">
                  <c:v>184577.72999999992</c:v>
                </c:pt>
                <c:pt idx="3">
                  <c:v>184945.26999999996</c:v>
                </c:pt>
                <c:pt idx="4">
                  <c:v>190391.05</c:v>
                </c:pt>
              </c:numCache>
            </c:numRef>
          </c:val>
          <c:extLst>
            <c:ext xmlns:c16="http://schemas.microsoft.com/office/drawing/2014/chart" uri="{C3380CC4-5D6E-409C-BE32-E72D297353CC}">
              <c16:uniqueId val="{00000000-6EE3-450A-AAAB-D59088F7F981}"/>
            </c:ext>
          </c:extLst>
        </c:ser>
        <c:dLbls>
          <c:showLegendKey val="0"/>
          <c:showVal val="1"/>
          <c:showCatName val="0"/>
          <c:showSerName val="0"/>
          <c:showPercent val="0"/>
          <c:showBubbleSize val="0"/>
        </c:dLbls>
        <c:gapWidth val="150"/>
        <c:shape val="box"/>
        <c:axId val="737012240"/>
        <c:axId val="737013488"/>
        <c:axId val="0"/>
      </c:bar3DChart>
      <c:catAx>
        <c:axId val="7370122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37013488"/>
        <c:crosses val="autoZero"/>
        <c:auto val="1"/>
        <c:lblAlgn val="ctr"/>
        <c:lblOffset val="100"/>
        <c:noMultiLvlLbl val="0"/>
      </c:catAx>
      <c:valAx>
        <c:axId val="73701348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3701224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project.xlsx]pivot tables area!payment method in each region</c:name>
    <c:fmtId val="4"/>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tables area'!$B$150:$B$151</c:f>
              <c:strCache>
                <c:ptCount val="1"/>
                <c:pt idx="0">
                  <c:v>Africa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area'!$A$152:$A$157</c:f>
              <c:strCache>
                <c:ptCount val="5"/>
                <c:pt idx="0">
                  <c:v>Cash on Delivery</c:v>
                </c:pt>
                <c:pt idx="1">
                  <c:v>Credit Card</c:v>
                </c:pt>
                <c:pt idx="2">
                  <c:v>Debit Card</c:v>
                </c:pt>
                <c:pt idx="3">
                  <c:v>Net Banking</c:v>
                </c:pt>
                <c:pt idx="4">
                  <c:v>UPI</c:v>
                </c:pt>
              </c:strCache>
            </c:strRef>
          </c:cat>
          <c:val>
            <c:numRef>
              <c:f>'pivot tables area'!$B$152:$B$157</c:f>
              <c:numCache>
                <c:formatCode>General</c:formatCode>
                <c:ptCount val="5"/>
                <c:pt idx="0">
                  <c:v>43</c:v>
                </c:pt>
                <c:pt idx="1">
                  <c:v>40</c:v>
                </c:pt>
                <c:pt idx="2">
                  <c:v>37</c:v>
                </c:pt>
                <c:pt idx="3">
                  <c:v>38</c:v>
                </c:pt>
                <c:pt idx="4">
                  <c:v>36</c:v>
                </c:pt>
              </c:numCache>
            </c:numRef>
          </c:val>
          <c:extLst>
            <c:ext xmlns:c16="http://schemas.microsoft.com/office/drawing/2014/chart" uri="{C3380CC4-5D6E-409C-BE32-E72D297353CC}">
              <c16:uniqueId val="{00000000-C7F0-4316-B695-772EC313988E}"/>
            </c:ext>
          </c:extLst>
        </c:ser>
        <c:ser>
          <c:idx val="1"/>
          <c:order val="1"/>
          <c:tx>
            <c:strRef>
              <c:f>'pivot tables area'!$C$150:$C$151</c:f>
              <c:strCache>
                <c:ptCount val="1"/>
                <c:pt idx="0">
                  <c:v>Asia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area'!$A$152:$A$157</c:f>
              <c:strCache>
                <c:ptCount val="5"/>
                <c:pt idx="0">
                  <c:v>Cash on Delivery</c:v>
                </c:pt>
                <c:pt idx="1">
                  <c:v>Credit Card</c:v>
                </c:pt>
                <c:pt idx="2">
                  <c:v>Debit Card</c:v>
                </c:pt>
                <c:pt idx="3">
                  <c:v>Net Banking</c:v>
                </c:pt>
                <c:pt idx="4">
                  <c:v>UPI</c:v>
                </c:pt>
              </c:strCache>
            </c:strRef>
          </c:cat>
          <c:val>
            <c:numRef>
              <c:f>'pivot tables area'!$C$152:$C$157</c:f>
              <c:numCache>
                <c:formatCode>General</c:formatCode>
                <c:ptCount val="5"/>
                <c:pt idx="0">
                  <c:v>35</c:v>
                </c:pt>
                <c:pt idx="1">
                  <c:v>36</c:v>
                </c:pt>
                <c:pt idx="2">
                  <c:v>42</c:v>
                </c:pt>
                <c:pt idx="3">
                  <c:v>40</c:v>
                </c:pt>
                <c:pt idx="4">
                  <c:v>46</c:v>
                </c:pt>
              </c:numCache>
            </c:numRef>
          </c:val>
          <c:extLst>
            <c:ext xmlns:c16="http://schemas.microsoft.com/office/drawing/2014/chart" uri="{C3380CC4-5D6E-409C-BE32-E72D297353CC}">
              <c16:uniqueId val="{00000000-0FBA-46A1-812B-214EB47A437B}"/>
            </c:ext>
          </c:extLst>
        </c:ser>
        <c:ser>
          <c:idx val="2"/>
          <c:order val="2"/>
          <c:tx>
            <c:strRef>
              <c:f>'pivot tables area'!$D$150:$D$151</c:f>
              <c:strCache>
                <c:ptCount val="1"/>
                <c:pt idx="0">
                  <c:v>Europe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area'!$A$152:$A$157</c:f>
              <c:strCache>
                <c:ptCount val="5"/>
                <c:pt idx="0">
                  <c:v>Cash on Delivery</c:v>
                </c:pt>
                <c:pt idx="1">
                  <c:v>Credit Card</c:v>
                </c:pt>
                <c:pt idx="2">
                  <c:v>Debit Card</c:v>
                </c:pt>
                <c:pt idx="3">
                  <c:v>Net Banking</c:v>
                </c:pt>
                <c:pt idx="4">
                  <c:v>UPI</c:v>
                </c:pt>
              </c:strCache>
            </c:strRef>
          </c:cat>
          <c:val>
            <c:numRef>
              <c:f>'pivot tables area'!$D$152:$D$157</c:f>
              <c:numCache>
                <c:formatCode>General</c:formatCode>
                <c:ptCount val="5"/>
                <c:pt idx="0">
                  <c:v>37</c:v>
                </c:pt>
                <c:pt idx="1">
                  <c:v>47</c:v>
                </c:pt>
                <c:pt idx="2">
                  <c:v>41</c:v>
                </c:pt>
                <c:pt idx="3">
                  <c:v>41</c:v>
                </c:pt>
                <c:pt idx="4">
                  <c:v>42</c:v>
                </c:pt>
              </c:numCache>
            </c:numRef>
          </c:val>
          <c:extLst>
            <c:ext xmlns:c16="http://schemas.microsoft.com/office/drawing/2014/chart" uri="{C3380CC4-5D6E-409C-BE32-E72D297353CC}">
              <c16:uniqueId val="{00000001-0FBA-46A1-812B-214EB47A437B}"/>
            </c:ext>
          </c:extLst>
        </c:ser>
        <c:ser>
          <c:idx val="3"/>
          <c:order val="3"/>
          <c:tx>
            <c:strRef>
              <c:f>'pivot tables area'!$E$150:$E$151</c:f>
              <c:strCache>
                <c:ptCount val="1"/>
                <c:pt idx="0">
                  <c:v>Middle East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area'!$A$152:$A$157</c:f>
              <c:strCache>
                <c:ptCount val="5"/>
                <c:pt idx="0">
                  <c:v>Cash on Delivery</c:v>
                </c:pt>
                <c:pt idx="1">
                  <c:v>Credit Card</c:v>
                </c:pt>
                <c:pt idx="2">
                  <c:v>Debit Card</c:v>
                </c:pt>
                <c:pt idx="3">
                  <c:v>Net Banking</c:v>
                </c:pt>
                <c:pt idx="4">
                  <c:v>UPI</c:v>
                </c:pt>
              </c:strCache>
            </c:strRef>
          </c:cat>
          <c:val>
            <c:numRef>
              <c:f>'pivot tables area'!$E$152:$E$157</c:f>
              <c:numCache>
                <c:formatCode>General</c:formatCode>
                <c:ptCount val="5"/>
                <c:pt idx="0">
                  <c:v>35</c:v>
                </c:pt>
                <c:pt idx="1">
                  <c:v>46</c:v>
                </c:pt>
                <c:pt idx="2">
                  <c:v>38</c:v>
                </c:pt>
                <c:pt idx="3">
                  <c:v>34</c:v>
                </c:pt>
                <c:pt idx="4">
                  <c:v>48</c:v>
                </c:pt>
              </c:numCache>
            </c:numRef>
          </c:val>
          <c:extLst>
            <c:ext xmlns:c16="http://schemas.microsoft.com/office/drawing/2014/chart" uri="{C3380CC4-5D6E-409C-BE32-E72D297353CC}">
              <c16:uniqueId val="{00000002-0FBA-46A1-812B-214EB47A437B}"/>
            </c:ext>
          </c:extLst>
        </c:ser>
        <c:ser>
          <c:idx val="4"/>
          <c:order val="4"/>
          <c:tx>
            <c:strRef>
              <c:f>'pivot tables area'!$F$150:$F$151</c:f>
              <c:strCache>
                <c:ptCount val="1"/>
                <c:pt idx="0">
                  <c:v>North America</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area'!$A$152:$A$157</c:f>
              <c:strCache>
                <c:ptCount val="5"/>
                <c:pt idx="0">
                  <c:v>Cash on Delivery</c:v>
                </c:pt>
                <c:pt idx="1">
                  <c:v>Credit Card</c:v>
                </c:pt>
                <c:pt idx="2">
                  <c:v>Debit Card</c:v>
                </c:pt>
                <c:pt idx="3">
                  <c:v>Net Banking</c:v>
                </c:pt>
                <c:pt idx="4">
                  <c:v>UPI</c:v>
                </c:pt>
              </c:strCache>
            </c:strRef>
          </c:cat>
          <c:val>
            <c:numRef>
              <c:f>'pivot tables area'!$F$152:$F$157</c:f>
              <c:numCache>
                <c:formatCode>General</c:formatCode>
                <c:ptCount val="5"/>
                <c:pt idx="0">
                  <c:v>34</c:v>
                </c:pt>
                <c:pt idx="1">
                  <c:v>44</c:v>
                </c:pt>
                <c:pt idx="2">
                  <c:v>48</c:v>
                </c:pt>
                <c:pt idx="3">
                  <c:v>35</c:v>
                </c:pt>
                <c:pt idx="4">
                  <c:v>37</c:v>
                </c:pt>
              </c:numCache>
            </c:numRef>
          </c:val>
          <c:extLst>
            <c:ext xmlns:c16="http://schemas.microsoft.com/office/drawing/2014/chart" uri="{C3380CC4-5D6E-409C-BE32-E72D297353CC}">
              <c16:uniqueId val="{00000003-0FBA-46A1-812B-214EB47A437B}"/>
            </c:ext>
          </c:extLst>
        </c:ser>
        <c:dLbls>
          <c:dLblPos val="ctr"/>
          <c:showLegendKey val="0"/>
          <c:showVal val="1"/>
          <c:showCatName val="0"/>
          <c:showSerName val="0"/>
          <c:showPercent val="0"/>
          <c:showBubbleSize val="0"/>
        </c:dLbls>
        <c:gapWidth val="150"/>
        <c:overlap val="100"/>
        <c:axId val="1626665216"/>
        <c:axId val="1626669376"/>
      </c:barChart>
      <c:catAx>
        <c:axId val="1626665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26669376"/>
        <c:crosses val="autoZero"/>
        <c:auto val="1"/>
        <c:lblAlgn val="ctr"/>
        <c:lblOffset val="100"/>
        <c:noMultiLvlLbl val="0"/>
      </c:catAx>
      <c:valAx>
        <c:axId val="1626669376"/>
        <c:scaling>
          <c:orientation val="minMax"/>
        </c:scaling>
        <c:delete val="1"/>
        <c:axPos val="b"/>
        <c:majorGridlines>
          <c:spPr>
            <a:ln w="9525" cap="flat" cmpd="sng" algn="ctr">
              <a:solidFill>
                <a:schemeClr val="bg2">
                  <a:lumMod val="50000"/>
                </a:schemeClr>
              </a:solidFill>
              <a:round/>
            </a:ln>
            <a:effectLst/>
          </c:spPr>
        </c:majorGridlines>
        <c:numFmt formatCode="0%" sourceLinked="1"/>
        <c:majorTickMark val="none"/>
        <c:minorTickMark val="none"/>
        <c:tickLblPos val="nextTo"/>
        <c:crossAx val="1626665216"/>
        <c:crosses val="autoZero"/>
        <c:crossBetween val="between"/>
      </c:valAx>
      <c:spPr>
        <a:noFill/>
        <a:ln>
          <a:solidFill>
            <a:schemeClr val="accent1">
              <a:shade val="50000"/>
            </a:schemeClr>
          </a:solidFill>
        </a:ln>
        <a:effectLst/>
      </c:spPr>
    </c:plotArea>
    <c:legend>
      <c:legendPos val="r"/>
      <c:layout>
        <c:manualLayout>
          <c:xMode val="edge"/>
          <c:yMode val="edge"/>
          <c:x val="0.78867390080762334"/>
          <c:y val="0.12511603026156382"/>
          <c:w val="0.21132631006703104"/>
          <c:h val="0.5059883575977818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project.xlsx]KPIs!tot sales</c:name>
    <c:fmtId val="16"/>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34925" cap="rnd" cmpd="sng">
            <a:solidFill>
              <a:schemeClr val="tx2">
                <a:lumMod val="50000"/>
              </a:schemeClr>
            </a:solidFill>
            <a:round/>
          </a:ln>
          <a:effectLst/>
        </c:spPr>
        <c:marker>
          <c:symbol val="none"/>
        </c:marker>
      </c:pivotFmt>
      <c:pivotFmt>
        <c:idx val="4"/>
        <c:spPr>
          <a:solidFill>
            <a:schemeClr val="accent1"/>
          </a:solidFill>
          <a:ln w="34925" cap="rnd" cmpd="sng">
            <a:solidFill>
              <a:schemeClr val="tx2">
                <a:lumMod val="50000"/>
              </a:schemeClr>
            </a:solidFill>
            <a:round/>
          </a:ln>
          <a:effectLst/>
        </c:spPr>
        <c:marker>
          <c:symbol val="none"/>
        </c:marker>
      </c:pivotFmt>
      <c:pivotFmt>
        <c:idx val="5"/>
        <c:spPr>
          <a:ln w="34925" cap="rnd" cmpd="sng">
            <a:solidFill>
              <a:schemeClr val="tx2">
                <a:lumMod val="50000"/>
              </a:schemeClr>
            </a:solidFill>
            <a:round/>
          </a:ln>
          <a:effectLst/>
        </c:spPr>
        <c:marker>
          <c:symbol val="none"/>
        </c:marker>
      </c:pivotFmt>
    </c:pivotFmts>
    <c:plotArea>
      <c:layout>
        <c:manualLayout>
          <c:layoutTarget val="inner"/>
          <c:xMode val="edge"/>
          <c:yMode val="edge"/>
          <c:x val="7.3571567434769433E-2"/>
          <c:y val="0.16876650375313162"/>
          <c:w val="0.89209522191154433"/>
          <c:h val="0.63650934485818145"/>
        </c:manualLayout>
      </c:layout>
      <c:lineChart>
        <c:grouping val="standard"/>
        <c:varyColors val="0"/>
        <c:ser>
          <c:idx val="0"/>
          <c:order val="0"/>
          <c:tx>
            <c:strRef>
              <c:f>KPIs!$B$1</c:f>
              <c:strCache>
                <c:ptCount val="1"/>
                <c:pt idx="0">
                  <c:v>Total</c:v>
                </c:pt>
              </c:strCache>
            </c:strRef>
          </c:tx>
          <c:spPr>
            <a:ln w="34925" cap="rnd" cmpd="sng">
              <a:solidFill>
                <a:schemeClr val="tx2">
                  <a:lumMod val="50000"/>
                </a:schemeClr>
              </a:solidFill>
              <a:round/>
            </a:ln>
            <a:effectLst/>
          </c:spPr>
          <c:marker>
            <c:symbol val="none"/>
          </c:marker>
          <c:cat>
            <c:strRef>
              <c:f>KPIs!$A$2:$A$14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KPIs!$B$2:$B$14</c:f>
              <c:numCache>
                <c:formatCode>General</c:formatCode>
                <c:ptCount val="12"/>
                <c:pt idx="0">
                  <c:v>130235.7</c:v>
                </c:pt>
                <c:pt idx="1">
                  <c:v>123386.54999999999</c:v>
                </c:pt>
                <c:pt idx="2">
                  <c:v>109967.59</c:v>
                </c:pt>
                <c:pt idx="3">
                  <c:v>122940.36999999998</c:v>
                </c:pt>
                <c:pt idx="4">
                  <c:v>126507.20000000001</c:v>
                </c:pt>
                <c:pt idx="5">
                  <c:v>130764.56999999996</c:v>
                </c:pt>
                <c:pt idx="6">
                  <c:v>101473.74</c:v>
                </c:pt>
                <c:pt idx="7">
                  <c:v>144159.16000000003</c:v>
                </c:pt>
                <c:pt idx="8">
                  <c:v>134848.82</c:v>
                </c:pt>
                <c:pt idx="9">
                  <c:v>131816.47999999998</c:v>
                </c:pt>
                <c:pt idx="10">
                  <c:v>108358.24</c:v>
                </c:pt>
                <c:pt idx="11">
                  <c:v>162994.06000000003</c:v>
                </c:pt>
              </c:numCache>
            </c:numRef>
          </c:val>
          <c:smooth val="0"/>
          <c:extLst>
            <c:ext xmlns:c16="http://schemas.microsoft.com/office/drawing/2014/chart" uri="{C3380CC4-5D6E-409C-BE32-E72D297353CC}">
              <c16:uniqueId val="{00000000-B8C8-437A-AE40-62FB94E9F41D}"/>
            </c:ext>
          </c:extLst>
        </c:ser>
        <c:dLbls>
          <c:showLegendKey val="0"/>
          <c:showVal val="0"/>
          <c:showCatName val="0"/>
          <c:showSerName val="0"/>
          <c:showPercent val="0"/>
          <c:showBubbleSize val="0"/>
        </c:dLbls>
        <c:smooth val="0"/>
        <c:axId val="930049520"/>
        <c:axId val="930039952"/>
      </c:lineChart>
      <c:catAx>
        <c:axId val="930049520"/>
        <c:scaling>
          <c:orientation val="minMax"/>
        </c:scaling>
        <c:delete val="1"/>
        <c:axPos val="b"/>
        <c:numFmt formatCode="General" sourceLinked="1"/>
        <c:majorTickMark val="none"/>
        <c:minorTickMark val="none"/>
        <c:tickLblPos val="nextTo"/>
        <c:crossAx val="930039952"/>
        <c:crosses val="autoZero"/>
        <c:auto val="1"/>
        <c:lblAlgn val="ctr"/>
        <c:lblOffset val="100"/>
        <c:noMultiLvlLbl val="0"/>
      </c:catAx>
      <c:valAx>
        <c:axId val="930039952"/>
        <c:scaling>
          <c:orientation val="minMax"/>
        </c:scaling>
        <c:delete val="1"/>
        <c:axPos val="l"/>
        <c:numFmt formatCode="General" sourceLinked="1"/>
        <c:majorTickMark val="none"/>
        <c:minorTickMark val="none"/>
        <c:tickLblPos val="nextTo"/>
        <c:crossAx val="930049520"/>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project.xlsx]KPIs!tot quantity</c:name>
    <c:fmtId val="9"/>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34925" cap="rnd">
            <a:solidFill>
              <a:schemeClr val="tx2">
                <a:lumMod val="50000"/>
              </a:schemeClr>
            </a:solidFill>
            <a:round/>
          </a:ln>
          <a:effectLst/>
        </c:spPr>
        <c:marker>
          <c:symbol val="none"/>
        </c:marker>
      </c:pivotFmt>
      <c:pivotFmt>
        <c:idx val="4"/>
        <c:spPr>
          <a:solidFill>
            <a:schemeClr val="accent1"/>
          </a:solidFill>
          <a:ln w="34925" cap="rnd">
            <a:solidFill>
              <a:schemeClr val="tx2">
                <a:lumMod val="50000"/>
              </a:schemeClr>
            </a:solidFill>
            <a:round/>
          </a:ln>
          <a:effectLst/>
        </c:spPr>
        <c:marker>
          <c:symbol val="none"/>
        </c:marker>
      </c:pivotFmt>
      <c:pivotFmt>
        <c:idx val="5"/>
        <c:spPr>
          <a:ln w="34925" cap="rnd">
            <a:solidFill>
              <a:schemeClr val="tx2">
                <a:lumMod val="50000"/>
              </a:schemeClr>
            </a:solidFill>
            <a:round/>
          </a:ln>
          <a:effectLst/>
        </c:spPr>
        <c:marker>
          <c:symbol val="none"/>
        </c:marker>
      </c:pivotFmt>
    </c:pivotFmts>
    <c:plotArea>
      <c:layout/>
      <c:lineChart>
        <c:grouping val="standard"/>
        <c:varyColors val="0"/>
        <c:ser>
          <c:idx val="0"/>
          <c:order val="0"/>
          <c:tx>
            <c:strRef>
              <c:f>KPIs!$H$1</c:f>
              <c:strCache>
                <c:ptCount val="1"/>
                <c:pt idx="0">
                  <c:v>Total</c:v>
                </c:pt>
              </c:strCache>
            </c:strRef>
          </c:tx>
          <c:spPr>
            <a:ln w="34925" cap="rnd">
              <a:solidFill>
                <a:schemeClr val="tx2">
                  <a:lumMod val="50000"/>
                </a:schemeClr>
              </a:solidFill>
              <a:round/>
            </a:ln>
            <a:effectLst/>
          </c:spPr>
          <c:marker>
            <c:symbol val="none"/>
          </c:marker>
          <c:cat>
            <c:strRef>
              <c:f>KPIs!$G$2:$G$14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KPIs!$H$2:$H$14</c:f>
              <c:numCache>
                <c:formatCode>General</c:formatCode>
                <c:ptCount val="12"/>
                <c:pt idx="0">
                  <c:v>241</c:v>
                </c:pt>
                <c:pt idx="1">
                  <c:v>250</c:v>
                </c:pt>
                <c:pt idx="2">
                  <c:v>217</c:v>
                </c:pt>
                <c:pt idx="3">
                  <c:v>249</c:v>
                </c:pt>
                <c:pt idx="4">
                  <c:v>270</c:v>
                </c:pt>
                <c:pt idx="5">
                  <c:v>223</c:v>
                </c:pt>
                <c:pt idx="6">
                  <c:v>219</c:v>
                </c:pt>
                <c:pt idx="7">
                  <c:v>267</c:v>
                </c:pt>
                <c:pt idx="8">
                  <c:v>221</c:v>
                </c:pt>
                <c:pt idx="9">
                  <c:v>250</c:v>
                </c:pt>
                <c:pt idx="10">
                  <c:v>231</c:v>
                </c:pt>
                <c:pt idx="11">
                  <c:v>325</c:v>
                </c:pt>
              </c:numCache>
            </c:numRef>
          </c:val>
          <c:smooth val="0"/>
          <c:extLst>
            <c:ext xmlns:c16="http://schemas.microsoft.com/office/drawing/2014/chart" uri="{C3380CC4-5D6E-409C-BE32-E72D297353CC}">
              <c16:uniqueId val="{00000000-20AD-403F-AF13-53988D835BFE}"/>
            </c:ext>
          </c:extLst>
        </c:ser>
        <c:dLbls>
          <c:showLegendKey val="0"/>
          <c:showVal val="0"/>
          <c:showCatName val="0"/>
          <c:showSerName val="0"/>
          <c:showPercent val="0"/>
          <c:showBubbleSize val="0"/>
        </c:dLbls>
        <c:smooth val="0"/>
        <c:axId val="930794448"/>
        <c:axId val="930789872"/>
      </c:lineChart>
      <c:catAx>
        <c:axId val="930794448"/>
        <c:scaling>
          <c:orientation val="minMax"/>
        </c:scaling>
        <c:delete val="1"/>
        <c:axPos val="b"/>
        <c:numFmt formatCode="General" sourceLinked="1"/>
        <c:majorTickMark val="none"/>
        <c:minorTickMark val="none"/>
        <c:tickLblPos val="nextTo"/>
        <c:crossAx val="930789872"/>
        <c:crosses val="autoZero"/>
        <c:auto val="1"/>
        <c:lblAlgn val="ctr"/>
        <c:lblOffset val="100"/>
        <c:noMultiLvlLbl val="0"/>
      </c:catAx>
      <c:valAx>
        <c:axId val="930789872"/>
        <c:scaling>
          <c:orientation val="minMax"/>
        </c:scaling>
        <c:delete val="1"/>
        <c:axPos val="l"/>
        <c:numFmt formatCode="General" sourceLinked="1"/>
        <c:majorTickMark val="none"/>
        <c:minorTickMark val="none"/>
        <c:tickLblPos val="nextTo"/>
        <c:crossAx val="9307944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project.xlsx]KPIs!tot order ids</c:name>
    <c:fmtId val="10"/>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34925" cap="rnd">
            <a:solidFill>
              <a:schemeClr val="tx2">
                <a:lumMod val="50000"/>
              </a:schemeClr>
            </a:solidFill>
            <a:round/>
          </a:ln>
          <a:effectLst/>
        </c:spPr>
        <c:marker>
          <c:symbol val="none"/>
        </c:marker>
      </c:pivotFmt>
      <c:pivotFmt>
        <c:idx val="4"/>
        <c:spPr>
          <a:solidFill>
            <a:schemeClr val="accent1"/>
          </a:solidFill>
          <a:ln w="34925" cap="rnd">
            <a:solidFill>
              <a:schemeClr val="tx2">
                <a:lumMod val="50000"/>
              </a:schemeClr>
            </a:solidFill>
            <a:round/>
          </a:ln>
          <a:effectLst/>
        </c:spPr>
        <c:marker>
          <c:symbol val="none"/>
        </c:marker>
      </c:pivotFmt>
      <c:pivotFmt>
        <c:idx val="5"/>
        <c:spPr>
          <a:ln w="34925" cap="rnd">
            <a:solidFill>
              <a:schemeClr val="tx2">
                <a:lumMod val="50000"/>
              </a:schemeClr>
            </a:solidFill>
            <a:round/>
          </a:ln>
          <a:effectLst/>
        </c:spPr>
        <c:marker>
          <c:symbol val="none"/>
        </c:marker>
      </c:pivotFmt>
    </c:pivotFmts>
    <c:plotArea>
      <c:layout>
        <c:manualLayout>
          <c:layoutTarget val="inner"/>
          <c:xMode val="edge"/>
          <c:yMode val="edge"/>
          <c:x val="0.1285204891874368"/>
          <c:y val="0.38218860656642156"/>
          <c:w val="0.79803923127688503"/>
          <c:h val="0.29932088796156048"/>
        </c:manualLayout>
      </c:layout>
      <c:lineChart>
        <c:grouping val="standard"/>
        <c:varyColors val="0"/>
        <c:ser>
          <c:idx val="0"/>
          <c:order val="0"/>
          <c:tx>
            <c:strRef>
              <c:f>KPIs!$K$1</c:f>
              <c:strCache>
                <c:ptCount val="1"/>
                <c:pt idx="0">
                  <c:v>Total</c:v>
                </c:pt>
              </c:strCache>
            </c:strRef>
          </c:tx>
          <c:spPr>
            <a:ln w="34925" cap="rnd">
              <a:solidFill>
                <a:schemeClr val="tx2">
                  <a:lumMod val="50000"/>
                </a:schemeClr>
              </a:solidFill>
              <a:round/>
            </a:ln>
            <a:effectLst/>
          </c:spPr>
          <c:marker>
            <c:symbol val="none"/>
          </c:marker>
          <c:cat>
            <c:strRef>
              <c:f>KPIs!$J$2:$J$14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KPIs!$K$2:$K$14</c:f>
              <c:numCache>
                <c:formatCode>General</c:formatCode>
                <c:ptCount val="12"/>
                <c:pt idx="0">
                  <c:v>85</c:v>
                </c:pt>
                <c:pt idx="1">
                  <c:v>75</c:v>
                </c:pt>
                <c:pt idx="2">
                  <c:v>81</c:v>
                </c:pt>
                <c:pt idx="3">
                  <c:v>79</c:v>
                </c:pt>
                <c:pt idx="4">
                  <c:v>92</c:v>
                </c:pt>
                <c:pt idx="5">
                  <c:v>81</c:v>
                </c:pt>
                <c:pt idx="6">
                  <c:v>72</c:v>
                </c:pt>
                <c:pt idx="7">
                  <c:v>93</c:v>
                </c:pt>
                <c:pt idx="8">
                  <c:v>76</c:v>
                </c:pt>
                <c:pt idx="9">
                  <c:v>79</c:v>
                </c:pt>
                <c:pt idx="10">
                  <c:v>82</c:v>
                </c:pt>
                <c:pt idx="11">
                  <c:v>105</c:v>
                </c:pt>
              </c:numCache>
            </c:numRef>
          </c:val>
          <c:smooth val="0"/>
          <c:extLst>
            <c:ext xmlns:c16="http://schemas.microsoft.com/office/drawing/2014/chart" uri="{C3380CC4-5D6E-409C-BE32-E72D297353CC}">
              <c16:uniqueId val="{00000000-DB07-4526-9928-824C53CADE91}"/>
            </c:ext>
          </c:extLst>
        </c:ser>
        <c:dLbls>
          <c:showLegendKey val="0"/>
          <c:showVal val="0"/>
          <c:showCatName val="0"/>
          <c:showSerName val="0"/>
          <c:showPercent val="0"/>
          <c:showBubbleSize val="0"/>
        </c:dLbls>
        <c:smooth val="0"/>
        <c:axId val="930790704"/>
        <c:axId val="930792784"/>
      </c:lineChart>
      <c:catAx>
        <c:axId val="930790704"/>
        <c:scaling>
          <c:orientation val="minMax"/>
        </c:scaling>
        <c:delete val="1"/>
        <c:axPos val="b"/>
        <c:numFmt formatCode="General" sourceLinked="1"/>
        <c:majorTickMark val="none"/>
        <c:minorTickMark val="none"/>
        <c:tickLblPos val="nextTo"/>
        <c:crossAx val="930792784"/>
        <c:crosses val="autoZero"/>
        <c:auto val="1"/>
        <c:lblAlgn val="ctr"/>
        <c:lblOffset val="100"/>
        <c:noMultiLvlLbl val="0"/>
      </c:catAx>
      <c:valAx>
        <c:axId val="930792784"/>
        <c:scaling>
          <c:orientation val="minMax"/>
        </c:scaling>
        <c:delete val="1"/>
        <c:axPos val="l"/>
        <c:numFmt formatCode="General" sourceLinked="1"/>
        <c:majorTickMark val="none"/>
        <c:minorTickMark val="none"/>
        <c:tickLblPos val="nextTo"/>
        <c:crossAx val="93079070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project.xlsx]KPIs!tot profit</c:name>
    <c:fmtId val="9"/>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34925" cap="rnd">
            <a:solidFill>
              <a:schemeClr val="tx2">
                <a:lumMod val="50000"/>
              </a:schemeClr>
            </a:solidFill>
            <a:round/>
          </a:ln>
          <a:effectLst/>
        </c:spPr>
        <c:marker>
          <c:symbol val="none"/>
        </c:marker>
      </c:pivotFmt>
      <c:pivotFmt>
        <c:idx val="5"/>
        <c:spPr>
          <a:solidFill>
            <a:schemeClr val="accent1"/>
          </a:solidFill>
          <a:ln w="34925" cap="rnd">
            <a:solidFill>
              <a:schemeClr val="tx2">
                <a:lumMod val="50000"/>
              </a:schemeClr>
            </a:solidFill>
            <a:round/>
          </a:ln>
          <a:effectLst/>
        </c:spPr>
        <c:marker>
          <c:symbol val="none"/>
        </c:marker>
      </c:pivotFmt>
      <c:pivotFmt>
        <c:idx val="6"/>
        <c:spPr>
          <a:ln w="34925" cap="rnd">
            <a:solidFill>
              <a:schemeClr val="tx2">
                <a:lumMod val="50000"/>
              </a:schemeClr>
            </a:solidFill>
            <a:round/>
          </a:ln>
          <a:effectLst/>
        </c:spPr>
        <c:marker>
          <c:symbol val="none"/>
        </c:marker>
      </c:pivotFmt>
    </c:pivotFmts>
    <c:plotArea>
      <c:layout>
        <c:manualLayout>
          <c:layoutTarget val="inner"/>
          <c:xMode val="edge"/>
          <c:yMode val="edge"/>
          <c:x val="4.5365664823581113E-2"/>
          <c:y val="0.22086346349563449"/>
          <c:w val="0.93888888888888888"/>
          <c:h val="0.77371681071905252"/>
        </c:manualLayout>
      </c:layout>
      <c:lineChart>
        <c:grouping val="standard"/>
        <c:varyColors val="0"/>
        <c:ser>
          <c:idx val="0"/>
          <c:order val="0"/>
          <c:tx>
            <c:strRef>
              <c:f>KPIs!$E$1</c:f>
              <c:strCache>
                <c:ptCount val="1"/>
                <c:pt idx="0">
                  <c:v>Total</c:v>
                </c:pt>
              </c:strCache>
            </c:strRef>
          </c:tx>
          <c:spPr>
            <a:ln w="34925" cap="rnd">
              <a:solidFill>
                <a:schemeClr val="tx2">
                  <a:lumMod val="50000"/>
                </a:schemeClr>
              </a:solidFill>
              <a:round/>
            </a:ln>
            <a:effectLst/>
          </c:spPr>
          <c:marker>
            <c:symbol val="none"/>
          </c:marker>
          <c:cat>
            <c:strRef>
              <c:f>KPIs!$D$2:$D$14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KPIs!$E$2:$E$14</c:f>
              <c:numCache>
                <c:formatCode>General</c:formatCode>
                <c:ptCount val="12"/>
                <c:pt idx="0">
                  <c:v>30775.80999999999</c:v>
                </c:pt>
                <c:pt idx="1">
                  <c:v>26446.85999999999</c:v>
                </c:pt>
                <c:pt idx="2">
                  <c:v>26292.469999999994</c:v>
                </c:pt>
                <c:pt idx="3">
                  <c:v>29191.89000000001</c:v>
                </c:pt>
                <c:pt idx="4">
                  <c:v>28306.76999999999</c:v>
                </c:pt>
                <c:pt idx="5">
                  <c:v>28542.190000000002</c:v>
                </c:pt>
                <c:pt idx="6">
                  <c:v>25104.22</c:v>
                </c:pt>
                <c:pt idx="7">
                  <c:v>32803.589999999997</c:v>
                </c:pt>
                <c:pt idx="8">
                  <c:v>30069.350000000002</c:v>
                </c:pt>
                <c:pt idx="9">
                  <c:v>26467.579999999998</c:v>
                </c:pt>
                <c:pt idx="10">
                  <c:v>25108.149999999998</c:v>
                </c:pt>
                <c:pt idx="11">
                  <c:v>35893.79</c:v>
                </c:pt>
              </c:numCache>
            </c:numRef>
          </c:val>
          <c:smooth val="0"/>
          <c:extLst>
            <c:ext xmlns:c16="http://schemas.microsoft.com/office/drawing/2014/chart" uri="{C3380CC4-5D6E-409C-BE32-E72D297353CC}">
              <c16:uniqueId val="{00000000-FBEB-4B2D-B7EA-2B19505AC949}"/>
            </c:ext>
          </c:extLst>
        </c:ser>
        <c:dLbls>
          <c:showLegendKey val="0"/>
          <c:showVal val="0"/>
          <c:showCatName val="0"/>
          <c:showSerName val="0"/>
          <c:showPercent val="0"/>
          <c:showBubbleSize val="0"/>
        </c:dLbls>
        <c:smooth val="0"/>
        <c:axId val="826318848"/>
        <c:axId val="826323840"/>
      </c:lineChart>
      <c:catAx>
        <c:axId val="826318848"/>
        <c:scaling>
          <c:orientation val="minMax"/>
        </c:scaling>
        <c:delete val="1"/>
        <c:axPos val="b"/>
        <c:numFmt formatCode="General" sourceLinked="1"/>
        <c:majorTickMark val="none"/>
        <c:minorTickMark val="none"/>
        <c:tickLblPos val="nextTo"/>
        <c:crossAx val="826323840"/>
        <c:crosses val="autoZero"/>
        <c:auto val="1"/>
        <c:lblAlgn val="ctr"/>
        <c:lblOffset val="100"/>
        <c:noMultiLvlLbl val="0"/>
      </c:catAx>
      <c:valAx>
        <c:axId val="826323840"/>
        <c:scaling>
          <c:orientation val="minMax"/>
        </c:scaling>
        <c:delete val="1"/>
        <c:axPos val="l"/>
        <c:numFmt formatCode="General" sourceLinked="1"/>
        <c:majorTickMark val="none"/>
        <c:minorTickMark val="none"/>
        <c:tickLblPos val="nextTo"/>
        <c:crossAx val="8263188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project.xlsx]KPIs!tot profit margin</c:name>
    <c:fmtId val="11"/>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34925" cap="rnd">
            <a:solidFill>
              <a:schemeClr val="tx2">
                <a:lumMod val="50000"/>
              </a:schemeClr>
            </a:solidFill>
            <a:round/>
          </a:ln>
          <a:effectLst/>
        </c:spPr>
        <c:marker>
          <c:symbol val="none"/>
        </c:marker>
      </c:pivotFmt>
      <c:pivotFmt>
        <c:idx val="4"/>
        <c:spPr>
          <a:solidFill>
            <a:schemeClr val="accent1"/>
          </a:solidFill>
          <a:ln w="34925" cap="rnd">
            <a:solidFill>
              <a:schemeClr val="tx2">
                <a:lumMod val="50000"/>
              </a:schemeClr>
            </a:solidFill>
            <a:round/>
          </a:ln>
          <a:effectLst/>
        </c:spPr>
        <c:marker>
          <c:symbol val="none"/>
        </c:marker>
      </c:pivotFmt>
      <c:pivotFmt>
        <c:idx val="5"/>
        <c:spPr>
          <a:ln w="34925" cap="rnd">
            <a:solidFill>
              <a:schemeClr val="tx2">
                <a:lumMod val="50000"/>
              </a:schemeClr>
            </a:solidFill>
            <a:round/>
          </a:ln>
          <a:effectLst/>
        </c:spPr>
        <c:marker>
          <c:symbol val="none"/>
        </c:marker>
      </c:pivotFmt>
    </c:pivotFmts>
    <c:plotArea>
      <c:layout>
        <c:manualLayout>
          <c:layoutTarget val="inner"/>
          <c:xMode val="edge"/>
          <c:yMode val="edge"/>
          <c:x val="5.0909799357400462E-2"/>
          <c:y val="0.21021730587966375"/>
          <c:w val="0.85585239780817224"/>
          <c:h val="0.58904633451098865"/>
        </c:manualLayout>
      </c:layout>
      <c:lineChart>
        <c:grouping val="standard"/>
        <c:varyColors val="0"/>
        <c:ser>
          <c:idx val="0"/>
          <c:order val="0"/>
          <c:tx>
            <c:strRef>
              <c:f>KPIs!$N$1</c:f>
              <c:strCache>
                <c:ptCount val="1"/>
                <c:pt idx="0">
                  <c:v>Total</c:v>
                </c:pt>
              </c:strCache>
            </c:strRef>
          </c:tx>
          <c:spPr>
            <a:ln w="34925" cap="rnd">
              <a:solidFill>
                <a:schemeClr val="tx2">
                  <a:lumMod val="50000"/>
                </a:schemeClr>
              </a:solidFill>
              <a:round/>
            </a:ln>
            <a:effectLst/>
          </c:spPr>
          <c:marker>
            <c:symbol val="none"/>
          </c:marker>
          <c:cat>
            <c:strRef>
              <c:f>KPIs!$M$2:$M$14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KPIs!$N$2:$N$14</c:f>
              <c:numCache>
                <c:formatCode>General</c:formatCode>
                <c:ptCount val="12"/>
                <c:pt idx="0">
                  <c:v>0.23630855441326756</c:v>
                </c:pt>
                <c:pt idx="1">
                  <c:v>0.21434151453298592</c:v>
                </c:pt>
                <c:pt idx="2">
                  <c:v>0.23909290000808414</c:v>
                </c:pt>
                <c:pt idx="3">
                  <c:v>0.23744755282581315</c:v>
                </c:pt>
                <c:pt idx="4">
                  <c:v>0.22375619727572807</c:v>
                </c:pt>
                <c:pt idx="5">
                  <c:v>0.2182715853384446</c:v>
                </c:pt>
                <c:pt idx="6">
                  <c:v>0.24739622290456625</c:v>
                </c:pt>
                <c:pt idx="7">
                  <c:v>0.22755120104750881</c:v>
                </c:pt>
                <c:pt idx="8">
                  <c:v>0.22298563680423752</c:v>
                </c:pt>
                <c:pt idx="9">
                  <c:v>0.20079113021376388</c:v>
                </c:pt>
                <c:pt idx="10">
                  <c:v>0.23171426556946659</c:v>
                </c:pt>
                <c:pt idx="11">
                  <c:v>0.22021532563824717</c:v>
                </c:pt>
              </c:numCache>
            </c:numRef>
          </c:val>
          <c:smooth val="0"/>
          <c:extLst>
            <c:ext xmlns:c16="http://schemas.microsoft.com/office/drawing/2014/chart" uri="{C3380CC4-5D6E-409C-BE32-E72D297353CC}">
              <c16:uniqueId val="{00000000-C8C7-4A90-8C50-2C1F68C19205}"/>
            </c:ext>
          </c:extLst>
        </c:ser>
        <c:dLbls>
          <c:showLegendKey val="0"/>
          <c:showVal val="0"/>
          <c:showCatName val="0"/>
          <c:showSerName val="0"/>
          <c:showPercent val="0"/>
          <c:showBubbleSize val="0"/>
        </c:dLbls>
        <c:smooth val="0"/>
        <c:axId val="826321344"/>
        <c:axId val="826322592"/>
      </c:lineChart>
      <c:catAx>
        <c:axId val="826321344"/>
        <c:scaling>
          <c:orientation val="minMax"/>
        </c:scaling>
        <c:delete val="1"/>
        <c:axPos val="b"/>
        <c:numFmt formatCode="General" sourceLinked="1"/>
        <c:majorTickMark val="none"/>
        <c:minorTickMark val="none"/>
        <c:tickLblPos val="nextTo"/>
        <c:crossAx val="826322592"/>
        <c:crosses val="autoZero"/>
        <c:auto val="1"/>
        <c:lblAlgn val="ctr"/>
        <c:lblOffset val="100"/>
        <c:noMultiLvlLbl val="0"/>
      </c:catAx>
      <c:valAx>
        <c:axId val="826322592"/>
        <c:scaling>
          <c:orientation val="minMax"/>
        </c:scaling>
        <c:delete val="1"/>
        <c:axPos val="l"/>
        <c:numFmt formatCode="General" sourceLinked="1"/>
        <c:majorTickMark val="none"/>
        <c:minorTickMark val="none"/>
        <c:tickLblPos val="nextTo"/>
        <c:crossAx val="82632134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x:chartSpace xmlns:a="http://schemas.openxmlformats.org/drawingml/2006/main" xmlns:r="http://schemas.openxmlformats.org/officeDocument/2006/relationships" xmlns:cx="http://schemas.microsoft.com/office/drawing/2014/chartex">
  <cx:chartData>
    <cx:data id="0">
      <cx:strDim type="cat">
        <cx:f>_xlchart.3</cx:f>
      </cx:strDim>
      <cx:numDim type="val">
        <cx:f>_xlchart.5</cx:f>
      </cx:numDim>
    </cx:data>
  </cx:chartData>
  <cx:chart>
    <cx:plotArea>
      <cx:plotAreaRegion>
        <cx:series layoutId="waterfall" uniqueId="{8CAED560-E9B5-4CD9-9103-7E38F0875432}">
          <cx:tx>
            <cx:txData>
              <cx:f>_xlchart.4</cx:f>
              <cx:v>Sum of Profit</cx:v>
            </cx:txData>
          </cx:tx>
          <cx:spPr>
            <a:gradFill>
              <a:gsLst>
                <a:gs pos="8000">
                  <a:schemeClr val="accent3">
                    <a:lumMod val="75000"/>
                  </a:schemeClr>
                </a:gs>
                <a:gs pos="78000">
                  <a:schemeClr val="accent6">
                    <a:lumMod val="40000"/>
                    <a:lumOff val="60000"/>
                  </a:schemeClr>
                </a:gs>
              </a:gsLst>
              <a:lin ang="5400000" scaled="1"/>
            </a:gradFill>
          </cx:spPr>
          <cx:dataLabels pos="outEnd">
            <cx:numFmt formatCode="0, &quot;k&quot;" sourceLinked="0"/>
            <cx:txPr>
              <a:bodyPr spcFirstLastPara="1" vertOverflow="ellipsis" wrap="square" lIns="0" tIns="0" rIns="0" bIns="0" anchor="ctr" anchorCtr="1">
                <a:spAutoFit/>
              </a:bodyPr>
              <a:lstStyle/>
              <a:p>
                <a:pPr>
                  <a:defRPr b="1">
                    <a:solidFill>
                      <a:schemeClr val="bg1"/>
                    </a:solidFill>
                  </a:defRPr>
                </a:pPr>
                <a:endParaRPr lang="en-US" b="1">
                  <a:solidFill>
                    <a:schemeClr val="bg1"/>
                  </a:solidFill>
                </a:endParaRPr>
              </a:p>
            </cx:txPr>
            <cx:visibility seriesName="0" categoryName="0" value="1"/>
            <cx:separator>, </cx:separator>
          </cx:dataLabels>
          <cx:dataId val="0"/>
          <cx:layoutPr>
            <cx:subtotals/>
          </cx:layoutPr>
        </cx:series>
      </cx:plotAreaRegion>
      <cx:axis id="0">
        <cx:catScaling gapWidth="0.5"/>
        <cx:tickLabels/>
        <cx:spPr>
          <a:ln>
            <a:solidFill>
              <a:schemeClr val="accent1">
                <a:shade val="50000"/>
              </a:schemeClr>
            </a:solidFill>
          </a:ln>
        </cx:spPr>
        <cx:txPr>
          <a:bodyPr spcFirstLastPara="1" vertOverflow="ellipsis" wrap="square" lIns="0" tIns="0" rIns="0" bIns="0" anchor="ctr" anchorCtr="1"/>
          <a:lstStyle/>
          <a:p>
            <a:pPr>
              <a:defRPr b="1">
                <a:solidFill>
                  <a:schemeClr val="bg1"/>
                </a:solidFill>
              </a:defRPr>
            </a:pPr>
            <a:endParaRPr lang="en-US" b="1">
              <a:solidFill>
                <a:schemeClr val="bg1"/>
              </a:solidFill>
            </a:endParaRPr>
          </a:p>
        </cx:txPr>
      </cx:axis>
      <cx:axis id="1" hidden="1">
        <cx:valScaling/>
        <cx:tickLabels/>
      </cx:axis>
    </cx:plotArea>
  </cx:chart>
  <cx:spPr>
    <a:noFill/>
    <a:ln>
      <a:noFill/>
    </a:ln>
  </cx:spPr>
</cx: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project.xlsx]pivot tables area!country Avg of ShippingDays country</c:name>
    <c:fmtId val="20"/>
  </c:pivotSource>
  <c:chart>
    <c:autoTitleDeleted val="1"/>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gradFill>
            <a:gsLst>
              <a:gs pos="12000">
                <a:schemeClr val="bg2">
                  <a:lumMod val="90000"/>
                </a:schemeClr>
              </a:gs>
              <a:gs pos="91000">
                <a:schemeClr val="accent1">
                  <a:lumMod val="75000"/>
                </a:schemeClr>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909092974680155E-2"/>
          <c:y val="3.5039921180435626E-2"/>
          <c:w val="0.89960140545608924"/>
          <c:h val="0.6838414135854548"/>
        </c:manualLayout>
      </c:layout>
      <c:bar3DChart>
        <c:barDir val="col"/>
        <c:grouping val="standard"/>
        <c:varyColors val="0"/>
        <c:ser>
          <c:idx val="0"/>
          <c:order val="0"/>
          <c:tx>
            <c:strRef>
              <c:f>'pivot tables area'!$R$101</c:f>
              <c:strCache>
                <c:ptCount val="1"/>
                <c:pt idx="0">
                  <c:v>Total</c:v>
                </c:pt>
              </c:strCache>
            </c:strRef>
          </c:tx>
          <c:spPr>
            <a:gradFill>
              <a:gsLst>
                <a:gs pos="12000">
                  <a:schemeClr val="bg2">
                    <a:lumMod val="90000"/>
                  </a:schemeClr>
                </a:gs>
                <a:gs pos="91000">
                  <a:schemeClr val="accent1">
                    <a:lumMod val="75000"/>
                  </a:schemeClr>
                </a:gs>
              </a:gsLst>
              <a:lin ang="54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area'!$Q$102:$Q$109</c:f>
              <c:strCache>
                <c:ptCount val="7"/>
                <c:pt idx="0">
                  <c:v>Canada</c:v>
                </c:pt>
                <c:pt idx="1">
                  <c:v>France</c:v>
                </c:pt>
                <c:pt idx="2">
                  <c:v>Germany</c:v>
                </c:pt>
                <c:pt idx="3">
                  <c:v>India</c:v>
                </c:pt>
                <c:pt idx="4">
                  <c:v>UAE</c:v>
                </c:pt>
                <c:pt idx="5">
                  <c:v>UK</c:v>
                </c:pt>
                <c:pt idx="6">
                  <c:v>USA</c:v>
                </c:pt>
              </c:strCache>
            </c:strRef>
          </c:cat>
          <c:val>
            <c:numRef>
              <c:f>'pivot tables area'!$R$102:$R$109</c:f>
              <c:numCache>
                <c:formatCode>0.00</c:formatCode>
                <c:ptCount val="7"/>
                <c:pt idx="0">
                  <c:v>5.2824427480916034</c:v>
                </c:pt>
                <c:pt idx="1">
                  <c:v>5.612903225806452</c:v>
                </c:pt>
                <c:pt idx="2">
                  <c:v>5.1194029850746272</c:v>
                </c:pt>
                <c:pt idx="3">
                  <c:v>5.8680555555555554</c:v>
                </c:pt>
                <c:pt idx="4">
                  <c:v>5.711267605633803</c:v>
                </c:pt>
                <c:pt idx="5">
                  <c:v>5.6758620689655173</c:v>
                </c:pt>
                <c:pt idx="6">
                  <c:v>5.7382550335570466</c:v>
                </c:pt>
              </c:numCache>
            </c:numRef>
          </c:val>
          <c:extLst>
            <c:ext xmlns:c16="http://schemas.microsoft.com/office/drawing/2014/chart" uri="{C3380CC4-5D6E-409C-BE32-E72D297353CC}">
              <c16:uniqueId val="{00000000-BF73-49C5-8D97-374B55A0A493}"/>
            </c:ext>
          </c:extLst>
        </c:ser>
        <c:dLbls>
          <c:showLegendKey val="0"/>
          <c:showVal val="1"/>
          <c:showCatName val="0"/>
          <c:showSerName val="0"/>
          <c:showPercent val="0"/>
          <c:showBubbleSize val="0"/>
        </c:dLbls>
        <c:gapWidth val="150"/>
        <c:shape val="box"/>
        <c:axId val="1802710799"/>
        <c:axId val="1802720783"/>
        <c:axId val="1816907983"/>
      </c:bar3DChart>
      <c:catAx>
        <c:axId val="1802710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02720783"/>
        <c:crosses val="autoZero"/>
        <c:auto val="1"/>
        <c:lblAlgn val="ctr"/>
        <c:lblOffset val="100"/>
        <c:noMultiLvlLbl val="0"/>
      </c:catAx>
      <c:valAx>
        <c:axId val="1802720783"/>
        <c:scaling>
          <c:orientation val="minMax"/>
        </c:scaling>
        <c:delete val="0"/>
        <c:axPos val="l"/>
        <c:majorGridlines>
          <c:spPr>
            <a:ln w="9525" cap="flat" cmpd="sng" algn="ctr">
              <a:solidFill>
                <a:schemeClr val="bg2">
                  <a:lumMod val="7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02710799"/>
        <c:crosses val="autoZero"/>
        <c:crossBetween val="between"/>
      </c:valAx>
      <c:serAx>
        <c:axId val="1816907983"/>
        <c:scaling>
          <c:orientation val="minMax"/>
        </c:scaling>
        <c:delete val="1"/>
        <c:axPos val="b"/>
        <c:majorTickMark val="none"/>
        <c:minorTickMark val="none"/>
        <c:tickLblPos val="nextTo"/>
        <c:crossAx val="1802720783"/>
        <c:crosses val="autoZero"/>
      </c:ser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project.xlsx]pivot tables area!country PaymentMethod in each country</c:name>
    <c:fmtId val="1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57906122056336"/>
          <c:y val="7.524085691634208E-2"/>
          <c:w val="0.68199988617436569"/>
          <c:h val="0.80344986205063473"/>
        </c:manualLayout>
      </c:layout>
      <c:barChart>
        <c:barDir val="bar"/>
        <c:grouping val="clustered"/>
        <c:varyColors val="0"/>
        <c:ser>
          <c:idx val="0"/>
          <c:order val="0"/>
          <c:tx>
            <c:strRef>
              <c:f>'pivot tables area'!$Q$150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area'!$P$151:$P$156</c:f>
              <c:strCache>
                <c:ptCount val="5"/>
                <c:pt idx="0">
                  <c:v>Cash on Delivery</c:v>
                </c:pt>
                <c:pt idx="1">
                  <c:v>Credit Card</c:v>
                </c:pt>
                <c:pt idx="2">
                  <c:v>Debit Card</c:v>
                </c:pt>
                <c:pt idx="3">
                  <c:v>Net Banking</c:v>
                </c:pt>
                <c:pt idx="4">
                  <c:v>UPI</c:v>
                </c:pt>
              </c:strCache>
            </c:strRef>
          </c:cat>
          <c:val>
            <c:numRef>
              <c:f>'pivot tables area'!$Q$151:$Q$156</c:f>
              <c:numCache>
                <c:formatCode>General</c:formatCode>
                <c:ptCount val="5"/>
                <c:pt idx="0">
                  <c:v>184</c:v>
                </c:pt>
                <c:pt idx="1">
                  <c:v>213</c:v>
                </c:pt>
                <c:pt idx="2">
                  <c:v>206</c:v>
                </c:pt>
                <c:pt idx="3">
                  <c:v>188</c:v>
                </c:pt>
                <c:pt idx="4">
                  <c:v>209</c:v>
                </c:pt>
              </c:numCache>
            </c:numRef>
          </c:val>
          <c:extLst>
            <c:ext xmlns:c16="http://schemas.microsoft.com/office/drawing/2014/chart" uri="{C3380CC4-5D6E-409C-BE32-E72D297353CC}">
              <c16:uniqueId val="{00000000-90E5-413E-8ABF-E1E6ABE93C16}"/>
            </c:ext>
          </c:extLst>
        </c:ser>
        <c:dLbls>
          <c:dLblPos val="ctr"/>
          <c:showLegendKey val="0"/>
          <c:showVal val="1"/>
          <c:showCatName val="0"/>
          <c:showSerName val="0"/>
          <c:showPercent val="0"/>
          <c:showBubbleSize val="0"/>
        </c:dLbls>
        <c:gapWidth val="150"/>
        <c:axId val="1803028543"/>
        <c:axId val="1803010655"/>
      </c:barChart>
      <c:catAx>
        <c:axId val="18030285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03010655"/>
        <c:crosses val="autoZero"/>
        <c:auto val="1"/>
        <c:lblAlgn val="ctr"/>
        <c:lblOffset val="100"/>
        <c:noMultiLvlLbl val="0"/>
      </c:catAx>
      <c:valAx>
        <c:axId val="1803010655"/>
        <c:scaling>
          <c:orientation val="minMax"/>
        </c:scaling>
        <c:delete val="1"/>
        <c:axPos val="b"/>
        <c:numFmt formatCode="General" sourceLinked="1"/>
        <c:majorTickMark val="out"/>
        <c:minorTickMark val="none"/>
        <c:tickLblPos val="nextTo"/>
        <c:crossAx val="180302854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project.xlsx]pivot tables area!country monthly sales trend for country</c:name>
    <c:fmtId val="19"/>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solidFill>
            <a:schemeClr val="accent1"/>
          </a:solidFill>
          <a:ln w="28575" cap="rnd">
            <a:solidFill>
              <a:schemeClr val="accent1"/>
            </a:solidFill>
            <a:round/>
          </a:ln>
          <a:effectLst/>
        </c:spPr>
        <c:marker>
          <c:symbol val="none"/>
        </c:marker>
      </c:pivotFmt>
      <c:pivotFmt>
        <c:idx val="13"/>
        <c:spPr>
          <a:solidFill>
            <a:schemeClr val="accent1"/>
          </a:solidFill>
          <a:ln w="28575" cap="rnd">
            <a:solidFill>
              <a:schemeClr val="accent1"/>
            </a:solidFill>
            <a:round/>
          </a:ln>
          <a:effectLst/>
        </c:spPr>
        <c:marker>
          <c:symbol val="none"/>
        </c:marker>
      </c:pivotFmt>
      <c:pivotFmt>
        <c:idx val="14"/>
        <c:spPr>
          <a:solidFill>
            <a:schemeClr val="accent1"/>
          </a:solidFill>
          <a:ln w="28575" cap="rnd">
            <a:solidFill>
              <a:schemeClr val="accent1"/>
            </a:solidFill>
            <a:round/>
          </a:ln>
          <a:effectLst/>
        </c:spPr>
        <c:marker>
          <c:symbol val="none"/>
        </c:marker>
      </c:pivotFmt>
      <c:pivotFmt>
        <c:idx val="15"/>
        <c:spPr>
          <a:solidFill>
            <a:schemeClr val="accent1"/>
          </a:solidFill>
          <a:ln w="28575" cap="rnd">
            <a:solidFill>
              <a:schemeClr val="accent1"/>
            </a:solidFill>
            <a:round/>
          </a:ln>
          <a:effectLst/>
        </c:spPr>
        <c:marker>
          <c:symbol val="none"/>
        </c:marker>
      </c:pivotFmt>
      <c:pivotFmt>
        <c:idx val="16"/>
        <c:spPr>
          <a:solidFill>
            <a:schemeClr val="accent1"/>
          </a:solidFill>
          <a:ln w="28575" cap="rnd">
            <a:solidFill>
              <a:schemeClr val="accent1"/>
            </a:solidFill>
            <a:round/>
          </a:ln>
          <a:effectLst/>
        </c:spPr>
        <c:marker>
          <c:symbol val="none"/>
        </c:marker>
      </c:pivotFmt>
      <c:pivotFmt>
        <c:idx val="17"/>
        <c:spPr>
          <a:solidFill>
            <a:schemeClr val="accent1"/>
          </a:solidFill>
          <a:ln w="28575" cap="rnd">
            <a:solidFill>
              <a:schemeClr val="accent1"/>
            </a:solidFill>
            <a:round/>
          </a:ln>
          <a:effectLst/>
        </c:spPr>
        <c:marker>
          <c:symbol val="none"/>
        </c:marker>
      </c:pivotFmt>
      <c:pivotFmt>
        <c:idx val="18"/>
        <c:spPr>
          <a:solidFill>
            <a:schemeClr val="accent1"/>
          </a:solidFill>
          <a:ln w="28575" cap="rnd">
            <a:solidFill>
              <a:schemeClr val="accent1"/>
            </a:solidFill>
            <a:round/>
          </a:ln>
          <a:effectLst/>
        </c:spPr>
        <c:marker>
          <c:symbol val="none"/>
        </c:marker>
      </c:pivotFmt>
      <c:pivotFmt>
        <c:idx val="19"/>
        <c:spPr>
          <a:solidFill>
            <a:schemeClr val="accent1"/>
          </a:solidFill>
          <a:ln w="28575" cap="rnd">
            <a:solidFill>
              <a:schemeClr val="accent1"/>
            </a:solidFill>
            <a:round/>
          </a:ln>
          <a:effectLst/>
        </c:spPr>
        <c:marker>
          <c:symbol val="none"/>
        </c:marker>
      </c:pivotFmt>
      <c:pivotFmt>
        <c:idx val="20"/>
        <c:spPr>
          <a:solidFill>
            <a:schemeClr val="accent1"/>
          </a:solidFill>
          <a:ln w="28575" cap="rnd">
            <a:solidFill>
              <a:schemeClr val="accent1"/>
            </a:solidFill>
            <a:round/>
          </a:ln>
          <a:effectLst/>
        </c:spPr>
        <c:marker>
          <c:symbol val="none"/>
        </c:marker>
      </c:pivotFmt>
      <c:pivotFmt>
        <c:idx val="21"/>
        <c:spPr>
          <a:solidFill>
            <a:schemeClr val="accent1"/>
          </a:solidFill>
          <a:ln w="28575" cap="rnd">
            <a:solidFill>
              <a:schemeClr val="accent1"/>
            </a:solidFill>
            <a:round/>
          </a:ln>
          <a:effectLst/>
        </c:spPr>
        <c:marker>
          <c:symbol val="none"/>
        </c:marker>
      </c:pivotFmt>
      <c:pivotFmt>
        <c:idx val="22"/>
        <c:spPr>
          <a:solidFill>
            <a:schemeClr val="accent1"/>
          </a:solidFill>
          <a:ln w="28575" cap="rnd">
            <a:solidFill>
              <a:schemeClr val="accent1"/>
            </a:solidFill>
            <a:round/>
          </a:ln>
          <a:effectLst/>
        </c:spPr>
        <c:marker>
          <c:symbol val="none"/>
        </c:marker>
      </c:pivotFmt>
      <c:pivotFmt>
        <c:idx val="23"/>
        <c:spPr>
          <a:solidFill>
            <a:schemeClr val="accent1"/>
          </a:solidFill>
          <a:ln w="28575" cap="rnd">
            <a:solidFill>
              <a:schemeClr val="accent1"/>
            </a:solidFill>
            <a:round/>
          </a:ln>
          <a:effectLst/>
        </c:spPr>
        <c:marker>
          <c:symbol val="none"/>
        </c:marker>
      </c:pivotFmt>
      <c:pivotFmt>
        <c:idx val="24"/>
        <c:spPr>
          <a:solidFill>
            <a:schemeClr val="accent1"/>
          </a:solidFill>
          <a:ln w="28575" cap="rnd">
            <a:solidFill>
              <a:schemeClr val="accent1"/>
            </a:solidFill>
            <a:round/>
          </a:ln>
          <a:effectLst/>
        </c:spPr>
        <c:marker>
          <c:symbol val="none"/>
        </c:marker>
      </c:pivotFmt>
      <c:pivotFmt>
        <c:idx val="25"/>
        <c:spPr>
          <a:solidFill>
            <a:schemeClr val="accent1"/>
          </a:solidFill>
          <a:ln w="28575" cap="rnd">
            <a:solidFill>
              <a:schemeClr val="accent1"/>
            </a:solidFill>
            <a:round/>
          </a:ln>
          <a:effectLst/>
        </c:spPr>
        <c:marker>
          <c:symbol val="none"/>
        </c:marker>
      </c:pivotFmt>
      <c:pivotFmt>
        <c:idx val="26"/>
        <c:spPr>
          <a:solidFill>
            <a:schemeClr val="accent1"/>
          </a:solidFill>
          <a:ln w="28575" cap="rnd">
            <a:solidFill>
              <a:schemeClr val="accent1"/>
            </a:solidFill>
            <a:round/>
          </a:ln>
          <a:effectLst/>
        </c:spPr>
        <c:marker>
          <c:symbol val="none"/>
        </c:marker>
      </c:pivotFmt>
      <c:pivotFmt>
        <c:idx val="27"/>
        <c:spPr>
          <a:solidFill>
            <a:schemeClr val="accent1"/>
          </a:solidFill>
          <a:ln w="28575" cap="rnd">
            <a:solidFill>
              <a:schemeClr val="accent1"/>
            </a:solidFill>
            <a:round/>
          </a:ln>
          <a:effectLst/>
        </c:spPr>
        <c:marker>
          <c:symbol val="none"/>
        </c:marker>
      </c:pivotFmt>
      <c:pivotFmt>
        <c:idx val="28"/>
        <c:spPr>
          <a:solidFill>
            <a:schemeClr val="accent1"/>
          </a:solidFill>
          <a:ln w="28575" cap="rnd">
            <a:solidFill>
              <a:schemeClr val="accent1"/>
            </a:solidFill>
            <a:round/>
          </a:ln>
          <a:effectLst/>
        </c:spPr>
        <c:marker>
          <c:symbol val="none"/>
        </c:marker>
      </c:pivotFmt>
      <c:pivotFmt>
        <c:idx val="29"/>
        <c:spPr>
          <a:solidFill>
            <a:schemeClr val="accent1"/>
          </a:solidFill>
          <a:ln w="28575" cap="rnd">
            <a:solidFill>
              <a:schemeClr val="accent1"/>
            </a:solidFill>
            <a:round/>
          </a:ln>
          <a:effectLst/>
        </c:spPr>
        <c:marker>
          <c:symbol val="none"/>
        </c:marker>
      </c:pivotFmt>
      <c:pivotFmt>
        <c:idx val="30"/>
        <c:spPr>
          <a:solidFill>
            <a:schemeClr val="accent1"/>
          </a:solidFill>
          <a:ln w="28575" cap="rnd">
            <a:solidFill>
              <a:schemeClr val="accent1"/>
            </a:solidFill>
            <a:round/>
          </a:ln>
          <a:effectLst/>
        </c:spPr>
        <c:marker>
          <c:symbol val="none"/>
        </c:marker>
      </c:pivotFmt>
      <c:pivotFmt>
        <c:idx val="31"/>
        <c:spPr>
          <a:solidFill>
            <a:schemeClr val="accent1"/>
          </a:solidFill>
          <a:ln w="28575" cap="rnd">
            <a:solidFill>
              <a:schemeClr val="accent1"/>
            </a:solidFill>
            <a:round/>
          </a:ln>
          <a:effectLst/>
        </c:spPr>
        <c:marker>
          <c:symbol val="none"/>
        </c:marker>
      </c:pivotFmt>
      <c:pivotFmt>
        <c:idx val="32"/>
        <c:spPr>
          <a:solidFill>
            <a:schemeClr val="accent1"/>
          </a:solidFill>
          <a:ln w="28575" cap="rnd">
            <a:solidFill>
              <a:schemeClr val="accent1"/>
            </a:solidFill>
            <a:round/>
          </a:ln>
          <a:effectLst/>
        </c:spPr>
        <c:marker>
          <c:symbol val="none"/>
        </c:marker>
      </c:pivotFmt>
      <c:pivotFmt>
        <c:idx val="33"/>
        <c:spPr>
          <a:solidFill>
            <a:schemeClr val="accent1"/>
          </a:solidFill>
          <a:ln w="28575" cap="rnd">
            <a:solidFill>
              <a:schemeClr val="accent1"/>
            </a:solidFill>
            <a:round/>
          </a:ln>
          <a:effectLst/>
        </c:spPr>
        <c:marker>
          <c:symbol val="none"/>
        </c:marker>
      </c:pivotFmt>
      <c:pivotFmt>
        <c:idx val="34"/>
        <c:spPr>
          <a:solidFill>
            <a:schemeClr val="accent1"/>
          </a:solidFill>
          <a:ln w="28575" cap="rnd">
            <a:solidFill>
              <a:schemeClr val="accent1"/>
            </a:solidFill>
            <a:round/>
          </a:ln>
          <a:effectLst/>
        </c:spPr>
        <c:marker>
          <c:symbol val="none"/>
        </c:marker>
      </c:pivotFmt>
      <c:pivotFmt>
        <c:idx val="35"/>
        <c:spPr>
          <a:solidFill>
            <a:schemeClr val="accent1"/>
          </a:solidFill>
          <a:ln w="28575" cap="rnd">
            <a:solidFill>
              <a:schemeClr val="accent1"/>
            </a:solidFill>
            <a:round/>
          </a:ln>
          <a:effectLst/>
        </c:spPr>
        <c:marker>
          <c:symbol val="none"/>
        </c:marker>
      </c:pivotFmt>
      <c:pivotFmt>
        <c:idx val="36"/>
        <c:spPr>
          <a:solidFill>
            <a:schemeClr val="accent1"/>
          </a:solidFill>
          <a:ln w="28575" cap="rnd">
            <a:solidFill>
              <a:schemeClr val="accent1"/>
            </a:solidFill>
            <a:round/>
          </a:ln>
          <a:effectLst/>
        </c:spPr>
        <c:marker>
          <c:symbol val="none"/>
        </c:marker>
      </c:pivotFmt>
      <c:pivotFmt>
        <c:idx val="37"/>
        <c:spPr>
          <a:solidFill>
            <a:schemeClr val="accent1"/>
          </a:solidFill>
          <a:ln w="28575" cap="rnd">
            <a:solidFill>
              <a:schemeClr val="accent1"/>
            </a:solidFill>
            <a:round/>
          </a:ln>
          <a:effectLst/>
        </c:spPr>
        <c:marker>
          <c:symbol val="none"/>
        </c:marker>
      </c:pivotFmt>
      <c:pivotFmt>
        <c:idx val="38"/>
        <c:spPr>
          <a:solidFill>
            <a:schemeClr val="accent1"/>
          </a:solidFill>
          <a:ln w="28575" cap="rnd">
            <a:solidFill>
              <a:schemeClr val="accent1"/>
            </a:solidFill>
            <a:round/>
          </a:ln>
          <a:effectLst/>
        </c:spPr>
        <c:marker>
          <c:symbol val="none"/>
        </c:marker>
      </c:pivotFmt>
      <c:pivotFmt>
        <c:idx val="39"/>
        <c:spPr>
          <a:solidFill>
            <a:schemeClr val="accent1"/>
          </a:solidFill>
          <a:ln w="28575" cap="rnd">
            <a:solidFill>
              <a:schemeClr val="accent1"/>
            </a:solidFill>
            <a:round/>
          </a:ln>
          <a:effectLst/>
        </c:spPr>
        <c:marker>
          <c:symbol val="none"/>
        </c:marker>
      </c:pivotFmt>
      <c:pivotFmt>
        <c:idx val="40"/>
        <c:spPr>
          <a:solidFill>
            <a:schemeClr val="accent1"/>
          </a:solidFill>
          <a:ln w="28575" cap="rnd">
            <a:solidFill>
              <a:schemeClr val="accent1"/>
            </a:solidFill>
            <a:round/>
          </a:ln>
          <a:effectLst/>
        </c:spPr>
        <c:marker>
          <c:symbol val="none"/>
        </c:marker>
      </c:pivotFmt>
      <c:pivotFmt>
        <c:idx val="41"/>
        <c:spPr>
          <a:solidFill>
            <a:schemeClr val="accent1"/>
          </a:solidFill>
          <a:ln w="28575" cap="rnd">
            <a:solidFill>
              <a:schemeClr val="accent1"/>
            </a:solidFill>
            <a:round/>
          </a:ln>
          <a:effectLst/>
        </c:spPr>
        <c:marker>
          <c:symbol val="none"/>
        </c:marker>
      </c:pivotFmt>
      <c:pivotFmt>
        <c:idx val="42"/>
        <c:spPr>
          <a:solidFill>
            <a:schemeClr val="accent1"/>
          </a:solidFill>
          <a:ln w="28575" cap="rnd">
            <a:solidFill>
              <a:schemeClr val="accent1"/>
            </a:solidFill>
            <a:round/>
          </a:ln>
          <a:effectLst/>
        </c:spPr>
        <c:marker>
          <c:symbol val="none"/>
        </c:marker>
      </c:pivotFmt>
      <c:pivotFmt>
        <c:idx val="43"/>
        <c:spPr>
          <a:solidFill>
            <a:schemeClr val="accent1"/>
          </a:solidFill>
          <a:ln w="28575" cap="rnd">
            <a:solidFill>
              <a:schemeClr val="accent1"/>
            </a:solidFill>
            <a:round/>
          </a:ln>
          <a:effectLst/>
        </c:spPr>
        <c:marker>
          <c:symbol val="none"/>
        </c:marker>
      </c:pivotFmt>
      <c:pivotFmt>
        <c:idx val="44"/>
        <c:spPr>
          <a:solidFill>
            <a:schemeClr val="accent1"/>
          </a:solidFill>
          <a:ln w="28575" cap="rnd">
            <a:solidFill>
              <a:schemeClr val="accent1"/>
            </a:solidFill>
            <a:round/>
          </a:ln>
          <a:effectLst/>
        </c:spPr>
        <c:marker>
          <c:symbol val="none"/>
        </c:marker>
      </c:pivotFmt>
      <c:pivotFmt>
        <c:idx val="45"/>
        <c:spPr>
          <a:solidFill>
            <a:schemeClr val="accent1"/>
          </a:solidFill>
          <a:ln w="28575" cap="rnd">
            <a:solidFill>
              <a:schemeClr val="accent1"/>
            </a:solidFill>
            <a:round/>
          </a:ln>
          <a:effectLst/>
        </c:spPr>
        <c:marker>
          <c:symbol val="none"/>
        </c:marker>
      </c:pivotFmt>
      <c:pivotFmt>
        <c:idx val="46"/>
        <c:spPr>
          <a:solidFill>
            <a:schemeClr val="accent1"/>
          </a:solidFill>
          <a:ln w="28575" cap="rnd">
            <a:solidFill>
              <a:schemeClr val="accent1"/>
            </a:solidFill>
            <a:round/>
          </a:ln>
          <a:effectLst/>
        </c:spPr>
        <c:marker>
          <c:symbol val="none"/>
        </c:marker>
      </c:pivotFmt>
      <c:pivotFmt>
        <c:idx val="47"/>
        <c:spPr>
          <a:solidFill>
            <a:schemeClr val="accent1"/>
          </a:solidFill>
          <a:ln w="28575" cap="rnd">
            <a:solidFill>
              <a:schemeClr val="accent1"/>
            </a:solidFill>
            <a:round/>
          </a:ln>
          <a:effectLst/>
        </c:spPr>
        <c:marker>
          <c:symbol val="none"/>
        </c:marker>
      </c:pivotFmt>
      <c:pivotFmt>
        <c:idx val="48"/>
        <c:spPr>
          <a:solidFill>
            <a:schemeClr val="accent1"/>
          </a:solidFill>
          <a:ln w="28575" cap="rnd">
            <a:solidFill>
              <a:schemeClr val="accent1"/>
            </a:solidFill>
            <a:round/>
          </a:ln>
          <a:effectLst/>
        </c:spPr>
        <c:marker>
          <c:symbol val="none"/>
        </c:marker>
      </c:pivotFmt>
      <c:pivotFmt>
        <c:idx val="49"/>
        <c:spPr>
          <a:solidFill>
            <a:schemeClr val="accent1"/>
          </a:solidFill>
          <a:ln w="28575" cap="rnd">
            <a:solidFill>
              <a:schemeClr val="accent1"/>
            </a:solidFill>
            <a:round/>
          </a:ln>
          <a:effectLst/>
        </c:spPr>
        <c:marker>
          <c:symbol val="none"/>
        </c:marker>
      </c:pivotFmt>
      <c:pivotFmt>
        <c:idx val="50"/>
        <c:spPr>
          <a:solidFill>
            <a:schemeClr val="accent1"/>
          </a:solidFill>
          <a:ln w="28575" cap="rnd">
            <a:solidFill>
              <a:schemeClr val="accent1"/>
            </a:solidFill>
            <a:round/>
          </a:ln>
          <a:effectLst/>
        </c:spPr>
        <c:marker>
          <c:symbol val="none"/>
        </c:marker>
      </c:pivotFmt>
      <c:pivotFmt>
        <c:idx val="51"/>
        <c:spPr>
          <a:solidFill>
            <a:schemeClr val="accent1"/>
          </a:solidFill>
          <a:ln w="28575" cap="rnd">
            <a:solidFill>
              <a:schemeClr val="accent1"/>
            </a:solidFill>
            <a:round/>
          </a:ln>
          <a:effectLst/>
        </c:spPr>
        <c:marker>
          <c:symbol val="none"/>
        </c:marker>
      </c:pivotFmt>
      <c:pivotFmt>
        <c:idx val="52"/>
        <c:spPr>
          <a:solidFill>
            <a:schemeClr val="accent1"/>
          </a:solidFill>
          <a:ln w="28575" cap="rnd">
            <a:solidFill>
              <a:schemeClr val="accent1"/>
            </a:solidFill>
            <a:round/>
          </a:ln>
          <a:effectLst/>
        </c:spPr>
        <c:marker>
          <c:symbol val="none"/>
        </c:marker>
      </c:pivotFmt>
      <c:pivotFmt>
        <c:idx val="53"/>
        <c:spPr>
          <a:solidFill>
            <a:schemeClr val="accent1"/>
          </a:solidFill>
          <a:ln w="28575" cap="rnd">
            <a:solidFill>
              <a:schemeClr val="accent1"/>
            </a:solidFill>
            <a:round/>
          </a:ln>
          <a:effectLst/>
        </c:spPr>
        <c:marker>
          <c:symbol val="none"/>
        </c:marker>
      </c:pivotFmt>
      <c:pivotFmt>
        <c:idx val="54"/>
        <c:spPr>
          <a:solidFill>
            <a:schemeClr val="accent1"/>
          </a:solidFill>
          <a:ln w="28575" cap="rnd">
            <a:solidFill>
              <a:schemeClr val="accent1"/>
            </a:solidFill>
            <a:round/>
          </a:ln>
          <a:effectLst/>
        </c:spPr>
        <c:marker>
          <c:symbol val="none"/>
        </c:marker>
      </c:pivotFmt>
      <c:pivotFmt>
        <c:idx val="55"/>
        <c:spPr>
          <a:solidFill>
            <a:schemeClr val="accent1"/>
          </a:solidFill>
          <a:ln w="28575" cap="rnd">
            <a:solidFill>
              <a:schemeClr val="accent1"/>
            </a:solidFill>
            <a:round/>
          </a:ln>
          <a:effectLst/>
        </c:spPr>
        <c:marker>
          <c:symbol val="none"/>
        </c:marker>
      </c:pivotFmt>
      <c:pivotFmt>
        <c:idx val="56"/>
        <c:spPr>
          <a:solidFill>
            <a:schemeClr val="accent1"/>
          </a:solidFill>
          <a:ln w="28575" cap="rnd">
            <a:solidFill>
              <a:schemeClr val="accent1"/>
            </a:solidFill>
            <a:round/>
          </a:ln>
          <a:effectLst/>
        </c:spPr>
        <c:marker>
          <c:symbol val="none"/>
        </c:marker>
      </c:pivotFmt>
      <c:pivotFmt>
        <c:idx val="57"/>
        <c:spPr>
          <a:solidFill>
            <a:schemeClr val="accent1"/>
          </a:solidFill>
          <a:ln w="28575" cap="rnd">
            <a:solidFill>
              <a:schemeClr val="accent1"/>
            </a:solidFill>
            <a:round/>
          </a:ln>
          <a:effectLst/>
        </c:spPr>
        <c:marker>
          <c:symbol val="none"/>
        </c:marker>
      </c:pivotFmt>
      <c:pivotFmt>
        <c:idx val="58"/>
        <c:spPr>
          <a:solidFill>
            <a:schemeClr val="accent1"/>
          </a:solidFill>
          <a:ln w="28575" cap="rnd">
            <a:solidFill>
              <a:schemeClr val="accent1"/>
            </a:solidFill>
            <a:round/>
          </a:ln>
          <a:effectLst/>
        </c:spPr>
        <c:marker>
          <c:symbol val="none"/>
        </c:marker>
      </c:pivotFmt>
      <c:pivotFmt>
        <c:idx val="59"/>
        <c:spPr>
          <a:solidFill>
            <a:schemeClr val="accent1"/>
          </a:solidFill>
          <a:ln w="28575" cap="rnd">
            <a:solidFill>
              <a:schemeClr val="accent1"/>
            </a:solidFill>
            <a:round/>
          </a:ln>
          <a:effectLst/>
        </c:spPr>
        <c:marker>
          <c:symbol val="none"/>
        </c:marker>
      </c:pivotFmt>
      <c:pivotFmt>
        <c:idx val="60"/>
        <c:spPr>
          <a:solidFill>
            <a:schemeClr val="accent1"/>
          </a:solidFill>
          <a:ln w="28575" cap="rnd">
            <a:solidFill>
              <a:schemeClr val="accent1"/>
            </a:solidFill>
            <a:round/>
          </a:ln>
          <a:effectLst/>
        </c:spPr>
        <c:marker>
          <c:symbol val="none"/>
        </c:marker>
      </c:pivotFmt>
      <c:pivotFmt>
        <c:idx val="61"/>
        <c:spPr>
          <a:solidFill>
            <a:schemeClr val="accent1"/>
          </a:solidFill>
          <a:ln w="28575" cap="rnd">
            <a:solidFill>
              <a:schemeClr val="accent1"/>
            </a:solidFill>
            <a:round/>
          </a:ln>
          <a:effectLst/>
        </c:spPr>
        <c:marker>
          <c:symbol val="none"/>
        </c:marker>
      </c:pivotFmt>
      <c:pivotFmt>
        <c:idx val="62"/>
        <c:spPr>
          <a:solidFill>
            <a:schemeClr val="accent1"/>
          </a:solidFill>
          <a:ln w="28575" cap="rnd">
            <a:solidFill>
              <a:schemeClr val="accent1"/>
            </a:solidFill>
            <a:round/>
          </a:ln>
          <a:effectLst/>
        </c:spPr>
        <c:marker>
          <c:symbol val="none"/>
        </c:marker>
      </c:pivotFmt>
      <c:pivotFmt>
        <c:idx val="63"/>
        <c:spPr>
          <a:solidFill>
            <a:schemeClr val="accent1"/>
          </a:solidFill>
          <a:ln w="28575" cap="rnd">
            <a:solidFill>
              <a:schemeClr val="accent1"/>
            </a:solidFill>
            <a:round/>
          </a:ln>
          <a:effectLst/>
        </c:spPr>
        <c:marker>
          <c:symbol val="none"/>
        </c:marker>
      </c:pivotFmt>
      <c:pivotFmt>
        <c:idx val="64"/>
        <c:spPr>
          <a:solidFill>
            <a:schemeClr val="accent1"/>
          </a:solidFill>
          <a:ln w="28575" cap="rnd">
            <a:solidFill>
              <a:schemeClr val="accent1"/>
            </a:solidFill>
            <a:round/>
          </a:ln>
          <a:effectLst/>
        </c:spPr>
        <c:marker>
          <c:symbol val="none"/>
        </c:marker>
      </c:pivotFmt>
      <c:pivotFmt>
        <c:idx val="65"/>
        <c:spPr>
          <a:solidFill>
            <a:schemeClr val="accent1"/>
          </a:solidFill>
          <a:ln w="28575" cap="rnd">
            <a:solidFill>
              <a:schemeClr val="accent1"/>
            </a:solidFill>
            <a:round/>
          </a:ln>
          <a:effectLst/>
        </c:spPr>
        <c:marker>
          <c:symbol val="none"/>
        </c:marker>
      </c:pivotFmt>
      <c:pivotFmt>
        <c:idx val="66"/>
        <c:spPr>
          <a:solidFill>
            <a:schemeClr val="accent1"/>
          </a:solidFill>
          <a:ln w="28575" cap="rnd">
            <a:solidFill>
              <a:schemeClr val="accent1"/>
            </a:solidFill>
            <a:round/>
          </a:ln>
          <a:effectLst/>
        </c:spPr>
        <c:marker>
          <c:symbol val="none"/>
        </c:marker>
      </c:pivotFmt>
      <c:pivotFmt>
        <c:idx val="67"/>
        <c:spPr>
          <a:solidFill>
            <a:schemeClr val="accent1"/>
          </a:solidFill>
          <a:ln w="28575" cap="rnd">
            <a:solidFill>
              <a:schemeClr val="accent1"/>
            </a:solidFill>
            <a:round/>
          </a:ln>
          <a:effectLst/>
        </c:spPr>
        <c:marker>
          <c:symbol val="none"/>
        </c:marker>
      </c:pivotFmt>
      <c:pivotFmt>
        <c:idx val="68"/>
        <c:spPr>
          <a:solidFill>
            <a:schemeClr val="accent1"/>
          </a:solidFill>
          <a:ln w="28575" cap="rnd">
            <a:solidFill>
              <a:schemeClr val="accent1"/>
            </a:solidFill>
            <a:round/>
          </a:ln>
          <a:effectLst/>
        </c:spPr>
        <c:marker>
          <c:symbol val="none"/>
        </c:marker>
      </c:pivotFmt>
      <c:pivotFmt>
        <c:idx val="69"/>
        <c:spPr>
          <a:solidFill>
            <a:schemeClr val="accent1"/>
          </a:solidFill>
          <a:ln w="28575" cap="rnd">
            <a:solidFill>
              <a:schemeClr val="accent1"/>
            </a:solidFill>
            <a:round/>
          </a:ln>
          <a:effectLst/>
        </c:spPr>
        <c:marker>
          <c:symbol val="none"/>
        </c:marker>
      </c:pivotFmt>
      <c:pivotFmt>
        <c:idx val="70"/>
        <c:spPr>
          <a:solidFill>
            <a:schemeClr val="accent1"/>
          </a:solidFill>
          <a:ln w="28575" cap="rnd">
            <a:solidFill>
              <a:schemeClr val="accent1"/>
            </a:solidFill>
            <a:round/>
          </a:ln>
          <a:effectLst/>
        </c:spPr>
        <c:marker>
          <c:symbol val="none"/>
        </c:marker>
      </c:pivotFmt>
      <c:pivotFmt>
        <c:idx val="71"/>
        <c:spPr>
          <a:solidFill>
            <a:schemeClr val="accent1"/>
          </a:solidFill>
          <a:ln w="28575" cap="rnd">
            <a:solidFill>
              <a:schemeClr val="accent1"/>
            </a:solidFill>
            <a:round/>
          </a:ln>
          <a:effectLst/>
        </c:spPr>
        <c:marker>
          <c:symbol val="none"/>
        </c:marker>
      </c:pivotFmt>
      <c:pivotFmt>
        <c:idx val="72"/>
        <c:spPr>
          <a:solidFill>
            <a:schemeClr val="accent1"/>
          </a:solidFill>
          <a:ln w="28575" cap="rnd">
            <a:solidFill>
              <a:schemeClr val="accent1"/>
            </a:solidFill>
            <a:round/>
          </a:ln>
          <a:effectLst/>
        </c:spPr>
        <c:marker>
          <c:symbol val="none"/>
        </c:marker>
      </c:pivotFmt>
      <c:pivotFmt>
        <c:idx val="73"/>
        <c:spPr>
          <a:solidFill>
            <a:schemeClr val="accent1"/>
          </a:solidFill>
          <a:ln w="28575" cap="rnd">
            <a:solidFill>
              <a:schemeClr val="accent1"/>
            </a:solidFill>
            <a:round/>
          </a:ln>
          <a:effectLst/>
        </c:spPr>
        <c:marker>
          <c:symbol val="none"/>
        </c:marker>
      </c:pivotFmt>
      <c:pivotFmt>
        <c:idx val="74"/>
        <c:spPr>
          <a:solidFill>
            <a:schemeClr val="accent1"/>
          </a:solidFill>
          <a:ln w="28575" cap="rnd">
            <a:solidFill>
              <a:schemeClr val="accent1"/>
            </a:solidFill>
            <a:round/>
          </a:ln>
          <a:effectLst/>
        </c:spPr>
        <c:marker>
          <c:symbol val="none"/>
        </c:marker>
      </c:pivotFmt>
      <c:pivotFmt>
        <c:idx val="75"/>
        <c:spPr>
          <a:solidFill>
            <a:schemeClr val="accent1"/>
          </a:solidFill>
          <a:ln w="28575" cap="rnd">
            <a:solidFill>
              <a:schemeClr val="accent1"/>
            </a:solidFill>
            <a:round/>
          </a:ln>
          <a:effectLst/>
        </c:spPr>
        <c:marker>
          <c:symbol val="none"/>
        </c:marker>
      </c:pivotFmt>
      <c:pivotFmt>
        <c:idx val="76"/>
        <c:spPr>
          <a:solidFill>
            <a:schemeClr val="accent1"/>
          </a:solidFill>
          <a:ln w="28575" cap="rnd">
            <a:solidFill>
              <a:schemeClr val="accent1"/>
            </a:solidFill>
            <a:round/>
          </a:ln>
          <a:effectLst/>
        </c:spPr>
        <c:marker>
          <c:symbol val="none"/>
        </c:marker>
      </c:pivotFmt>
      <c:pivotFmt>
        <c:idx val="77"/>
        <c:spPr>
          <a:solidFill>
            <a:schemeClr val="accent1"/>
          </a:solidFill>
          <a:ln w="28575" cap="rnd">
            <a:solidFill>
              <a:schemeClr val="accent1"/>
            </a:solidFill>
            <a:round/>
          </a:ln>
          <a:effectLst/>
        </c:spPr>
        <c:marker>
          <c:symbol val="none"/>
        </c:marker>
      </c:pivotFmt>
      <c:pivotFmt>
        <c:idx val="78"/>
        <c:spPr>
          <a:solidFill>
            <a:schemeClr val="accent1"/>
          </a:solidFill>
          <a:ln w="28575" cap="rnd">
            <a:solidFill>
              <a:schemeClr val="accent1"/>
            </a:solidFill>
            <a:round/>
          </a:ln>
          <a:effectLst/>
        </c:spPr>
        <c:marker>
          <c:symbol val="none"/>
        </c:marker>
      </c:pivotFmt>
      <c:pivotFmt>
        <c:idx val="79"/>
        <c:spPr>
          <a:solidFill>
            <a:schemeClr val="accent1"/>
          </a:solidFill>
          <a:ln w="28575" cap="rnd">
            <a:solidFill>
              <a:schemeClr val="accent1"/>
            </a:solidFill>
            <a:round/>
          </a:ln>
          <a:effectLst/>
        </c:spPr>
        <c:marker>
          <c:symbol val="none"/>
        </c:marker>
      </c:pivotFmt>
      <c:pivotFmt>
        <c:idx val="80"/>
        <c:spPr>
          <a:solidFill>
            <a:schemeClr val="accent1"/>
          </a:solidFill>
          <a:ln w="28575" cap="rnd">
            <a:solidFill>
              <a:schemeClr val="accent1"/>
            </a:solidFill>
            <a:round/>
          </a:ln>
          <a:effectLst/>
        </c:spPr>
        <c:marker>
          <c:symbol val="none"/>
        </c:marker>
      </c:pivotFmt>
      <c:pivotFmt>
        <c:idx val="81"/>
        <c:spPr>
          <a:solidFill>
            <a:schemeClr val="accent1"/>
          </a:solidFill>
          <a:ln w="28575" cap="rnd">
            <a:solidFill>
              <a:schemeClr val="accent1"/>
            </a:solidFill>
            <a:round/>
          </a:ln>
          <a:effectLst/>
        </c:spPr>
        <c:marker>
          <c:symbol val="none"/>
        </c:marker>
      </c:pivotFmt>
      <c:pivotFmt>
        <c:idx val="82"/>
        <c:spPr>
          <a:ln w="28575" cap="rnd">
            <a:solidFill>
              <a:schemeClr val="accent1"/>
            </a:solidFill>
            <a:round/>
          </a:ln>
          <a:effectLst/>
        </c:spPr>
        <c:marker>
          <c:symbol val="none"/>
        </c:marker>
      </c:pivotFmt>
      <c:pivotFmt>
        <c:idx val="83"/>
        <c:spPr>
          <a:ln w="28575" cap="rnd">
            <a:solidFill>
              <a:schemeClr val="tx1">
                <a:lumMod val="95000"/>
                <a:lumOff val="5000"/>
              </a:schemeClr>
            </a:solidFill>
            <a:round/>
          </a:ln>
          <a:effectLst/>
        </c:spPr>
        <c:marker>
          <c:symbol val="none"/>
        </c:marker>
      </c:pivotFmt>
      <c:pivotFmt>
        <c:idx val="84"/>
        <c:spPr>
          <a:ln w="28575" cap="rnd">
            <a:solidFill>
              <a:schemeClr val="accent1"/>
            </a:solidFill>
            <a:round/>
          </a:ln>
          <a:effectLst/>
        </c:spPr>
        <c:marker>
          <c:symbol val="none"/>
        </c:marker>
      </c:pivotFmt>
      <c:pivotFmt>
        <c:idx val="85"/>
        <c:spPr>
          <a:ln w="28575" cap="rnd">
            <a:solidFill>
              <a:schemeClr val="accent1"/>
            </a:solidFill>
            <a:round/>
          </a:ln>
          <a:effectLst/>
        </c:spPr>
        <c:marker>
          <c:symbol val="none"/>
        </c:marker>
      </c:pivotFmt>
      <c:pivotFmt>
        <c:idx val="86"/>
        <c:spPr>
          <a:ln w="28575" cap="rnd">
            <a:solidFill>
              <a:schemeClr val="accent2">
                <a:lumMod val="75000"/>
              </a:schemeClr>
            </a:solidFill>
            <a:round/>
          </a:ln>
          <a:effectLst/>
        </c:spPr>
        <c:marker>
          <c:symbol val="none"/>
        </c:marker>
      </c:pivotFmt>
      <c:pivotFmt>
        <c:idx val="87"/>
        <c:spPr>
          <a:ln w="28575" cap="rnd">
            <a:solidFill>
              <a:schemeClr val="accent1"/>
            </a:solidFill>
            <a:round/>
          </a:ln>
          <a:effectLst/>
        </c:spPr>
        <c:marker>
          <c:symbol val="none"/>
        </c:marker>
      </c:pivotFmt>
      <c:pivotFmt>
        <c:idx val="88"/>
        <c:spPr>
          <a:ln w="28575" cap="rnd">
            <a:solidFill>
              <a:schemeClr val="accent1"/>
            </a:solidFill>
            <a:round/>
          </a:ln>
          <a:effectLst/>
        </c:spPr>
        <c:marker>
          <c:symbol val="none"/>
        </c:marker>
      </c:pivotFmt>
    </c:pivotFmts>
    <c:plotArea>
      <c:layout/>
      <c:lineChart>
        <c:grouping val="standard"/>
        <c:varyColors val="0"/>
        <c:ser>
          <c:idx val="0"/>
          <c:order val="0"/>
          <c:tx>
            <c:strRef>
              <c:f>'pivot tables area'!$R$201:$R$202</c:f>
              <c:strCache>
                <c:ptCount val="1"/>
                <c:pt idx="0">
                  <c:v>Canada</c:v>
                </c:pt>
              </c:strCache>
            </c:strRef>
          </c:tx>
          <c:spPr>
            <a:ln w="28575" cap="rnd">
              <a:solidFill>
                <a:schemeClr val="accent1"/>
              </a:solidFill>
              <a:round/>
            </a:ln>
            <a:effectLst/>
          </c:spPr>
          <c:marker>
            <c:symbol val="none"/>
          </c:marker>
          <c:cat>
            <c:multiLvlStrRef>
              <c:f>'pivot tables area'!$Q$203:$Q$229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'pivot tables area'!$R$203:$R$229</c:f>
              <c:numCache>
                <c:formatCode>General</c:formatCode>
                <c:ptCount val="24"/>
                <c:pt idx="0">
                  <c:v>17664.509999999998</c:v>
                </c:pt>
                <c:pt idx="1">
                  <c:v>19672.16</c:v>
                </c:pt>
                <c:pt idx="2">
                  <c:v>546.72</c:v>
                </c:pt>
                <c:pt idx="3">
                  <c:v>7862.33</c:v>
                </c:pt>
                <c:pt idx="4">
                  <c:v>2918.62</c:v>
                </c:pt>
                <c:pt idx="5">
                  <c:v>909.02</c:v>
                </c:pt>
                <c:pt idx="6">
                  <c:v>6761.12</c:v>
                </c:pt>
                <c:pt idx="7">
                  <c:v>4669.41</c:v>
                </c:pt>
                <c:pt idx="8">
                  <c:v>9763.25</c:v>
                </c:pt>
                <c:pt idx="9">
                  <c:v>4172</c:v>
                </c:pt>
                <c:pt idx="10">
                  <c:v>2492.2400000000002</c:v>
                </c:pt>
                <c:pt idx="11">
                  <c:v>11411.65</c:v>
                </c:pt>
                <c:pt idx="12">
                  <c:v>6891.4100000000008</c:v>
                </c:pt>
                <c:pt idx="13">
                  <c:v>9556.369999999999</c:v>
                </c:pt>
                <c:pt idx="14">
                  <c:v>1486.28</c:v>
                </c:pt>
                <c:pt idx="15">
                  <c:v>6157.2800000000007</c:v>
                </c:pt>
                <c:pt idx="16">
                  <c:v>10473.369999999999</c:v>
                </c:pt>
                <c:pt idx="17">
                  <c:v>6425.01</c:v>
                </c:pt>
                <c:pt idx="18">
                  <c:v>9675.2999999999993</c:v>
                </c:pt>
                <c:pt idx="19">
                  <c:v>10933.140000000001</c:v>
                </c:pt>
                <c:pt idx="20">
                  <c:v>14914.36</c:v>
                </c:pt>
                <c:pt idx="21">
                  <c:v>9745.2199999999993</c:v>
                </c:pt>
                <c:pt idx="22">
                  <c:v>14513.85</c:v>
                </c:pt>
                <c:pt idx="23">
                  <c:v>3788.24</c:v>
                </c:pt>
              </c:numCache>
            </c:numRef>
          </c:val>
          <c:smooth val="0"/>
          <c:extLst>
            <c:ext xmlns:c16="http://schemas.microsoft.com/office/drawing/2014/chart" uri="{C3380CC4-5D6E-409C-BE32-E72D297353CC}">
              <c16:uniqueId val="{00000000-512E-4E67-BFF9-045DF5079520}"/>
            </c:ext>
          </c:extLst>
        </c:ser>
        <c:ser>
          <c:idx val="1"/>
          <c:order val="1"/>
          <c:tx>
            <c:strRef>
              <c:f>'pivot tables area'!$S$201:$S$202</c:f>
              <c:strCache>
                <c:ptCount val="1"/>
                <c:pt idx="0">
                  <c:v>France</c:v>
                </c:pt>
              </c:strCache>
            </c:strRef>
          </c:tx>
          <c:spPr>
            <a:ln w="28575" cap="rnd">
              <a:solidFill>
                <a:schemeClr val="tx1">
                  <a:lumMod val="95000"/>
                  <a:lumOff val="5000"/>
                </a:schemeClr>
              </a:solidFill>
              <a:round/>
            </a:ln>
            <a:effectLst/>
          </c:spPr>
          <c:marker>
            <c:symbol val="none"/>
          </c:marker>
          <c:cat>
            <c:multiLvlStrRef>
              <c:f>'pivot tables area'!$Q$203:$Q$229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'pivot tables area'!$S$203:$S$229</c:f>
              <c:numCache>
                <c:formatCode>General</c:formatCode>
                <c:ptCount val="24"/>
                <c:pt idx="0">
                  <c:v>5446.78</c:v>
                </c:pt>
                <c:pt idx="1">
                  <c:v>13369.720000000001</c:v>
                </c:pt>
                <c:pt idx="2">
                  <c:v>9560.23</c:v>
                </c:pt>
                <c:pt idx="3">
                  <c:v>13262.359999999999</c:v>
                </c:pt>
                <c:pt idx="4">
                  <c:v>9145.89</c:v>
                </c:pt>
                <c:pt idx="5">
                  <c:v>11779.81</c:v>
                </c:pt>
                <c:pt idx="6">
                  <c:v>14050.029999999999</c:v>
                </c:pt>
                <c:pt idx="7">
                  <c:v>16019.579999999998</c:v>
                </c:pt>
                <c:pt idx="8">
                  <c:v>7779.7300000000005</c:v>
                </c:pt>
                <c:pt idx="9">
                  <c:v>5463.2899999999991</c:v>
                </c:pt>
                <c:pt idx="10">
                  <c:v>5080.0599999999995</c:v>
                </c:pt>
                <c:pt idx="11">
                  <c:v>18834.73</c:v>
                </c:pt>
                <c:pt idx="12">
                  <c:v>4042.88</c:v>
                </c:pt>
                <c:pt idx="13">
                  <c:v>3785.0200000000004</c:v>
                </c:pt>
                <c:pt idx="14">
                  <c:v>5486.0199999999995</c:v>
                </c:pt>
                <c:pt idx="15">
                  <c:v>9175.2899999999991</c:v>
                </c:pt>
                <c:pt idx="16">
                  <c:v>7079.2400000000007</c:v>
                </c:pt>
                <c:pt idx="17">
                  <c:v>13014.91</c:v>
                </c:pt>
                <c:pt idx="18">
                  <c:v>13445.039999999999</c:v>
                </c:pt>
                <c:pt idx="19">
                  <c:v>10421.69</c:v>
                </c:pt>
                <c:pt idx="20">
                  <c:v>1051.1600000000001</c:v>
                </c:pt>
                <c:pt idx="21">
                  <c:v>11148.28</c:v>
                </c:pt>
                <c:pt idx="22">
                  <c:v>9538.8000000000011</c:v>
                </c:pt>
                <c:pt idx="23">
                  <c:v>8341.94</c:v>
                </c:pt>
              </c:numCache>
            </c:numRef>
          </c:val>
          <c:smooth val="0"/>
          <c:extLst>
            <c:ext xmlns:c16="http://schemas.microsoft.com/office/drawing/2014/chart" uri="{C3380CC4-5D6E-409C-BE32-E72D297353CC}">
              <c16:uniqueId val="{00000000-5813-4003-A12B-5E8E0BF3AB94}"/>
            </c:ext>
          </c:extLst>
        </c:ser>
        <c:ser>
          <c:idx val="2"/>
          <c:order val="2"/>
          <c:tx>
            <c:strRef>
              <c:f>'pivot tables area'!$T$201:$T$202</c:f>
              <c:strCache>
                <c:ptCount val="1"/>
                <c:pt idx="0">
                  <c:v>Germany</c:v>
                </c:pt>
              </c:strCache>
            </c:strRef>
          </c:tx>
          <c:spPr>
            <a:ln w="28575" cap="rnd">
              <a:solidFill>
                <a:schemeClr val="accent3"/>
              </a:solidFill>
              <a:round/>
            </a:ln>
            <a:effectLst/>
          </c:spPr>
          <c:marker>
            <c:symbol val="none"/>
          </c:marker>
          <c:cat>
            <c:multiLvlStrRef>
              <c:f>'pivot tables area'!$Q$203:$Q$229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'pivot tables area'!$T$203:$T$229</c:f>
              <c:numCache>
                <c:formatCode>General</c:formatCode>
                <c:ptCount val="24"/>
                <c:pt idx="0">
                  <c:v>8991.17</c:v>
                </c:pt>
                <c:pt idx="1">
                  <c:v>12463.64</c:v>
                </c:pt>
                <c:pt idx="2">
                  <c:v>10280.59</c:v>
                </c:pt>
                <c:pt idx="3">
                  <c:v>10306.700000000001</c:v>
                </c:pt>
                <c:pt idx="4">
                  <c:v>12127.889999999998</c:v>
                </c:pt>
                <c:pt idx="5">
                  <c:v>4273.08</c:v>
                </c:pt>
                <c:pt idx="6">
                  <c:v>2758.97</c:v>
                </c:pt>
                <c:pt idx="7">
                  <c:v>8289.33</c:v>
                </c:pt>
                <c:pt idx="8">
                  <c:v>12094.53</c:v>
                </c:pt>
                <c:pt idx="9">
                  <c:v>5719.43</c:v>
                </c:pt>
                <c:pt idx="10">
                  <c:v>11567.099999999999</c:v>
                </c:pt>
                <c:pt idx="11">
                  <c:v>17046.739999999998</c:v>
                </c:pt>
                <c:pt idx="12">
                  <c:v>7847.18</c:v>
                </c:pt>
                <c:pt idx="13">
                  <c:v>16318.65</c:v>
                </c:pt>
                <c:pt idx="14">
                  <c:v>5337.01</c:v>
                </c:pt>
                <c:pt idx="15">
                  <c:v>4595.1899999999996</c:v>
                </c:pt>
                <c:pt idx="16">
                  <c:v>9412.6899999999987</c:v>
                </c:pt>
                <c:pt idx="17">
                  <c:v>8495.32</c:v>
                </c:pt>
                <c:pt idx="18">
                  <c:v>2441.38</c:v>
                </c:pt>
                <c:pt idx="19">
                  <c:v>5053.24</c:v>
                </c:pt>
                <c:pt idx="20">
                  <c:v>8615.26</c:v>
                </c:pt>
                <c:pt idx="21">
                  <c:v>3976.59</c:v>
                </c:pt>
                <c:pt idx="22">
                  <c:v>4644.49</c:v>
                </c:pt>
                <c:pt idx="23">
                  <c:v>12848.61</c:v>
                </c:pt>
              </c:numCache>
            </c:numRef>
          </c:val>
          <c:smooth val="0"/>
          <c:extLst>
            <c:ext xmlns:c16="http://schemas.microsoft.com/office/drawing/2014/chart" uri="{C3380CC4-5D6E-409C-BE32-E72D297353CC}">
              <c16:uniqueId val="{00000001-5813-4003-A12B-5E8E0BF3AB94}"/>
            </c:ext>
          </c:extLst>
        </c:ser>
        <c:ser>
          <c:idx val="3"/>
          <c:order val="3"/>
          <c:tx>
            <c:strRef>
              <c:f>'pivot tables area'!$U$201:$U$202</c:f>
              <c:strCache>
                <c:ptCount val="1"/>
                <c:pt idx="0">
                  <c:v>India</c:v>
                </c:pt>
              </c:strCache>
            </c:strRef>
          </c:tx>
          <c:spPr>
            <a:ln w="28575" cap="rnd">
              <a:solidFill>
                <a:schemeClr val="accent4"/>
              </a:solidFill>
              <a:round/>
            </a:ln>
            <a:effectLst/>
          </c:spPr>
          <c:marker>
            <c:symbol val="none"/>
          </c:marker>
          <c:cat>
            <c:multiLvlStrRef>
              <c:f>'pivot tables area'!$Q$203:$Q$229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'pivot tables area'!$U$203:$U$229</c:f>
              <c:numCache>
                <c:formatCode>General</c:formatCode>
                <c:ptCount val="24"/>
                <c:pt idx="0">
                  <c:v>12315.46</c:v>
                </c:pt>
                <c:pt idx="1">
                  <c:v>510.47</c:v>
                </c:pt>
                <c:pt idx="2">
                  <c:v>7691.1500000000005</c:v>
                </c:pt>
                <c:pt idx="3">
                  <c:v>8598.99</c:v>
                </c:pt>
                <c:pt idx="4">
                  <c:v>9643.8900000000012</c:v>
                </c:pt>
                <c:pt idx="5">
                  <c:v>11985.72</c:v>
                </c:pt>
                <c:pt idx="6">
                  <c:v>7256.4599999999991</c:v>
                </c:pt>
                <c:pt idx="7">
                  <c:v>18645.03</c:v>
                </c:pt>
                <c:pt idx="8">
                  <c:v>9055.2100000000009</c:v>
                </c:pt>
                <c:pt idx="9">
                  <c:v>16309.52</c:v>
                </c:pt>
                <c:pt idx="10">
                  <c:v>2990.2</c:v>
                </c:pt>
                <c:pt idx="11">
                  <c:v>21389.58</c:v>
                </c:pt>
                <c:pt idx="12">
                  <c:v>10774.25</c:v>
                </c:pt>
                <c:pt idx="13">
                  <c:v>9118.4200000000019</c:v>
                </c:pt>
                <c:pt idx="14">
                  <c:v>6866.29</c:v>
                </c:pt>
                <c:pt idx="15">
                  <c:v>12551.87</c:v>
                </c:pt>
                <c:pt idx="16">
                  <c:v>9885.6899999999987</c:v>
                </c:pt>
                <c:pt idx="17">
                  <c:v>9254.52</c:v>
                </c:pt>
                <c:pt idx="18">
                  <c:v>5862.1399999999994</c:v>
                </c:pt>
                <c:pt idx="19">
                  <c:v>7628.3799999999992</c:v>
                </c:pt>
                <c:pt idx="20">
                  <c:v>3728.46</c:v>
                </c:pt>
                <c:pt idx="21">
                  <c:v>15808.189999999999</c:v>
                </c:pt>
                <c:pt idx="22">
                  <c:v>2571.0300000000002</c:v>
                </c:pt>
                <c:pt idx="23">
                  <c:v>14735.380000000001</c:v>
                </c:pt>
              </c:numCache>
            </c:numRef>
          </c:val>
          <c:smooth val="0"/>
          <c:extLst>
            <c:ext xmlns:c16="http://schemas.microsoft.com/office/drawing/2014/chart" uri="{C3380CC4-5D6E-409C-BE32-E72D297353CC}">
              <c16:uniqueId val="{00000002-5813-4003-A12B-5E8E0BF3AB94}"/>
            </c:ext>
          </c:extLst>
        </c:ser>
        <c:ser>
          <c:idx val="4"/>
          <c:order val="4"/>
          <c:tx>
            <c:strRef>
              <c:f>'pivot tables area'!$V$201:$V$202</c:f>
              <c:strCache>
                <c:ptCount val="1"/>
                <c:pt idx="0">
                  <c:v>UAE</c:v>
                </c:pt>
              </c:strCache>
            </c:strRef>
          </c:tx>
          <c:spPr>
            <a:ln w="28575" cap="rnd">
              <a:solidFill>
                <a:schemeClr val="accent2">
                  <a:lumMod val="75000"/>
                </a:schemeClr>
              </a:solidFill>
              <a:round/>
            </a:ln>
            <a:effectLst/>
          </c:spPr>
          <c:marker>
            <c:symbol val="none"/>
          </c:marker>
          <c:cat>
            <c:multiLvlStrRef>
              <c:f>'pivot tables area'!$Q$203:$Q$229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'pivot tables area'!$V$203:$V$229</c:f>
              <c:numCache>
                <c:formatCode>General</c:formatCode>
                <c:ptCount val="24"/>
                <c:pt idx="0">
                  <c:v>16043.12</c:v>
                </c:pt>
                <c:pt idx="1">
                  <c:v>5685.6799999999994</c:v>
                </c:pt>
                <c:pt idx="2">
                  <c:v>7302.2199999999993</c:v>
                </c:pt>
                <c:pt idx="3">
                  <c:v>7836.99</c:v>
                </c:pt>
                <c:pt idx="4">
                  <c:v>9473.619999999999</c:v>
                </c:pt>
                <c:pt idx="5">
                  <c:v>14259.95</c:v>
                </c:pt>
                <c:pt idx="6">
                  <c:v>5413.0999999999995</c:v>
                </c:pt>
                <c:pt idx="7">
                  <c:v>11777.750000000002</c:v>
                </c:pt>
                <c:pt idx="8">
                  <c:v>16030.04</c:v>
                </c:pt>
                <c:pt idx="9">
                  <c:v>18106.22</c:v>
                </c:pt>
                <c:pt idx="10">
                  <c:v>11246.74</c:v>
                </c:pt>
                <c:pt idx="11">
                  <c:v>2511.5</c:v>
                </c:pt>
                <c:pt idx="12">
                  <c:v>11246.77</c:v>
                </c:pt>
                <c:pt idx="13">
                  <c:v>3234.4900000000002</c:v>
                </c:pt>
                <c:pt idx="14">
                  <c:v>5143.63</c:v>
                </c:pt>
                <c:pt idx="15">
                  <c:v>9217.5499999999993</c:v>
                </c:pt>
                <c:pt idx="16">
                  <c:v>9377.9500000000007</c:v>
                </c:pt>
                <c:pt idx="17">
                  <c:v>6803.61</c:v>
                </c:pt>
                <c:pt idx="18">
                  <c:v>8146.92</c:v>
                </c:pt>
                <c:pt idx="19">
                  <c:v>16202.969999999998</c:v>
                </c:pt>
                <c:pt idx="20">
                  <c:v>8047.3</c:v>
                </c:pt>
                <c:pt idx="21">
                  <c:v>2371.7799999999997</c:v>
                </c:pt>
                <c:pt idx="22">
                  <c:v>9063</c:v>
                </c:pt>
                <c:pt idx="23">
                  <c:v>7275.9900000000007</c:v>
                </c:pt>
              </c:numCache>
            </c:numRef>
          </c:val>
          <c:smooth val="0"/>
          <c:extLst>
            <c:ext xmlns:c16="http://schemas.microsoft.com/office/drawing/2014/chart" uri="{C3380CC4-5D6E-409C-BE32-E72D297353CC}">
              <c16:uniqueId val="{00000003-5813-4003-A12B-5E8E0BF3AB94}"/>
            </c:ext>
          </c:extLst>
        </c:ser>
        <c:ser>
          <c:idx val="5"/>
          <c:order val="5"/>
          <c:tx>
            <c:strRef>
              <c:f>'pivot tables area'!$W$201:$W$202</c:f>
              <c:strCache>
                <c:ptCount val="1"/>
                <c:pt idx="0">
                  <c:v>UK</c:v>
                </c:pt>
              </c:strCache>
            </c:strRef>
          </c:tx>
          <c:spPr>
            <a:ln w="28575" cap="rnd">
              <a:solidFill>
                <a:schemeClr val="accent6"/>
              </a:solidFill>
              <a:round/>
            </a:ln>
            <a:effectLst/>
          </c:spPr>
          <c:marker>
            <c:symbol val="none"/>
          </c:marker>
          <c:cat>
            <c:multiLvlStrRef>
              <c:f>'pivot tables area'!$Q$203:$Q$229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'pivot tables area'!$W$203:$W$229</c:f>
              <c:numCache>
                <c:formatCode>General</c:formatCode>
                <c:ptCount val="24"/>
                <c:pt idx="0">
                  <c:v>6045.31</c:v>
                </c:pt>
                <c:pt idx="1">
                  <c:v>10359.68</c:v>
                </c:pt>
                <c:pt idx="2">
                  <c:v>12781.67</c:v>
                </c:pt>
                <c:pt idx="3">
                  <c:v>942.31</c:v>
                </c:pt>
                <c:pt idx="4">
                  <c:v>14076.449999999999</c:v>
                </c:pt>
                <c:pt idx="5">
                  <c:v>3438.5400000000004</c:v>
                </c:pt>
                <c:pt idx="6">
                  <c:v>7500.29</c:v>
                </c:pt>
                <c:pt idx="7">
                  <c:v>8348.43</c:v>
                </c:pt>
                <c:pt idx="8">
                  <c:v>22640.33</c:v>
                </c:pt>
                <c:pt idx="9">
                  <c:v>8490.9499999999989</c:v>
                </c:pt>
                <c:pt idx="10">
                  <c:v>11660.730000000001</c:v>
                </c:pt>
                <c:pt idx="11">
                  <c:v>12802.76</c:v>
                </c:pt>
                <c:pt idx="12">
                  <c:v>11725.619999999999</c:v>
                </c:pt>
                <c:pt idx="13">
                  <c:v>3322.55</c:v>
                </c:pt>
                <c:pt idx="14">
                  <c:v>10520.009999999998</c:v>
                </c:pt>
                <c:pt idx="15">
                  <c:v>2399.69</c:v>
                </c:pt>
                <c:pt idx="16">
                  <c:v>4869.42</c:v>
                </c:pt>
                <c:pt idx="17">
                  <c:v>11679.29</c:v>
                </c:pt>
                <c:pt idx="18">
                  <c:v>2759.83</c:v>
                </c:pt>
                <c:pt idx="19">
                  <c:v>9673.4</c:v>
                </c:pt>
                <c:pt idx="20">
                  <c:v>5415.32</c:v>
                </c:pt>
                <c:pt idx="21">
                  <c:v>13040.250000000002</c:v>
                </c:pt>
                <c:pt idx="22">
                  <c:v>8114.0499999999993</c:v>
                </c:pt>
                <c:pt idx="23">
                  <c:v>14843.91</c:v>
                </c:pt>
              </c:numCache>
            </c:numRef>
          </c:val>
          <c:smooth val="0"/>
          <c:extLst>
            <c:ext xmlns:c16="http://schemas.microsoft.com/office/drawing/2014/chart" uri="{C3380CC4-5D6E-409C-BE32-E72D297353CC}">
              <c16:uniqueId val="{00000004-5813-4003-A12B-5E8E0BF3AB94}"/>
            </c:ext>
          </c:extLst>
        </c:ser>
        <c:ser>
          <c:idx val="6"/>
          <c:order val="6"/>
          <c:tx>
            <c:strRef>
              <c:f>'pivot tables area'!$X$201:$X$202</c:f>
              <c:strCache>
                <c:ptCount val="1"/>
                <c:pt idx="0">
                  <c:v>USA</c:v>
                </c:pt>
              </c:strCache>
            </c:strRef>
          </c:tx>
          <c:spPr>
            <a:ln w="28575" cap="rnd">
              <a:solidFill>
                <a:schemeClr val="accent1">
                  <a:lumMod val="60000"/>
                </a:schemeClr>
              </a:solidFill>
              <a:round/>
            </a:ln>
            <a:effectLst/>
          </c:spPr>
          <c:marker>
            <c:symbol val="none"/>
          </c:marker>
          <c:cat>
            <c:multiLvlStrRef>
              <c:f>'pivot tables area'!$Q$203:$Q$229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'pivot tables area'!$X$203:$X$229</c:f>
              <c:numCache>
                <c:formatCode>General</c:formatCode>
                <c:ptCount val="24"/>
                <c:pt idx="0">
                  <c:v>2873.86</c:v>
                </c:pt>
                <c:pt idx="1">
                  <c:v>8971.989999999998</c:v>
                </c:pt>
                <c:pt idx="2">
                  <c:v>18310.170000000002</c:v>
                </c:pt>
                <c:pt idx="3">
                  <c:v>10746.300000000001</c:v>
                </c:pt>
                <c:pt idx="4">
                  <c:v>11950.03</c:v>
                </c:pt>
                <c:pt idx="5">
                  <c:v>19274.349999999999</c:v>
                </c:pt>
                <c:pt idx="6">
                  <c:v>12953.02</c:v>
                </c:pt>
                <c:pt idx="7">
                  <c:v>7440.21</c:v>
                </c:pt>
                <c:pt idx="8">
                  <c:v>14262.75</c:v>
                </c:pt>
                <c:pt idx="9">
                  <c:v>4944.8500000000004</c:v>
                </c:pt>
                <c:pt idx="10">
                  <c:v>7256.0300000000007</c:v>
                </c:pt>
                <c:pt idx="11">
                  <c:v>4240.37</c:v>
                </c:pt>
                <c:pt idx="12">
                  <c:v>8327.380000000001</c:v>
                </c:pt>
                <c:pt idx="13">
                  <c:v>7017.71</c:v>
                </c:pt>
                <c:pt idx="14">
                  <c:v>8655.5999999999985</c:v>
                </c:pt>
                <c:pt idx="15">
                  <c:v>19287.519999999997</c:v>
                </c:pt>
                <c:pt idx="16">
                  <c:v>6072.45</c:v>
                </c:pt>
                <c:pt idx="17">
                  <c:v>9171.4399999999987</c:v>
                </c:pt>
                <c:pt idx="18">
                  <c:v>2450.1400000000003</c:v>
                </c:pt>
                <c:pt idx="19">
                  <c:v>9056.5999999999985</c:v>
                </c:pt>
                <c:pt idx="20">
                  <c:v>1451.12</c:v>
                </c:pt>
                <c:pt idx="21">
                  <c:v>12519.91</c:v>
                </c:pt>
                <c:pt idx="22">
                  <c:v>7619.92</c:v>
                </c:pt>
                <c:pt idx="23">
                  <c:v>12922.66</c:v>
                </c:pt>
              </c:numCache>
            </c:numRef>
          </c:val>
          <c:smooth val="0"/>
          <c:extLst>
            <c:ext xmlns:c16="http://schemas.microsoft.com/office/drawing/2014/chart" uri="{C3380CC4-5D6E-409C-BE32-E72D297353CC}">
              <c16:uniqueId val="{00000005-5813-4003-A12B-5E8E0BF3AB94}"/>
            </c:ext>
          </c:extLst>
        </c:ser>
        <c:dLbls>
          <c:showLegendKey val="0"/>
          <c:showVal val="0"/>
          <c:showCatName val="0"/>
          <c:showSerName val="0"/>
          <c:showPercent val="0"/>
          <c:showBubbleSize val="0"/>
        </c:dLbls>
        <c:smooth val="0"/>
        <c:axId val="1803032703"/>
        <c:axId val="1803015231"/>
      </c:lineChart>
      <c:catAx>
        <c:axId val="180303270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03015231"/>
        <c:crosses val="autoZero"/>
        <c:auto val="1"/>
        <c:lblAlgn val="ctr"/>
        <c:lblOffset val="100"/>
        <c:noMultiLvlLbl val="0"/>
      </c:catAx>
      <c:valAx>
        <c:axId val="1803015231"/>
        <c:scaling>
          <c:orientation val="minMax"/>
        </c:scaling>
        <c:delete val="0"/>
        <c:axPos val="l"/>
        <c:majorGridlines>
          <c:spPr>
            <a:ln w="9525" cap="flat" cmpd="sng" algn="ctr">
              <a:solidFill>
                <a:schemeClr val="bg1">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03032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project.xlsx]pivot tables area!country discount vs profit in country</c:name>
    <c:fmtId val="20"/>
  </c:pivotSource>
  <c:chart>
    <c:autoTitleDeleted val="0"/>
    <c:pivotFmts>
      <c:pivotFmt>
        <c:idx val="0"/>
      </c:pivotFmt>
      <c:pivotFmt>
        <c:idx val="1"/>
      </c:pivotFmt>
      <c:pivotFmt>
        <c:idx val="2"/>
      </c:pivotFmt>
      <c:pivotFmt>
        <c:idx val="3"/>
      </c:pivotFmt>
      <c:pivotFmt>
        <c:idx val="4"/>
      </c:pivotFmt>
      <c:pivotFmt>
        <c:idx val="5"/>
        <c:spPr>
          <a:solidFill>
            <a:schemeClr val="accent1"/>
          </a:solidFill>
          <a:ln>
            <a:noFill/>
          </a:ln>
          <a:effectLst/>
        </c:spPr>
        <c:marker>
          <c:symbol val="none"/>
        </c:marker>
      </c:pivotFmt>
      <c:pivotFmt>
        <c:idx val="6"/>
        <c:spPr>
          <a:solidFill>
            <a:schemeClr val="accent1"/>
          </a:solidFill>
          <a:ln>
            <a:noFill/>
          </a:ln>
          <a:effectLst/>
        </c:spPr>
        <c:marker>
          <c:spPr>
            <a:solidFill>
              <a:schemeClr val="accent1"/>
            </a:solidFill>
            <a:ln w="9525">
              <a:solidFill>
                <a:schemeClr val="accent1"/>
              </a:solidFill>
            </a:ln>
            <a:effectLst/>
          </c:spPr>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tx2">
              <a:lumMod val="75000"/>
            </a:schemeClr>
          </a:solidFill>
          <a:ln>
            <a:noFill/>
          </a:ln>
          <a:effectLst/>
        </c:spPr>
        <c:marker>
          <c:symbol val="none"/>
        </c:marker>
      </c:pivotFmt>
      <c:pivotFmt>
        <c:idx val="10"/>
        <c:spPr>
          <a:gradFill>
            <a:gsLst>
              <a:gs pos="8000">
                <a:schemeClr val="accent1">
                  <a:lumMod val="75000"/>
                </a:schemeClr>
              </a:gs>
              <a:gs pos="78000">
                <a:schemeClr val="accent6">
                  <a:lumMod val="40000"/>
                  <a:lumOff val="60000"/>
                </a:schemeClr>
              </a:gs>
            </a:gsLst>
            <a:lin ang="5400000" scaled="1"/>
          </a:gradFill>
          <a:ln>
            <a:noFill/>
          </a:ln>
          <a:effectLst/>
        </c:spPr>
        <c:marker>
          <c:symbol val="none"/>
        </c:marker>
      </c:pivotFmt>
    </c:pivotFmts>
    <c:plotArea>
      <c:layout>
        <c:manualLayout>
          <c:layoutTarget val="inner"/>
          <c:xMode val="edge"/>
          <c:yMode val="edge"/>
          <c:x val="9.6069900866243507E-2"/>
          <c:y val="0.14791731747213502"/>
          <c:w val="0.81186140785066174"/>
          <c:h val="0.74346756355537391"/>
        </c:manualLayout>
      </c:layout>
      <c:areaChart>
        <c:grouping val="stacked"/>
        <c:varyColors val="0"/>
        <c:ser>
          <c:idx val="0"/>
          <c:order val="0"/>
          <c:tx>
            <c:strRef>
              <c:f>'pivot tables area'!$Q$3</c:f>
              <c:strCache>
                <c:ptCount val="1"/>
                <c:pt idx="0">
                  <c:v>Average of Discount</c:v>
                </c:pt>
              </c:strCache>
            </c:strRef>
          </c:tx>
          <c:spPr>
            <a:solidFill>
              <a:schemeClr val="tx2">
                <a:lumMod val="75000"/>
              </a:schemeClr>
            </a:solidFill>
            <a:ln>
              <a:noFill/>
            </a:ln>
            <a:effectLst/>
          </c:spPr>
          <c:dLbls>
            <c:delete val="1"/>
          </c:dLbls>
          <c:cat>
            <c:strRef>
              <c:f>'pivot tables area'!$P$4:$P$11</c:f>
              <c:strCache>
                <c:ptCount val="7"/>
                <c:pt idx="0">
                  <c:v>Canada</c:v>
                </c:pt>
                <c:pt idx="1">
                  <c:v>France</c:v>
                </c:pt>
                <c:pt idx="2">
                  <c:v>Germany</c:v>
                </c:pt>
                <c:pt idx="3">
                  <c:v>India</c:v>
                </c:pt>
                <c:pt idx="4">
                  <c:v>UAE</c:v>
                </c:pt>
                <c:pt idx="5">
                  <c:v>UK</c:v>
                </c:pt>
                <c:pt idx="6">
                  <c:v>USA</c:v>
                </c:pt>
              </c:strCache>
            </c:strRef>
          </c:cat>
          <c:val>
            <c:numRef>
              <c:f>'pivot tables area'!$Q$4:$Q$11</c:f>
              <c:numCache>
                <c:formatCode>0.00</c:formatCode>
                <c:ptCount val="7"/>
                <c:pt idx="0">
                  <c:v>0.15679389312977107</c:v>
                </c:pt>
                <c:pt idx="1">
                  <c:v>0.14290322580645151</c:v>
                </c:pt>
                <c:pt idx="2">
                  <c:v>0.15537313432835823</c:v>
                </c:pt>
                <c:pt idx="3">
                  <c:v>0.14340277777777788</c:v>
                </c:pt>
                <c:pt idx="4">
                  <c:v>0.14950704225352118</c:v>
                </c:pt>
                <c:pt idx="5">
                  <c:v>0.13737931034482762</c:v>
                </c:pt>
                <c:pt idx="6">
                  <c:v>0.1483892617449665</c:v>
                </c:pt>
              </c:numCache>
            </c:numRef>
          </c:val>
          <c:extLst>
            <c:ext xmlns:c16="http://schemas.microsoft.com/office/drawing/2014/chart" uri="{C3380CC4-5D6E-409C-BE32-E72D297353CC}">
              <c16:uniqueId val="{00000000-26F6-47DA-B13C-719C5477D5DA}"/>
            </c:ext>
          </c:extLst>
        </c:ser>
        <c:dLbls>
          <c:showLegendKey val="0"/>
          <c:showVal val="1"/>
          <c:showCatName val="0"/>
          <c:showSerName val="0"/>
          <c:showPercent val="0"/>
          <c:showBubbleSize val="0"/>
        </c:dLbls>
        <c:axId val="1602297199"/>
        <c:axId val="1602294703"/>
      </c:areaChart>
      <c:barChart>
        <c:barDir val="col"/>
        <c:grouping val="clustered"/>
        <c:varyColors val="0"/>
        <c:ser>
          <c:idx val="1"/>
          <c:order val="1"/>
          <c:tx>
            <c:strRef>
              <c:f>'pivot tables area'!$R$3</c:f>
              <c:strCache>
                <c:ptCount val="1"/>
                <c:pt idx="0">
                  <c:v>Sum of Profit</c:v>
                </c:pt>
              </c:strCache>
            </c:strRef>
          </c:tx>
          <c:spPr>
            <a:gradFill>
              <a:gsLst>
                <a:gs pos="8000">
                  <a:schemeClr val="accent1">
                    <a:lumMod val="75000"/>
                  </a:schemeClr>
                </a:gs>
                <a:gs pos="78000">
                  <a:schemeClr val="accent6">
                    <a:lumMod val="40000"/>
                    <a:lumOff val="60000"/>
                  </a:schemeClr>
                </a:gs>
              </a:gsLst>
              <a:lin ang="5400000" scaled="1"/>
            </a:gradFill>
            <a:ln>
              <a:noFill/>
            </a:ln>
            <a:effectLst/>
          </c:spPr>
          <c:invertIfNegative val="0"/>
          <c:dLbls>
            <c:delete val="1"/>
          </c:dLbls>
          <c:cat>
            <c:strRef>
              <c:f>'pivot tables area'!$P$4:$P$11</c:f>
              <c:strCache>
                <c:ptCount val="7"/>
                <c:pt idx="0">
                  <c:v>Canada</c:v>
                </c:pt>
                <c:pt idx="1">
                  <c:v>France</c:v>
                </c:pt>
                <c:pt idx="2">
                  <c:v>Germany</c:v>
                </c:pt>
                <c:pt idx="3">
                  <c:v>India</c:v>
                </c:pt>
                <c:pt idx="4">
                  <c:v>UAE</c:v>
                </c:pt>
                <c:pt idx="5">
                  <c:v>UK</c:v>
                </c:pt>
                <c:pt idx="6">
                  <c:v>USA</c:v>
                </c:pt>
              </c:strCache>
            </c:strRef>
          </c:cat>
          <c:val>
            <c:numRef>
              <c:f>'pivot tables area'!$R$4:$R$11</c:f>
              <c:numCache>
                <c:formatCode>0.0</c:formatCode>
                <c:ptCount val="7"/>
                <c:pt idx="0">
                  <c:v>40819.830000000016</c:v>
                </c:pt>
                <c:pt idx="1">
                  <c:v>52572.970000000016</c:v>
                </c:pt>
                <c:pt idx="2">
                  <c:v>47662.869999999995</c:v>
                </c:pt>
                <c:pt idx="3">
                  <c:v>53046.860000000008</c:v>
                </c:pt>
                <c:pt idx="4">
                  <c:v>52824.610000000015</c:v>
                </c:pt>
                <c:pt idx="5">
                  <c:v>47362.180000000015</c:v>
                </c:pt>
                <c:pt idx="6">
                  <c:v>50713.350000000013</c:v>
                </c:pt>
              </c:numCache>
            </c:numRef>
          </c:val>
          <c:extLst>
            <c:ext xmlns:c16="http://schemas.microsoft.com/office/drawing/2014/chart" uri="{C3380CC4-5D6E-409C-BE32-E72D297353CC}">
              <c16:uniqueId val="{00000001-26F6-47DA-B13C-719C5477D5DA}"/>
            </c:ext>
          </c:extLst>
        </c:ser>
        <c:dLbls>
          <c:showLegendKey val="0"/>
          <c:showVal val="1"/>
          <c:showCatName val="0"/>
          <c:showSerName val="0"/>
          <c:showPercent val="0"/>
          <c:showBubbleSize val="0"/>
        </c:dLbls>
        <c:gapWidth val="125"/>
        <c:overlap val="-25"/>
        <c:axId val="1602298031"/>
        <c:axId val="1783853103"/>
      </c:barChart>
      <c:valAx>
        <c:axId val="1783853103"/>
        <c:scaling>
          <c:orientation val="minMax"/>
        </c:scaling>
        <c:delete val="0"/>
        <c:axPos val="l"/>
        <c:numFmt formatCode="0,\ &quot;k&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02298031"/>
        <c:crosses val="autoZero"/>
        <c:crossBetween val="between"/>
      </c:valAx>
      <c:catAx>
        <c:axId val="1602298031"/>
        <c:scaling>
          <c:orientation val="minMax"/>
        </c:scaling>
        <c:delete val="1"/>
        <c:axPos val="b"/>
        <c:numFmt formatCode="General" sourceLinked="1"/>
        <c:majorTickMark val="out"/>
        <c:minorTickMark val="none"/>
        <c:tickLblPos val="nextTo"/>
        <c:crossAx val="1783853103"/>
        <c:crosses val="autoZero"/>
        <c:auto val="1"/>
        <c:lblAlgn val="ctr"/>
        <c:lblOffset val="100"/>
        <c:noMultiLvlLbl val="0"/>
      </c:catAx>
      <c:valAx>
        <c:axId val="160229470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lumMod val="40000"/>
                    <a:lumOff val="60000"/>
                  </a:schemeClr>
                </a:solidFill>
                <a:latin typeface="+mn-lt"/>
                <a:ea typeface="+mn-ea"/>
                <a:cs typeface="+mn-cs"/>
              </a:defRPr>
            </a:pPr>
            <a:endParaRPr lang="en-US"/>
          </a:p>
        </c:txPr>
        <c:crossAx val="1602297199"/>
        <c:crosses val="max"/>
        <c:crossBetween val="between"/>
      </c:valAx>
      <c:catAx>
        <c:axId val="1602297199"/>
        <c:scaling>
          <c:orientation val="minMax"/>
        </c:scaling>
        <c:delete val="1"/>
        <c:axPos val="b"/>
        <c:numFmt formatCode="General" sourceLinked="1"/>
        <c:majorTickMark val="out"/>
        <c:minorTickMark val="none"/>
        <c:tickLblPos val="nextTo"/>
        <c:crossAx val="1602294703"/>
        <c:crosses val="autoZero"/>
        <c:auto val="1"/>
        <c:lblAlgn val="ctr"/>
        <c:lblOffset val="100"/>
        <c:noMultiLvlLbl val="0"/>
      </c:catAx>
      <c:spPr>
        <a:noFill/>
        <a:ln>
          <a:noFill/>
        </a:ln>
        <a:effectLst/>
      </c:spPr>
    </c:plotArea>
    <c:legend>
      <c:legendPos val="t"/>
      <c:layout>
        <c:manualLayout>
          <c:xMode val="edge"/>
          <c:yMode val="edge"/>
          <c:x val="0.24136382160305767"/>
          <c:y val="0"/>
          <c:w val="0.51727235679388461"/>
          <c:h val="0.1895722263038733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project.xlsx]pivot tables area!country profit margin percentage country</c:name>
    <c:fmtId val="2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a:noFill/>
          </a:ln>
          <a:effectLst/>
        </c:spPr>
        <c:marker>
          <c:symbol val="none"/>
        </c:marker>
      </c:pivotFmt>
      <c:pivotFmt>
        <c:idx val="10"/>
        <c:spPr>
          <a:solidFill>
            <a:schemeClr val="accent1">
              <a:lumMod val="40000"/>
              <a:lumOff val="60000"/>
            </a:schemeClr>
          </a:solidFill>
          <a:ln>
            <a:noFill/>
          </a:ln>
          <a:effectLst/>
        </c:spPr>
        <c:marker>
          <c:symbol val="none"/>
        </c:marker>
      </c:pivotFmt>
      <c:pivotFmt>
        <c:idx val="11"/>
        <c:spPr>
          <a:ln w="28575" cap="rnd">
            <a:solidFill>
              <a:schemeClr val="tx2">
                <a:lumMod val="50000"/>
              </a:schemeClr>
            </a:solidFill>
            <a:round/>
          </a:ln>
          <a:effectLst/>
        </c:spPr>
        <c:marker>
          <c:symbol val="circle"/>
          <c:size val="5"/>
          <c:spPr>
            <a:blipFill>
              <a:blip xmlns:r="http://schemas.openxmlformats.org/officeDocument/2006/relationships" r:embed="rId3"/>
              <a:tile tx="0" ty="0" sx="100000" sy="100000" flip="none" algn="tl"/>
            </a:blipFill>
            <a:ln w="9525">
              <a:solidFill>
                <a:schemeClr val="accent3"/>
              </a:solidFill>
            </a:ln>
            <a:effectLst/>
          </c:spPr>
        </c:marker>
      </c:pivotFmt>
    </c:pivotFmts>
    <c:plotArea>
      <c:layout/>
      <c:barChart>
        <c:barDir val="col"/>
        <c:grouping val="clustered"/>
        <c:varyColors val="0"/>
        <c:ser>
          <c:idx val="0"/>
          <c:order val="0"/>
          <c:tx>
            <c:strRef>
              <c:f>'pivot tables area'!$N$68</c:f>
              <c:strCache>
                <c:ptCount val="1"/>
                <c:pt idx="0">
                  <c:v>Sum of Profit</c:v>
                </c:pt>
              </c:strCache>
            </c:strRef>
          </c:tx>
          <c:spPr>
            <a:solidFill>
              <a:schemeClr val="accent1"/>
            </a:solidFill>
            <a:ln>
              <a:noFill/>
            </a:ln>
            <a:effectLst/>
          </c:spPr>
          <c:invertIfNegative val="0"/>
          <c:cat>
            <c:strRef>
              <c:f>'pivot tables area'!$M$69:$M$76</c:f>
              <c:strCache>
                <c:ptCount val="7"/>
                <c:pt idx="0">
                  <c:v>Canada</c:v>
                </c:pt>
                <c:pt idx="1">
                  <c:v>France</c:v>
                </c:pt>
                <c:pt idx="2">
                  <c:v>Germany</c:v>
                </c:pt>
                <c:pt idx="3">
                  <c:v>India</c:v>
                </c:pt>
                <c:pt idx="4">
                  <c:v>UAE</c:v>
                </c:pt>
                <c:pt idx="5">
                  <c:v>UK</c:v>
                </c:pt>
                <c:pt idx="6">
                  <c:v>USA</c:v>
                </c:pt>
              </c:strCache>
            </c:strRef>
          </c:cat>
          <c:val>
            <c:numRef>
              <c:f>'pivot tables area'!$N$69:$N$76</c:f>
              <c:numCache>
                <c:formatCode>General</c:formatCode>
                <c:ptCount val="7"/>
                <c:pt idx="0">
                  <c:v>40819.830000000016</c:v>
                </c:pt>
                <c:pt idx="1">
                  <c:v>52572.970000000016</c:v>
                </c:pt>
                <c:pt idx="2">
                  <c:v>47662.869999999995</c:v>
                </c:pt>
                <c:pt idx="3">
                  <c:v>53046.860000000008</c:v>
                </c:pt>
                <c:pt idx="4">
                  <c:v>52824.610000000015</c:v>
                </c:pt>
                <c:pt idx="5">
                  <c:v>47362.180000000015</c:v>
                </c:pt>
                <c:pt idx="6">
                  <c:v>50713.350000000013</c:v>
                </c:pt>
              </c:numCache>
            </c:numRef>
          </c:val>
          <c:extLst>
            <c:ext xmlns:c16="http://schemas.microsoft.com/office/drawing/2014/chart" uri="{C3380CC4-5D6E-409C-BE32-E72D297353CC}">
              <c16:uniqueId val="{00000000-E7B1-4312-808F-B1D2D3475BC3}"/>
            </c:ext>
          </c:extLst>
        </c:ser>
        <c:ser>
          <c:idx val="1"/>
          <c:order val="1"/>
          <c:tx>
            <c:strRef>
              <c:f>'pivot tables area'!$O$68</c:f>
              <c:strCache>
                <c:ptCount val="1"/>
                <c:pt idx="0">
                  <c:v>Sum of Sales</c:v>
                </c:pt>
              </c:strCache>
            </c:strRef>
          </c:tx>
          <c:spPr>
            <a:solidFill>
              <a:schemeClr val="accent1">
                <a:lumMod val="40000"/>
                <a:lumOff val="60000"/>
              </a:schemeClr>
            </a:solidFill>
            <a:ln>
              <a:noFill/>
            </a:ln>
            <a:effectLst/>
          </c:spPr>
          <c:invertIfNegative val="0"/>
          <c:cat>
            <c:strRef>
              <c:f>'pivot tables area'!$M$69:$M$76</c:f>
              <c:strCache>
                <c:ptCount val="7"/>
                <c:pt idx="0">
                  <c:v>Canada</c:v>
                </c:pt>
                <c:pt idx="1">
                  <c:v>France</c:v>
                </c:pt>
                <c:pt idx="2">
                  <c:v>Germany</c:v>
                </c:pt>
                <c:pt idx="3">
                  <c:v>India</c:v>
                </c:pt>
                <c:pt idx="4">
                  <c:v>UAE</c:v>
                </c:pt>
                <c:pt idx="5">
                  <c:v>UK</c:v>
                </c:pt>
                <c:pt idx="6">
                  <c:v>USA</c:v>
                </c:pt>
              </c:strCache>
            </c:strRef>
          </c:cat>
          <c:val>
            <c:numRef>
              <c:f>'pivot tables area'!$O$69:$O$76</c:f>
              <c:numCache>
                <c:formatCode>General</c:formatCode>
                <c:ptCount val="7"/>
                <c:pt idx="0">
                  <c:v>193402.8599999999</c:v>
                </c:pt>
                <c:pt idx="1">
                  <c:v>226322.48000000016</c:v>
                </c:pt>
                <c:pt idx="2">
                  <c:v>205504.77999999991</c:v>
                </c:pt>
                <c:pt idx="3">
                  <c:v>235176.30000000005</c:v>
                </c:pt>
                <c:pt idx="4">
                  <c:v>221818.89</c:v>
                </c:pt>
                <c:pt idx="5">
                  <c:v>217450.78999999995</c:v>
                </c:pt>
                <c:pt idx="6">
                  <c:v>227776.38000000003</c:v>
                </c:pt>
              </c:numCache>
            </c:numRef>
          </c:val>
          <c:extLst>
            <c:ext xmlns:c16="http://schemas.microsoft.com/office/drawing/2014/chart" uri="{C3380CC4-5D6E-409C-BE32-E72D297353CC}">
              <c16:uniqueId val="{00000001-E7B1-4312-808F-B1D2D3475BC3}"/>
            </c:ext>
          </c:extLst>
        </c:ser>
        <c:dLbls>
          <c:showLegendKey val="0"/>
          <c:showVal val="0"/>
          <c:showCatName val="0"/>
          <c:showSerName val="0"/>
          <c:showPercent val="0"/>
          <c:showBubbleSize val="0"/>
        </c:dLbls>
        <c:gapWidth val="219"/>
        <c:overlap val="-27"/>
        <c:axId val="1803023135"/>
        <c:axId val="1803011487"/>
      </c:barChart>
      <c:lineChart>
        <c:grouping val="standard"/>
        <c:varyColors val="0"/>
        <c:ser>
          <c:idx val="2"/>
          <c:order val="2"/>
          <c:tx>
            <c:strRef>
              <c:f>'pivot tables area'!$P$68</c:f>
              <c:strCache>
                <c:ptCount val="1"/>
                <c:pt idx="0">
                  <c:v>Percentage of Profit Margin</c:v>
                </c:pt>
              </c:strCache>
            </c:strRef>
          </c:tx>
          <c:spPr>
            <a:ln w="28575" cap="rnd">
              <a:solidFill>
                <a:schemeClr val="tx2">
                  <a:lumMod val="50000"/>
                </a:schemeClr>
              </a:solidFill>
              <a:round/>
            </a:ln>
            <a:effectLst/>
          </c:spPr>
          <c:marker>
            <c:symbol val="circle"/>
            <c:size val="5"/>
            <c:spPr>
              <a:blipFill>
                <a:blip xmlns:r="http://schemas.openxmlformats.org/officeDocument/2006/relationships" r:embed="rId3"/>
                <a:tile tx="0" ty="0" sx="100000" sy="100000" flip="none" algn="tl"/>
              </a:blipFill>
              <a:ln w="9525">
                <a:solidFill>
                  <a:schemeClr val="accent3"/>
                </a:solidFill>
              </a:ln>
              <a:effectLst/>
            </c:spPr>
          </c:marker>
          <c:cat>
            <c:strRef>
              <c:f>'pivot tables area'!$M$69:$M$76</c:f>
              <c:strCache>
                <c:ptCount val="7"/>
                <c:pt idx="0">
                  <c:v>Canada</c:v>
                </c:pt>
                <c:pt idx="1">
                  <c:v>France</c:v>
                </c:pt>
                <c:pt idx="2">
                  <c:v>Germany</c:v>
                </c:pt>
                <c:pt idx="3">
                  <c:v>India</c:v>
                </c:pt>
                <c:pt idx="4">
                  <c:v>UAE</c:v>
                </c:pt>
                <c:pt idx="5">
                  <c:v>UK</c:v>
                </c:pt>
                <c:pt idx="6">
                  <c:v>USA</c:v>
                </c:pt>
              </c:strCache>
            </c:strRef>
          </c:cat>
          <c:val>
            <c:numRef>
              <c:f>'pivot tables area'!$P$69:$P$76</c:f>
              <c:numCache>
                <c:formatCode>0.00%</c:formatCode>
                <c:ptCount val="7"/>
                <c:pt idx="0">
                  <c:v>0.21106114976789919</c:v>
                </c:pt>
                <c:pt idx="1">
                  <c:v>0.23229230255872055</c:v>
                </c:pt>
                <c:pt idx="2">
                  <c:v>0.23193071226859061</c:v>
                </c:pt>
                <c:pt idx="3">
                  <c:v>0.22556209958231335</c:v>
                </c:pt>
                <c:pt idx="4">
                  <c:v>0.23814297330583528</c:v>
                </c:pt>
                <c:pt idx="5">
                  <c:v>0.21780642875567399</c:v>
                </c:pt>
                <c:pt idx="6">
                  <c:v>0.22264534189190296</c:v>
                </c:pt>
              </c:numCache>
            </c:numRef>
          </c:val>
          <c:smooth val="0"/>
          <c:extLst>
            <c:ext xmlns:c16="http://schemas.microsoft.com/office/drawing/2014/chart" uri="{C3380CC4-5D6E-409C-BE32-E72D297353CC}">
              <c16:uniqueId val="{00000002-E7B1-4312-808F-B1D2D3475BC3}"/>
            </c:ext>
          </c:extLst>
        </c:ser>
        <c:dLbls>
          <c:showLegendKey val="0"/>
          <c:showVal val="0"/>
          <c:showCatName val="0"/>
          <c:showSerName val="0"/>
          <c:showPercent val="0"/>
          <c:showBubbleSize val="0"/>
        </c:dLbls>
        <c:marker val="1"/>
        <c:smooth val="0"/>
        <c:axId val="1803026463"/>
        <c:axId val="1803026047"/>
      </c:lineChart>
      <c:catAx>
        <c:axId val="1803023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03011487"/>
        <c:crosses val="autoZero"/>
        <c:auto val="1"/>
        <c:lblAlgn val="ctr"/>
        <c:lblOffset val="100"/>
        <c:noMultiLvlLbl val="0"/>
      </c:catAx>
      <c:valAx>
        <c:axId val="1803011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03023135"/>
        <c:crosses val="autoZero"/>
        <c:crossBetween val="between"/>
      </c:valAx>
      <c:valAx>
        <c:axId val="180302604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03026463"/>
        <c:crosses val="max"/>
        <c:crossBetween val="between"/>
      </c:valAx>
      <c:catAx>
        <c:axId val="1803026463"/>
        <c:scaling>
          <c:orientation val="minMax"/>
        </c:scaling>
        <c:delete val="1"/>
        <c:axPos val="b"/>
        <c:numFmt formatCode="General" sourceLinked="1"/>
        <c:majorTickMark val="out"/>
        <c:minorTickMark val="none"/>
        <c:tickLblPos val="nextTo"/>
        <c:crossAx val="1803026047"/>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project.xlsx]KPIs!tot sales</c:name>
    <c:fmtId val="14"/>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34925" cap="rnd" cmpd="sng">
            <a:solidFill>
              <a:schemeClr val="tx2">
                <a:lumMod val="50000"/>
              </a:schemeClr>
            </a:solidFill>
            <a:round/>
          </a:ln>
          <a:effectLst/>
        </c:spPr>
        <c:marker>
          <c:symbol val="none"/>
        </c:marker>
      </c:pivotFmt>
      <c:pivotFmt>
        <c:idx val="4"/>
        <c:spPr>
          <a:solidFill>
            <a:schemeClr val="accent1"/>
          </a:solidFill>
          <a:ln w="34925" cap="rnd" cmpd="sng">
            <a:solidFill>
              <a:schemeClr val="tx2">
                <a:lumMod val="50000"/>
              </a:schemeClr>
            </a:solidFill>
            <a:round/>
          </a:ln>
          <a:effectLst/>
        </c:spPr>
        <c:marker>
          <c:symbol val="none"/>
        </c:marker>
      </c:pivotFmt>
      <c:pivotFmt>
        <c:idx val="5"/>
        <c:spPr>
          <a:ln w="34925" cap="rnd" cmpd="sng">
            <a:solidFill>
              <a:schemeClr val="tx2">
                <a:lumMod val="50000"/>
              </a:schemeClr>
            </a:solidFill>
            <a:round/>
          </a:ln>
          <a:effectLst/>
        </c:spPr>
        <c:marker>
          <c:symbol val="none"/>
        </c:marker>
      </c:pivotFmt>
    </c:pivotFmts>
    <c:plotArea>
      <c:layout>
        <c:manualLayout>
          <c:layoutTarget val="inner"/>
          <c:xMode val="edge"/>
          <c:yMode val="edge"/>
          <c:x val="7.3571567434769433E-2"/>
          <c:y val="0.16876650375313162"/>
          <c:w val="0.89209522191154433"/>
          <c:h val="0.63650934485818145"/>
        </c:manualLayout>
      </c:layout>
      <c:lineChart>
        <c:grouping val="standard"/>
        <c:varyColors val="0"/>
        <c:ser>
          <c:idx val="0"/>
          <c:order val="0"/>
          <c:tx>
            <c:strRef>
              <c:f>KPIs!$B$1</c:f>
              <c:strCache>
                <c:ptCount val="1"/>
                <c:pt idx="0">
                  <c:v>Total</c:v>
                </c:pt>
              </c:strCache>
            </c:strRef>
          </c:tx>
          <c:spPr>
            <a:ln w="34925" cap="rnd" cmpd="sng">
              <a:solidFill>
                <a:schemeClr val="tx2">
                  <a:lumMod val="50000"/>
                </a:schemeClr>
              </a:solidFill>
              <a:round/>
            </a:ln>
            <a:effectLst/>
          </c:spPr>
          <c:marker>
            <c:symbol val="none"/>
          </c:marker>
          <c:cat>
            <c:strRef>
              <c:f>KPIs!$A$2:$A$14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KPIs!$B$2:$B$14</c:f>
              <c:numCache>
                <c:formatCode>General</c:formatCode>
                <c:ptCount val="12"/>
                <c:pt idx="0">
                  <c:v>130235.7</c:v>
                </c:pt>
                <c:pt idx="1">
                  <c:v>123386.54999999999</c:v>
                </c:pt>
                <c:pt idx="2">
                  <c:v>109967.59</c:v>
                </c:pt>
                <c:pt idx="3">
                  <c:v>122940.36999999998</c:v>
                </c:pt>
                <c:pt idx="4">
                  <c:v>126507.20000000001</c:v>
                </c:pt>
                <c:pt idx="5">
                  <c:v>130764.56999999996</c:v>
                </c:pt>
                <c:pt idx="6">
                  <c:v>101473.74</c:v>
                </c:pt>
                <c:pt idx="7">
                  <c:v>144159.16000000003</c:v>
                </c:pt>
                <c:pt idx="8">
                  <c:v>134848.82</c:v>
                </c:pt>
                <c:pt idx="9">
                  <c:v>131816.47999999998</c:v>
                </c:pt>
                <c:pt idx="10">
                  <c:v>108358.24</c:v>
                </c:pt>
                <c:pt idx="11">
                  <c:v>162994.06000000003</c:v>
                </c:pt>
              </c:numCache>
            </c:numRef>
          </c:val>
          <c:smooth val="0"/>
          <c:extLst>
            <c:ext xmlns:c16="http://schemas.microsoft.com/office/drawing/2014/chart" uri="{C3380CC4-5D6E-409C-BE32-E72D297353CC}">
              <c16:uniqueId val="{00000000-3B41-48D1-B200-7FB5C76BD7C4}"/>
            </c:ext>
          </c:extLst>
        </c:ser>
        <c:dLbls>
          <c:showLegendKey val="0"/>
          <c:showVal val="0"/>
          <c:showCatName val="0"/>
          <c:showSerName val="0"/>
          <c:showPercent val="0"/>
          <c:showBubbleSize val="0"/>
        </c:dLbls>
        <c:smooth val="0"/>
        <c:axId val="930049520"/>
        <c:axId val="930039952"/>
      </c:lineChart>
      <c:catAx>
        <c:axId val="930049520"/>
        <c:scaling>
          <c:orientation val="minMax"/>
        </c:scaling>
        <c:delete val="1"/>
        <c:axPos val="b"/>
        <c:numFmt formatCode="General" sourceLinked="1"/>
        <c:majorTickMark val="none"/>
        <c:minorTickMark val="none"/>
        <c:tickLblPos val="nextTo"/>
        <c:crossAx val="930039952"/>
        <c:crosses val="autoZero"/>
        <c:auto val="1"/>
        <c:lblAlgn val="ctr"/>
        <c:lblOffset val="100"/>
        <c:noMultiLvlLbl val="0"/>
      </c:catAx>
      <c:valAx>
        <c:axId val="930039952"/>
        <c:scaling>
          <c:orientation val="minMax"/>
        </c:scaling>
        <c:delete val="1"/>
        <c:axPos val="l"/>
        <c:numFmt formatCode="General" sourceLinked="1"/>
        <c:majorTickMark val="none"/>
        <c:minorTickMark val="none"/>
        <c:tickLblPos val="nextTo"/>
        <c:crossAx val="9300495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project.xlsx]KPIs!tot quantity</c:name>
    <c:fmtId val="7"/>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34925" cap="rnd">
            <a:solidFill>
              <a:schemeClr val="tx2">
                <a:lumMod val="50000"/>
              </a:schemeClr>
            </a:solidFill>
            <a:round/>
          </a:ln>
          <a:effectLst/>
        </c:spPr>
        <c:marker>
          <c:symbol val="none"/>
        </c:marker>
      </c:pivotFmt>
      <c:pivotFmt>
        <c:idx val="4"/>
        <c:spPr>
          <a:solidFill>
            <a:schemeClr val="accent1"/>
          </a:solidFill>
          <a:ln w="34925" cap="rnd">
            <a:solidFill>
              <a:schemeClr val="tx2">
                <a:lumMod val="50000"/>
              </a:schemeClr>
            </a:solidFill>
            <a:round/>
          </a:ln>
          <a:effectLst/>
        </c:spPr>
        <c:marker>
          <c:symbol val="none"/>
        </c:marker>
      </c:pivotFmt>
      <c:pivotFmt>
        <c:idx val="5"/>
        <c:spPr>
          <a:ln w="34925" cap="rnd">
            <a:solidFill>
              <a:schemeClr val="tx2">
                <a:lumMod val="50000"/>
              </a:schemeClr>
            </a:solidFill>
            <a:round/>
          </a:ln>
          <a:effectLst/>
        </c:spPr>
        <c:marker>
          <c:symbol val="none"/>
        </c:marker>
      </c:pivotFmt>
    </c:pivotFmts>
    <c:plotArea>
      <c:layout/>
      <c:lineChart>
        <c:grouping val="standard"/>
        <c:varyColors val="0"/>
        <c:ser>
          <c:idx val="0"/>
          <c:order val="0"/>
          <c:tx>
            <c:strRef>
              <c:f>KPIs!$H$1</c:f>
              <c:strCache>
                <c:ptCount val="1"/>
                <c:pt idx="0">
                  <c:v>Total</c:v>
                </c:pt>
              </c:strCache>
            </c:strRef>
          </c:tx>
          <c:spPr>
            <a:ln w="34925" cap="rnd">
              <a:solidFill>
                <a:schemeClr val="tx2">
                  <a:lumMod val="50000"/>
                </a:schemeClr>
              </a:solidFill>
              <a:round/>
            </a:ln>
            <a:effectLst/>
          </c:spPr>
          <c:marker>
            <c:symbol val="none"/>
          </c:marker>
          <c:cat>
            <c:strRef>
              <c:f>KPIs!$G$2:$G$14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KPIs!$H$2:$H$14</c:f>
              <c:numCache>
                <c:formatCode>General</c:formatCode>
                <c:ptCount val="12"/>
                <c:pt idx="0">
                  <c:v>241</c:v>
                </c:pt>
                <c:pt idx="1">
                  <c:v>250</c:v>
                </c:pt>
                <c:pt idx="2">
                  <c:v>217</c:v>
                </c:pt>
                <c:pt idx="3">
                  <c:v>249</c:v>
                </c:pt>
                <c:pt idx="4">
                  <c:v>270</c:v>
                </c:pt>
                <c:pt idx="5">
                  <c:v>223</c:v>
                </c:pt>
                <c:pt idx="6">
                  <c:v>219</c:v>
                </c:pt>
                <c:pt idx="7">
                  <c:v>267</c:v>
                </c:pt>
                <c:pt idx="8">
                  <c:v>221</c:v>
                </c:pt>
                <c:pt idx="9">
                  <c:v>250</c:v>
                </c:pt>
                <c:pt idx="10">
                  <c:v>231</c:v>
                </c:pt>
                <c:pt idx="11">
                  <c:v>325</c:v>
                </c:pt>
              </c:numCache>
            </c:numRef>
          </c:val>
          <c:smooth val="0"/>
          <c:extLst>
            <c:ext xmlns:c16="http://schemas.microsoft.com/office/drawing/2014/chart" uri="{C3380CC4-5D6E-409C-BE32-E72D297353CC}">
              <c16:uniqueId val="{00000000-71A5-4808-9442-21F3FD9DBBBE}"/>
            </c:ext>
          </c:extLst>
        </c:ser>
        <c:dLbls>
          <c:showLegendKey val="0"/>
          <c:showVal val="0"/>
          <c:showCatName val="0"/>
          <c:showSerName val="0"/>
          <c:showPercent val="0"/>
          <c:showBubbleSize val="0"/>
        </c:dLbls>
        <c:smooth val="0"/>
        <c:axId val="930794448"/>
        <c:axId val="930789872"/>
      </c:lineChart>
      <c:catAx>
        <c:axId val="930794448"/>
        <c:scaling>
          <c:orientation val="minMax"/>
        </c:scaling>
        <c:delete val="1"/>
        <c:axPos val="b"/>
        <c:numFmt formatCode="General" sourceLinked="1"/>
        <c:majorTickMark val="none"/>
        <c:minorTickMark val="none"/>
        <c:tickLblPos val="nextTo"/>
        <c:crossAx val="930789872"/>
        <c:crosses val="autoZero"/>
        <c:auto val="1"/>
        <c:lblAlgn val="ctr"/>
        <c:lblOffset val="100"/>
        <c:noMultiLvlLbl val="0"/>
      </c:catAx>
      <c:valAx>
        <c:axId val="930789872"/>
        <c:scaling>
          <c:orientation val="minMax"/>
        </c:scaling>
        <c:delete val="1"/>
        <c:axPos val="l"/>
        <c:numFmt formatCode="General" sourceLinked="1"/>
        <c:majorTickMark val="none"/>
        <c:minorTickMark val="none"/>
        <c:tickLblPos val="nextTo"/>
        <c:crossAx val="9307944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project.xlsx]KPIs!tot order ids</c:name>
    <c:fmtId val="8"/>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34925" cap="rnd">
            <a:solidFill>
              <a:schemeClr val="tx2">
                <a:lumMod val="50000"/>
              </a:schemeClr>
            </a:solidFill>
            <a:round/>
          </a:ln>
          <a:effectLst/>
        </c:spPr>
        <c:marker>
          <c:symbol val="none"/>
        </c:marker>
      </c:pivotFmt>
      <c:pivotFmt>
        <c:idx val="4"/>
        <c:spPr>
          <a:solidFill>
            <a:schemeClr val="accent1"/>
          </a:solidFill>
          <a:ln w="34925" cap="rnd">
            <a:solidFill>
              <a:schemeClr val="tx2">
                <a:lumMod val="50000"/>
              </a:schemeClr>
            </a:solidFill>
            <a:round/>
          </a:ln>
          <a:effectLst/>
        </c:spPr>
        <c:marker>
          <c:symbol val="none"/>
        </c:marker>
      </c:pivotFmt>
      <c:pivotFmt>
        <c:idx val="5"/>
        <c:spPr>
          <a:ln w="34925" cap="rnd">
            <a:solidFill>
              <a:schemeClr val="tx2">
                <a:lumMod val="50000"/>
              </a:schemeClr>
            </a:solidFill>
            <a:round/>
          </a:ln>
          <a:effectLst/>
        </c:spPr>
        <c:marker>
          <c:symbol val="none"/>
        </c:marker>
      </c:pivotFmt>
    </c:pivotFmts>
    <c:plotArea>
      <c:layout>
        <c:manualLayout>
          <c:layoutTarget val="inner"/>
          <c:xMode val="edge"/>
          <c:yMode val="edge"/>
          <c:x val="0.1285204891874368"/>
          <c:y val="0.38218860656642156"/>
          <c:w val="0.79803923127688503"/>
          <c:h val="0.29932088796156048"/>
        </c:manualLayout>
      </c:layout>
      <c:lineChart>
        <c:grouping val="standard"/>
        <c:varyColors val="0"/>
        <c:ser>
          <c:idx val="0"/>
          <c:order val="0"/>
          <c:tx>
            <c:strRef>
              <c:f>KPIs!$K$1</c:f>
              <c:strCache>
                <c:ptCount val="1"/>
                <c:pt idx="0">
                  <c:v>Total</c:v>
                </c:pt>
              </c:strCache>
            </c:strRef>
          </c:tx>
          <c:spPr>
            <a:ln w="34925" cap="rnd">
              <a:solidFill>
                <a:schemeClr val="tx2">
                  <a:lumMod val="50000"/>
                </a:schemeClr>
              </a:solidFill>
              <a:round/>
            </a:ln>
            <a:effectLst/>
          </c:spPr>
          <c:marker>
            <c:symbol val="none"/>
          </c:marker>
          <c:cat>
            <c:strRef>
              <c:f>KPIs!$J$2:$J$14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KPIs!$K$2:$K$14</c:f>
              <c:numCache>
                <c:formatCode>General</c:formatCode>
                <c:ptCount val="12"/>
                <c:pt idx="0">
                  <c:v>85</c:v>
                </c:pt>
                <c:pt idx="1">
                  <c:v>75</c:v>
                </c:pt>
                <c:pt idx="2">
                  <c:v>81</c:v>
                </c:pt>
                <c:pt idx="3">
                  <c:v>79</c:v>
                </c:pt>
                <c:pt idx="4">
                  <c:v>92</c:v>
                </c:pt>
                <c:pt idx="5">
                  <c:v>81</c:v>
                </c:pt>
                <c:pt idx="6">
                  <c:v>72</c:v>
                </c:pt>
                <c:pt idx="7">
                  <c:v>93</c:v>
                </c:pt>
                <c:pt idx="8">
                  <c:v>76</c:v>
                </c:pt>
                <c:pt idx="9">
                  <c:v>79</c:v>
                </c:pt>
                <c:pt idx="10">
                  <c:v>82</c:v>
                </c:pt>
                <c:pt idx="11">
                  <c:v>105</c:v>
                </c:pt>
              </c:numCache>
            </c:numRef>
          </c:val>
          <c:smooth val="0"/>
          <c:extLst>
            <c:ext xmlns:c16="http://schemas.microsoft.com/office/drawing/2014/chart" uri="{C3380CC4-5D6E-409C-BE32-E72D297353CC}">
              <c16:uniqueId val="{00000000-0C58-43CA-9B27-9F6D3FE4378A}"/>
            </c:ext>
          </c:extLst>
        </c:ser>
        <c:dLbls>
          <c:showLegendKey val="0"/>
          <c:showVal val="0"/>
          <c:showCatName val="0"/>
          <c:showSerName val="0"/>
          <c:showPercent val="0"/>
          <c:showBubbleSize val="0"/>
        </c:dLbls>
        <c:smooth val="0"/>
        <c:axId val="930790704"/>
        <c:axId val="930792784"/>
      </c:lineChart>
      <c:catAx>
        <c:axId val="930790704"/>
        <c:scaling>
          <c:orientation val="minMax"/>
        </c:scaling>
        <c:delete val="1"/>
        <c:axPos val="b"/>
        <c:numFmt formatCode="General" sourceLinked="1"/>
        <c:majorTickMark val="none"/>
        <c:minorTickMark val="none"/>
        <c:tickLblPos val="nextTo"/>
        <c:crossAx val="930792784"/>
        <c:crosses val="autoZero"/>
        <c:auto val="1"/>
        <c:lblAlgn val="ctr"/>
        <c:lblOffset val="100"/>
        <c:noMultiLvlLbl val="0"/>
      </c:catAx>
      <c:valAx>
        <c:axId val="930792784"/>
        <c:scaling>
          <c:orientation val="minMax"/>
        </c:scaling>
        <c:delete val="1"/>
        <c:axPos val="l"/>
        <c:numFmt formatCode="General" sourceLinked="1"/>
        <c:majorTickMark val="none"/>
        <c:minorTickMark val="none"/>
        <c:tickLblPos val="nextTo"/>
        <c:crossAx val="93079070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project.xlsx]KPIs!tot profit</c:name>
    <c:fmtId val="7"/>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34925" cap="rnd">
            <a:solidFill>
              <a:schemeClr val="tx2">
                <a:lumMod val="50000"/>
              </a:schemeClr>
            </a:solidFill>
            <a:round/>
          </a:ln>
          <a:effectLst/>
        </c:spPr>
        <c:marker>
          <c:symbol val="none"/>
        </c:marker>
      </c:pivotFmt>
      <c:pivotFmt>
        <c:idx val="5"/>
        <c:spPr>
          <a:solidFill>
            <a:schemeClr val="accent1"/>
          </a:solidFill>
          <a:ln w="34925" cap="rnd">
            <a:solidFill>
              <a:schemeClr val="tx2">
                <a:lumMod val="50000"/>
              </a:schemeClr>
            </a:solidFill>
            <a:round/>
          </a:ln>
          <a:effectLst/>
        </c:spPr>
        <c:marker>
          <c:symbol val="none"/>
        </c:marker>
      </c:pivotFmt>
      <c:pivotFmt>
        <c:idx val="6"/>
        <c:spPr>
          <a:ln w="34925" cap="rnd">
            <a:solidFill>
              <a:schemeClr val="tx2">
                <a:lumMod val="50000"/>
              </a:schemeClr>
            </a:solidFill>
            <a:round/>
          </a:ln>
          <a:effectLst/>
        </c:spPr>
        <c:marker>
          <c:symbol val="none"/>
        </c:marker>
      </c:pivotFmt>
    </c:pivotFmts>
    <c:plotArea>
      <c:layout>
        <c:manualLayout>
          <c:layoutTarget val="inner"/>
          <c:xMode val="edge"/>
          <c:yMode val="edge"/>
          <c:x val="4.5365664823581113E-2"/>
          <c:y val="0.22086346349563449"/>
          <c:w val="0.93888888888888888"/>
          <c:h val="0.77371681071905252"/>
        </c:manualLayout>
      </c:layout>
      <c:lineChart>
        <c:grouping val="standard"/>
        <c:varyColors val="0"/>
        <c:ser>
          <c:idx val="0"/>
          <c:order val="0"/>
          <c:tx>
            <c:strRef>
              <c:f>KPIs!$E$1</c:f>
              <c:strCache>
                <c:ptCount val="1"/>
                <c:pt idx="0">
                  <c:v>Total</c:v>
                </c:pt>
              </c:strCache>
            </c:strRef>
          </c:tx>
          <c:spPr>
            <a:ln w="34925" cap="rnd">
              <a:solidFill>
                <a:schemeClr val="tx2">
                  <a:lumMod val="50000"/>
                </a:schemeClr>
              </a:solidFill>
              <a:round/>
            </a:ln>
            <a:effectLst/>
          </c:spPr>
          <c:marker>
            <c:symbol val="none"/>
          </c:marker>
          <c:cat>
            <c:strRef>
              <c:f>KPIs!$D$2:$D$14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KPIs!$E$2:$E$14</c:f>
              <c:numCache>
                <c:formatCode>General</c:formatCode>
                <c:ptCount val="12"/>
                <c:pt idx="0">
                  <c:v>30775.80999999999</c:v>
                </c:pt>
                <c:pt idx="1">
                  <c:v>26446.85999999999</c:v>
                </c:pt>
                <c:pt idx="2">
                  <c:v>26292.469999999994</c:v>
                </c:pt>
                <c:pt idx="3">
                  <c:v>29191.89000000001</c:v>
                </c:pt>
                <c:pt idx="4">
                  <c:v>28306.76999999999</c:v>
                </c:pt>
                <c:pt idx="5">
                  <c:v>28542.190000000002</c:v>
                </c:pt>
                <c:pt idx="6">
                  <c:v>25104.22</c:v>
                </c:pt>
                <c:pt idx="7">
                  <c:v>32803.589999999997</c:v>
                </c:pt>
                <c:pt idx="8">
                  <c:v>30069.350000000002</c:v>
                </c:pt>
                <c:pt idx="9">
                  <c:v>26467.579999999998</c:v>
                </c:pt>
                <c:pt idx="10">
                  <c:v>25108.149999999998</c:v>
                </c:pt>
                <c:pt idx="11">
                  <c:v>35893.79</c:v>
                </c:pt>
              </c:numCache>
            </c:numRef>
          </c:val>
          <c:smooth val="0"/>
          <c:extLst>
            <c:ext xmlns:c16="http://schemas.microsoft.com/office/drawing/2014/chart" uri="{C3380CC4-5D6E-409C-BE32-E72D297353CC}">
              <c16:uniqueId val="{00000000-7D43-41AE-B225-DC110AD0EE1A}"/>
            </c:ext>
          </c:extLst>
        </c:ser>
        <c:dLbls>
          <c:showLegendKey val="0"/>
          <c:showVal val="0"/>
          <c:showCatName val="0"/>
          <c:showSerName val="0"/>
          <c:showPercent val="0"/>
          <c:showBubbleSize val="0"/>
        </c:dLbls>
        <c:smooth val="0"/>
        <c:axId val="826318848"/>
        <c:axId val="826323840"/>
      </c:lineChart>
      <c:catAx>
        <c:axId val="826318848"/>
        <c:scaling>
          <c:orientation val="minMax"/>
        </c:scaling>
        <c:delete val="1"/>
        <c:axPos val="b"/>
        <c:numFmt formatCode="General" sourceLinked="1"/>
        <c:majorTickMark val="none"/>
        <c:minorTickMark val="none"/>
        <c:tickLblPos val="nextTo"/>
        <c:crossAx val="826323840"/>
        <c:crosses val="autoZero"/>
        <c:auto val="1"/>
        <c:lblAlgn val="ctr"/>
        <c:lblOffset val="100"/>
        <c:noMultiLvlLbl val="0"/>
      </c:catAx>
      <c:valAx>
        <c:axId val="826323840"/>
        <c:scaling>
          <c:orientation val="minMax"/>
        </c:scaling>
        <c:delete val="1"/>
        <c:axPos val="l"/>
        <c:numFmt formatCode="General" sourceLinked="1"/>
        <c:majorTickMark val="none"/>
        <c:minorTickMark val="none"/>
        <c:tickLblPos val="nextTo"/>
        <c:crossAx val="8263188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project.xlsx]KPIs!tot profit margin</c:name>
    <c:fmtId val="9"/>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34925" cap="rnd">
            <a:solidFill>
              <a:schemeClr val="tx2">
                <a:lumMod val="50000"/>
              </a:schemeClr>
            </a:solidFill>
            <a:round/>
          </a:ln>
          <a:effectLst/>
        </c:spPr>
        <c:marker>
          <c:symbol val="none"/>
        </c:marker>
      </c:pivotFmt>
      <c:pivotFmt>
        <c:idx val="4"/>
        <c:spPr>
          <a:solidFill>
            <a:schemeClr val="accent1"/>
          </a:solidFill>
          <a:ln w="34925" cap="rnd">
            <a:solidFill>
              <a:schemeClr val="tx2">
                <a:lumMod val="50000"/>
              </a:schemeClr>
            </a:solidFill>
            <a:round/>
          </a:ln>
          <a:effectLst/>
        </c:spPr>
        <c:marker>
          <c:symbol val="none"/>
        </c:marker>
      </c:pivotFmt>
      <c:pivotFmt>
        <c:idx val="5"/>
        <c:spPr>
          <a:ln w="34925" cap="rnd">
            <a:solidFill>
              <a:schemeClr val="tx2">
                <a:lumMod val="50000"/>
              </a:schemeClr>
            </a:solidFill>
            <a:round/>
          </a:ln>
          <a:effectLst/>
        </c:spPr>
        <c:marker>
          <c:symbol val="none"/>
        </c:marker>
      </c:pivotFmt>
    </c:pivotFmts>
    <c:plotArea>
      <c:layout>
        <c:manualLayout>
          <c:layoutTarget val="inner"/>
          <c:xMode val="edge"/>
          <c:yMode val="edge"/>
          <c:x val="5.0909799357400462E-2"/>
          <c:y val="0.21021730587966375"/>
          <c:w val="0.85585239780817224"/>
          <c:h val="0.58904633451098865"/>
        </c:manualLayout>
      </c:layout>
      <c:lineChart>
        <c:grouping val="standard"/>
        <c:varyColors val="0"/>
        <c:ser>
          <c:idx val="0"/>
          <c:order val="0"/>
          <c:tx>
            <c:strRef>
              <c:f>KPIs!$N$1</c:f>
              <c:strCache>
                <c:ptCount val="1"/>
                <c:pt idx="0">
                  <c:v>Total</c:v>
                </c:pt>
              </c:strCache>
            </c:strRef>
          </c:tx>
          <c:spPr>
            <a:ln w="34925" cap="rnd">
              <a:solidFill>
                <a:schemeClr val="tx2">
                  <a:lumMod val="50000"/>
                </a:schemeClr>
              </a:solidFill>
              <a:round/>
            </a:ln>
            <a:effectLst/>
          </c:spPr>
          <c:marker>
            <c:symbol val="none"/>
          </c:marker>
          <c:cat>
            <c:strRef>
              <c:f>KPIs!$M$2:$M$14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KPIs!$N$2:$N$14</c:f>
              <c:numCache>
                <c:formatCode>General</c:formatCode>
                <c:ptCount val="12"/>
                <c:pt idx="0">
                  <c:v>0.23630855441326756</c:v>
                </c:pt>
                <c:pt idx="1">
                  <c:v>0.21434151453298592</c:v>
                </c:pt>
                <c:pt idx="2">
                  <c:v>0.23909290000808414</c:v>
                </c:pt>
                <c:pt idx="3">
                  <c:v>0.23744755282581315</c:v>
                </c:pt>
                <c:pt idx="4">
                  <c:v>0.22375619727572807</c:v>
                </c:pt>
                <c:pt idx="5">
                  <c:v>0.2182715853384446</c:v>
                </c:pt>
                <c:pt idx="6">
                  <c:v>0.24739622290456625</c:v>
                </c:pt>
                <c:pt idx="7">
                  <c:v>0.22755120104750881</c:v>
                </c:pt>
                <c:pt idx="8">
                  <c:v>0.22298563680423752</c:v>
                </c:pt>
                <c:pt idx="9">
                  <c:v>0.20079113021376388</c:v>
                </c:pt>
                <c:pt idx="10">
                  <c:v>0.23171426556946659</c:v>
                </c:pt>
                <c:pt idx="11">
                  <c:v>0.22021532563824717</c:v>
                </c:pt>
              </c:numCache>
            </c:numRef>
          </c:val>
          <c:smooth val="0"/>
          <c:extLst>
            <c:ext xmlns:c16="http://schemas.microsoft.com/office/drawing/2014/chart" uri="{C3380CC4-5D6E-409C-BE32-E72D297353CC}">
              <c16:uniqueId val="{00000000-5547-4FA6-ABDD-7195FFF45CE8}"/>
            </c:ext>
          </c:extLst>
        </c:ser>
        <c:dLbls>
          <c:showLegendKey val="0"/>
          <c:showVal val="0"/>
          <c:showCatName val="0"/>
          <c:showSerName val="0"/>
          <c:showPercent val="0"/>
          <c:showBubbleSize val="0"/>
        </c:dLbls>
        <c:smooth val="0"/>
        <c:axId val="826321344"/>
        <c:axId val="826322592"/>
      </c:lineChart>
      <c:catAx>
        <c:axId val="826321344"/>
        <c:scaling>
          <c:orientation val="minMax"/>
        </c:scaling>
        <c:delete val="1"/>
        <c:axPos val="b"/>
        <c:numFmt formatCode="General" sourceLinked="1"/>
        <c:majorTickMark val="none"/>
        <c:minorTickMark val="none"/>
        <c:tickLblPos val="nextTo"/>
        <c:crossAx val="826322592"/>
        <c:crosses val="autoZero"/>
        <c:auto val="1"/>
        <c:lblAlgn val="ctr"/>
        <c:lblOffset val="100"/>
        <c:noMultiLvlLbl val="0"/>
      </c:catAx>
      <c:valAx>
        <c:axId val="826322592"/>
        <c:scaling>
          <c:orientation val="minMax"/>
        </c:scaling>
        <c:delete val="1"/>
        <c:axPos val="l"/>
        <c:numFmt formatCode="General" sourceLinked="1"/>
        <c:majorTickMark val="none"/>
        <c:minorTickMark val="none"/>
        <c:tickLblPos val="nextTo"/>
        <c:crossAx val="82632134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project.xlsx]pivot tables area!city shipping days</c:name>
    <c:fmtId val="23"/>
  </c:pivotSource>
  <c:chart>
    <c:autoTitleDeleted val="0"/>
    <c:pivotFmts>
      <c:pivotFmt>
        <c:idx val="0"/>
      </c:pivotFmt>
      <c:pivotFmt>
        <c:idx val="1"/>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gradFill>
            <a:gsLst>
              <a:gs pos="82000">
                <a:schemeClr val="accent5">
                  <a:lumMod val="50000"/>
                </a:schemeClr>
              </a:gs>
              <a:gs pos="0">
                <a:schemeClr val="accent5">
                  <a:lumMod val="40000"/>
                  <a:lumOff val="60000"/>
                </a:schemeClr>
              </a:gs>
            </a:gsLst>
            <a:lin ang="5400000" scaled="1"/>
          </a:gradFill>
          <a:ln>
            <a:noFill/>
          </a:ln>
          <a:effectLst/>
        </c:spPr>
        <c:marker>
          <c:symbol val="none"/>
        </c:marker>
      </c:pivotFmt>
      <c:pivotFmt>
        <c:idx val="5"/>
        <c:spPr>
          <a:solidFill>
            <a:schemeClr val="tx2">
              <a:lumMod val="50000"/>
            </a:schemeClr>
          </a:solidFill>
          <a:ln>
            <a:noFill/>
          </a:ln>
          <a:effectLst/>
        </c:spPr>
        <c:marker>
          <c:symbol val="none"/>
        </c:marker>
      </c:pivotFmt>
    </c:pivotFmts>
    <c:plotArea>
      <c:layout/>
      <c:areaChart>
        <c:grouping val="standard"/>
        <c:varyColors val="0"/>
        <c:ser>
          <c:idx val="1"/>
          <c:order val="1"/>
          <c:tx>
            <c:strRef>
              <c:f>'pivot tables area'!$AM$3</c:f>
              <c:strCache>
                <c:ptCount val="1"/>
                <c:pt idx="0">
                  <c:v>Sum of Sales</c:v>
                </c:pt>
              </c:strCache>
            </c:strRef>
          </c:tx>
          <c:spPr>
            <a:gradFill>
              <a:gsLst>
                <a:gs pos="82000">
                  <a:schemeClr val="accent5">
                    <a:lumMod val="50000"/>
                  </a:schemeClr>
                </a:gs>
                <a:gs pos="0">
                  <a:schemeClr val="accent5">
                    <a:lumMod val="40000"/>
                    <a:lumOff val="60000"/>
                  </a:schemeClr>
                </a:gs>
              </a:gsLst>
              <a:lin ang="5400000" scaled="1"/>
            </a:gradFill>
            <a:ln>
              <a:noFill/>
            </a:ln>
            <a:effectLst/>
          </c:spPr>
          <c:cat>
            <c:strRef>
              <c:f>'pivot tables area'!$AK$4:$AK$14</c:f>
              <c:strCache>
                <c:ptCount val="10"/>
                <c:pt idx="0">
                  <c:v>1</c:v>
                </c:pt>
                <c:pt idx="1">
                  <c:v>2</c:v>
                </c:pt>
                <c:pt idx="2">
                  <c:v>3</c:v>
                </c:pt>
                <c:pt idx="3">
                  <c:v>4</c:v>
                </c:pt>
                <c:pt idx="4">
                  <c:v>5</c:v>
                </c:pt>
                <c:pt idx="5">
                  <c:v>6</c:v>
                </c:pt>
                <c:pt idx="6">
                  <c:v>7</c:v>
                </c:pt>
                <c:pt idx="7">
                  <c:v>8</c:v>
                </c:pt>
                <c:pt idx="8">
                  <c:v>9</c:v>
                </c:pt>
                <c:pt idx="9">
                  <c:v>10</c:v>
                </c:pt>
              </c:strCache>
            </c:strRef>
          </c:cat>
          <c:val>
            <c:numRef>
              <c:f>'pivot tables area'!$AM$4:$AM$14</c:f>
              <c:numCache>
                <c:formatCode>General</c:formatCode>
                <c:ptCount val="10"/>
                <c:pt idx="0">
                  <c:v>148867.96999999994</c:v>
                </c:pt>
                <c:pt idx="1">
                  <c:v>140781.32000000007</c:v>
                </c:pt>
                <c:pt idx="2">
                  <c:v>156495.54</c:v>
                </c:pt>
                <c:pt idx="3">
                  <c:v>148691.53000000003</c:v>
                </c:pt>
                <c:pt idx="4">
                  <c:v>167319.15</c:v>
                </c:pt>
                <c:pt idx="5">
                  <c:v>169754.38000000003</c:v>
                </c:pt>
                <c:pt idx="6">
                  <c:v>157259.28000000003</c:v>
                </c:pt>
                <c:pt idx="7">
                  <c:v>143036.89999999991</c:v>
                </c:pt>
                <c:pt idx="8">
                  <c:v>129274.95999999996</c:v>
                </c:pt>
                <c:pt idx="9">
                  <c:v>165971.44999999998</c:v>
                </c:pt>
              </c:numCache>
            </c:numRef>
          </c:val>
          <c:extLst>
            <c:ext xmlns:c16="http://schemas.microsoft.com/office/drawing/2014/chart" uri="{C3380CC4-5D6E-409C-BE32-E72D297353CC}">
              <c16:uniqueId val="{00000000-95ED-4D87-A94B-6B497FEB1F83}"/>
            </c:ext>
          </c:extLst>
        </c:ser>
        <c:dLbls>
          <c:showLegendKey val="0"/>
          <c:showVal val="0"/>
          <c:showCatName val="0"/>
          <c:showSerName val="0"/>
          <c:showPercent val="0"/>
          <c:showBubbleSize val="0"/>
        </c:dLbls>
        <c:axId val="1792540319"/>
        <c:axId val="1792534079"/>
      </c:areaChart>
      <c:barChart>
        <c:barDir val="col"/>
        <c:grouping val="clustered"/>
        <c:varyColors val="0"/>
        <c:ser>
          <c:idx val="0"/>
          <c:order val="0"/>
          <c:tx>
            <c:strRef>
              <c:f>'pivot tables area'!$AL$3</c:f>
              <c:strCache>
                <c:ptCount val="1"/>
                <c:pt idx="0">
                  <c:v>Sum of Profit</c:v>
                </c:pt>
              </c:strCache>
            </c:strRef>
          </c:tx>
          <c:spPr>
            <a:solidFill>
              <a:schemeClr val="tx2">
                <a:lumMod val="50000"/>
              </a:schemeClr>
            </a:solidFill>
            <a:ln>
              <a:noFill/>
            </a:ln>
            <a:effectLst/>
          </c:spPr>
          <c:invertIfNegative val="0"/>
          <c:cat>
            <c:strRef>
              <c:f>'pivot tables area'!$AK$4:$AK$14</c:f>
              <c:strCache>
                <c:ptCount val="10"/>
                <c:pt idx="0">
                  <c:v>1</c:v>
                </c:pt>
                <c:pt idx="1">
                  <c:v>2</c:v>
                </c:pt>
                <c:pt idx="2">
                  <c:v>3</c:v>
                </c:pt>
                <c:pt idx="3">
                  <c:v>4</c:v>
                </c:pt>
                <c:pt idx="4">
                  <c:v>5</c:v>
                </c:pt>
                <c:pt idx="5">
                  <c:v>6</c:v>
                </c:pt>
                <c:pt idx="6">
                  <c:v>7</c:v>
                </c:pt>
                <c:pt idx="7">
                  <c:v>8</c:v>
                </c:pt>
                <c:pt idx="8">
                  <c:v>9</c:v>
                </c:pt>
                <c:pt idx="9">
                  <c:v>10</c:v>
                </c:pt>
              </c:strCache>
            </c:strRef>
          </c:cat>
          <c:val>
            <c:numRef>
              <c:f>'pivot tables area'!$AL$4:$AL$14</c:f>
              <c:numCache>
                <c:formatCode>0.0</c:formatCode>
                <c:ptCount val="10"/>
                <c:pt idx="0">
                  <c:v>35516.229999999996</c:v>
                </c:pt>
                <c:pt idx="1">
                  <c:v>33028.94</c:v>
                </c:pt>
                <c:pt idx="2">
                  <c:v>34342.74</c:v>
                </c:pt>
                <c:pt idx="3">
                  <c:v>32504.460000000003</c:v>
                </c:pt>
                <c:pt idx="4">
                  <c:v>35683.350000000013</c:v>
                </c:pt>
                <c:pt idx="5">
                  <c:v>40261.389999999992</c:v>
                </c:pt>
                <c:pt idx="6">
                  <c:v>34873.509999999995</c:v>
                </c:pt>
                <c:pt idx="7">
                  <c:v>32713.349999999991</c:v>
                </c:pt>
                <c:pt idx="8">
                  <c:v>29612.079999999994</c:v>
                </c:pt>
                <c:pt idx="9">
                  <c:v>36466.620000000003</c:v>
                </c:pt>
              </c:numCache>
            </c:numRef>
          </c:val>
          <c:extLst>
            <c:ext xmlns:c16="http://schemas.microsoft.com/office/drawing/2014/chart" uri="{C3380CC4-5D6E-409C-BE32-E72D297353CC}">
              <c16:uniqueId val="{00000001-95ED-4D87-A94B-6B497FEB1F83}"/>
            </c:ext>
          </c:extLst>
        </c:ser>
        <c:dLbls>
          <c:showLegendKey val="0"/>
          <c:showVal val="0"/>
          <c:showCatName val="0"/>
          <c:showSerName val="0"/>
          <c:showPercent val="0"/>
          <c:showBubbleSize val="0"/>
        </c:dLbls>
        <c:gapWidth val="158"/>
        <c:axId val="1792537823"/>
        <c:axId val="1792528255"/>
      </c:barChart>
      <c:valAx>
        <c:axId val="179252825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noFill/>
              <a:round/>
            </a:ln>
            <a:effectLst/>
          </c:spPr>
        </c:minorGridlines>
        <c:numFmt formatCode="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lumMod val="60000"/>
                    <a:lumOff val="40000"/>
                  </a:schemeClr>
                </a:solidFill>
                <a:latin typeface="+mn-lt"/>
                <a:ea typeface="+mn-ea"/>
                <a:cs typeface="+mn-cs"/>
              </a:defRPr>
            </a:pPr>
            <a:endParaRPr lang="en-US"/>
          </a:p>
        </c:txPr>
        <c:crossAx val="1792537823"/>
        <c:crosses val="autoZero"/>
        <c:crossBetween val="between"/>
      </c:valAx>
      <c:catAx>
        <c:axId val="17925378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0" normalizeH="0" baseline="0">
                <a:solidFill>
                  <a:schemeClr val="bg1"/>
                </a:solidFill>
                <a:latin typeface="+mn-lt"/>
                <a:ea typeface="+mn-ea"/>
                <a:cs typeface="+mn-cs"/>
              </a:defRPr>
            </a:pPr>
            <a:endParaRPr lang="en-US"/>
          </a:p>
        </c:txPr>
        <c:crossAx val="1792528255"/>
        <c:crosses val="autoZero"/>
        <c:auto val="1"/>
        <c:lblAlgn val="ctr"/>
        <c:lblOffset val="100"/>
        <c:noMultiLvlLbl val="0"/>
      </c:catAx>
      <c:valAx>
        <c:axId val="1792534079"/>
        <c:scaling>
          <c:orientation val="minMax"/>
        </c:scaling>
        <c:delete val="0"/>
        <c:axPos val="r"/>
        <c:numFmt formatCode="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lumMod val="40000"/>
                    <a:lumOff val="60000"/>
                  </a:schemeClr>
                </a:solidFill>
                <a:latin typeface="+mn-lt"/>
                <a:ea typeface="+mn-ea"/>
                <a:cs typeface="+mn-cs"/>
              </a:defRPr>
            </a:pPr>
            <a:endParaRPr lang="en-US"/>
          </a:p>
        </c:txPr>
        <c:crossAx val="1792540319"/>
        <c:crosses val="max"/>
        <c:crossBetween val="between"/>
      </c:valAx>
      <c:catAx>
        <c:axId val="1792540319"/>
        <c:scaling>
          <c:orientation val="minMax"/>
        </c:scaling>
        <c:delete val="1"/>
        <c:axPos val="b"/>
        <c:numFmt formatCode="General" sourceLinked="1"/>
        <c:majorTickMark val="out"/>
        <c:minorTickMark val="none"/>
        <c:tickLblPos val="nextTo"/>
        <c:crossAx val="1792534079"/>
        <c:crosses val="autoZero"/>
        <c:auto val="1"/>
        <c:lblAlgn val="ctr"/>
        <c:lblOffset val="100"/>
        <c:noMultiLvlLbl val="0"/>
      </c:catAx>
      <c:spPr>
        <a:noFill/>
        <a:ln>
          <a:noFill/>
        </a:ln>
        <a:effectLst/>
      </c:spPr>
    </c:plotArea>
    <c:legend>
      <c:legendPos val="t"/>
      <c:layout>
        <c:manualLayout>
          <c:xMode val="edge"/>
          <c:yMode val="edge"/>
          <c:x val="0.31045587462912005"/>
          <c:y val="6.2725454680971238E-2"/>
          <c:w val="0.48246141249077679"/>
          <c:h val="9.9815983579643358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x:chartSpace xmlns:a="http://schemas.openxmlformats.org/drawingml/2006/main" xmlns:r="http://schemas.openxmlformats.org/officeDocument/2006/relationships" xmlns:cx="http://schemas.microsoft.com/office/drawing/2014/chartex">
  <cx:chartData>
    <cx:data id="0">
      <cx:strDim type="cat">
        <cx:f>_xlchart.6</cx:f>
      </cx:strDim>
      <cx:numDim type="val">
        <cx:f>_xlchart.8</cx:f>
      </cx:numDim>
    </cx:data>
  </cx:chartData>
  <cx:chart>
    <cx:plotArea>
      <cx:plotAreaRegion>
        <cx:series layoutId="waterfall" uniqueId="{02297CA6-636D-4760-9CD4-38566F43519D}">
          <cx:tx>
            <cx:txData>
              <cx:f>_xlchart.7</cx:f>
              <cx:v>Sum of Profit</cx:v>
            </cx:txData>
          </cx:tx>
          <cx:spPr>
            <a:gradFill>
              <a:gsLst>
                <a:gs pos="82000">
                  <a:schemeClr val="bg2">
                    <a:lumMod val="10000"/>
                  </a:schemeClr>
                </a:gs>
                <a:gs pos="0">
                  <a:schemeClr val="bg2">
                    <a:lumMod val="75000"/>
                  </a:schemeClr>
                </a:gs>
              </a:gsLst>
              <a:lin ang="5400000" scaled="1"/>
            </a:gradFill>
          </cx:spPr>
          <cx:dataLabels pos="outEnd">
            <cx:numFmt formatCode="0, &quot;k&quot;" sourceLinked="0"/>
            <cx:txPr>
              <a:bodyPr spcFirstLastPara="1" vertOverflow="ellipsis" wrap="square" lIns="0" tIns="0" rIns="0" bIns="0" anchor="ctr" anchorCtr="1">
                <a:spAutoFit/>
              </a:bodyPr>
              <a:lstStyle/>
              <a:p>
                <a:pPr>
                  <a:defRPr b="1">
                    <a:solidFill>
                      <a:schemeClr val="bg1"/>
                    </a:solidFill>
                  </a:defRPr>
                </a:pPr>
                <a:endParaRPr lang="en-US" b="1">
                  <a:solidFill>
                    <a:schemeClr val="bg1"/>
                  </a:solidFill>
                </a:endParaRPr>
              </a:p>
            </cx:txPr>
            <cx:visibility seriesName="0" categoryName="0" value="1"/>
            <cx:separator>, </cx:separator>
          </cx:dataLabels>
          <cx:dataId val="0"/>
          <cx:layoutPr>
            <cx:subtotals/>
          </cx:layoutPr>
        </cx:series>
      </cx:plotAreaRegion>
      <cx:axis id="0">
        <cx:catScaling gapWidth="0.5"/>
        <cx:tickLabels/>
        <cx:txPr>
          <a:bodyPr spcFirstLastPara="1" vertOverflow="ellipsis" wrap="square" lIns="0" tIns="0" rIns="0" bIns="0" anchor="ctr" anchorCtr="1"/>
          <a:lstStyle/>
          <a:p>
            <a:pPr>
              <a:defRPr sz="1000" b="1">
                <a:solidFill>
                  <a:schemeClr val="bg1"/>
                </a:solidFill>
              </a:defRPr>
            </a:pPr>
            <a:endParaRPr lang="en-US" sz="1000" b="1">
              <a:solidFill>
                <a:schemeClr val="bg1"/>
              </a:solidFill>
            </a:endParaRPr>
          </a:p>
        </cx:txPr>
      </cx:axis>
      <cx:axis id="1" hidden="1">
        <cx:valScaling/>
        <cx:tickLabels/>
        <cx:numFmt formatCode="0, &quot;k&quot;" sourceLinked="0"/>
        <cx:txPr>
          <a:bodyPr spcFirstLastPara="1" vertOverflow="ellipsis" wrap="square" lIns="0" tIns="0" rIns="0" bIns="0" anchor="ctr" anchorCtr="1"/>
          <a:lstStyle/>
          <a:p>
            <a:pPr>
              <a:defRPr>
                <a:solidFill>
                  <a:schemeClr val="bg1"/>
                </a:solidFill>
              </a:defRPr>
            </a:pPr>
            <a:endParaRPr lang="en-US">
              <a:solidFill>
                <a:schemeClr val="bg1"/>
              </a:solidFill>
            </a:endParaRPr>
          </a:p>
        </cx:txPr>
      </cx:axis>
    </cx:plotArea>
  </cx:chart>
  <cx:spPr>
    <a:noFill/>
    <a:ln>
      <a:noFill/>
    </a:ln>
  </cx:spPr>
  <cx:printSettings>
    <cx:headerFooter alignWithMargins="1" differentOddEven="0" differentFirst="0"/>
    <cx:pageMargins l="0.69999999999999996" r="0.69999999999999996" t="0.75" b="0.75" header="0.29999999999999999" footer="0.29999999999999999"/>
    <cx:pageSetup paperSize="1" firstPageNumber="1" orientation="default" blackAndWhite="0" draft="0" useFirstPageNumber="0" horizontalDpi="600" verticalDpi="600" copies="1"/>
  </cx:printSettings>
</cx: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project.xlsx]pivot tables area!city profit margin</c:name>
    <c:fmtId val="19"/>
  </c:pivotSource>
  <c:chart>
    <c:autoTitleDeleted val="1"/>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gradFill>
            <a:gsLst>
              <a:gs pos="82000">
                <a:schemeClr val="tx2">
                  <a:lumMod val="50000"/>
                </a:schemeClr>
              </a:gs>
              <a:gs pos="0">
                <a:schemeClr val="bg2">
                  <a:lumMod val="75000"/>
                </a:schemeClr>
              </a:gs>
            </a:gsLst>
            <a:lin ang="5400000" scaled="1"/>
          </a:gra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76836191425819"/>
          <c:y val="0.13315108585609534"/>
          <c:w val="0.77207962028819754"/>
          <c:h val="0.69449860448335543"/>
        </c:manualLayout>
      </c:layout>
      <c:bar3DChart>
        <c:barDir val="bar"/>
        <c:grouping val="clustered"/>
        <c:varyColors val="0"/>
        <c:ser>
          <c:idx val="0"/>
          <c:order val="0"/>
          <c:tx>
            <c:strRef>
              <c:f>'pivot tables area'!$AL$64</c:f>
              <c:strCache>
                <c:ptCount val="1"/>
                <c:pt idx="0">
                  <c:v>Total</c:v>
                </c:pt>
              </c:strCache>
            </c:strRef>
          </c:tx>
          <c:spPr>
            <a:gradFill>
              <a:gsLst>
                <a:gs pos="82000">
                  <a:schemeClr val="tx2">
                    <a:lumMod val="50000"/>
                  </a:schemeClr>
                </a:gs>
                <a:gs pos="0">
                  <a:schemeClr val="bg2">
                    <a:lumMod val="75000"/>
                  </a:schemeClr>
                </a:gs>
              </a:gsLst>
              <a:lin ang="54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 area'!$AK$65:$AK$73</c:f>
              <c:strCache>
                <c:ptCount val="8"/>
                <c:pt idx="0">
                  <c:v>Toronto</c:v>
                </c:pt>
                <c:pt idx="1">
                  <c:v>Delhi</c:v>
                </c:pt>
                <c:pt idx="2">
                  <c:v>London</c:v>
                </c:pt>
                <c:pt idx="3">
                  <c:v>New York</c:v>
                </c:pt>
                <c:pt idx="4">
                  <c:v>Dubai</c:v>
                </c:pt>
                <c:pt idx="5">
                  <c:v>Mumbai</c:v>
                </c:pt>
                <c:pt idx="6">
                  <c:v>Berlin</c:v>
                </c:pt>
                <c:pt idx="7">
                  <c:v>Paris</c:v>
                </c:pt>
              </c:strCache>
            </c:strRef>
          </c:cat>
          <c:val>
            <c:numRef>
              <c:f>'pivot tables area'!$AL$65:$AL$73</c:f>
              <c:numCache>
                <c:formatCode>0.00%</c:formatCode>
                <c:ptCount val="8"/>
                <c:pt idx="0">
                  <c:v>0.21907463035292654</c:v>
                </c:pt>
                <c:pt idx="1">
                  <c:v>0.22087476465324929</c:v>
                </c:pt>
                <c:pt idx="2">
                  <c:v>0.22174487739867846</c:v>
                </c:pt>
                <c:pt idx="3">
                  <c:v>0.22294047562312344</c:v>
                </c:pt>
                <c:pt idx="4">
                  <c:v>0.22642043855439994</c:v>
                </c:pt>
                <c:pt idx="5">
                  <c:v>0.23058873821914247</c:v>
                </c:pt>
                <c:pt idx="6">
                  <c:v>0.23079414632664749</c:v>
                </c:pt>
                <c:pt idx="7">
                  <c:v>0.23527648751250843</c:v>
                </c:pt>
              </c:numCache>
            </c:numRef>
          </c:val>
          <c:extLst>
            <c:ext xmlns:c16="http://schemas.microsoft.com/office/drawing/2014/chart" uri="{C3380CC4-5D6E-409C-BE32-E72D297353CC}">
              <c16:uniqueId val="{00000000-BE82-49DC-AD87-F8ADCE6C9D9C}"/>
            </c:ext>
          </c:extLst>
        </c:ser>
        <c:dLbls>
          <c:showLegendKey val="0"/>
          <c:showVal val="1"/>
          <c:showCatName val="0"/>
          <c:showSerName val="0"/>
          <c:showPercent val="0"/>
          <c:showBubbleSize val="0"/>
        </c:dLbls>
        <c:gapWidth val="150"/>
        <c:shape val="box"/>
        <c:axId val="1604223439"/>
        <c:axId val="1604224271"/>
        <c:axId val="0"/>
      </c:bar3DChart>
      <c:catAx>
        <c:axId val="16042234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04224271"/>
        <c:crosses val="autoZero"/>
        <c:auto val="1"/>
        <c:lblAlgn val="ctr"/>
        <c:lblOffset val="100"/>
        <c:noMultiLvlLbl val="0"/>
      </c:catAx>
      <c:valAx>
        <c:axId val="1604224271"/>
        <c:scaling>
          <c:orientation val="minMax"/>
        </c:scaling>
        <c:delete val="1"/>
        <c:axPos val="b"/>
        <c:majorGridlines>
          <c:spPr>
            <a:ln w="9525" cap="flat" cmpd="sng" algn="ctr">
              <a:noFill/>
              <a:round/>
            </a:ln>
            <a:effectLst/>
          </c:spPr>
        </c:majorGridlines>
        <c:numFmt formatCode="0.00%" sourceLinked="1"/>
        <c:majorTickMark val="none"/>
        <c:minorTickMark val="none"/>
        <c:tickLblPos val="nextTo"/>
        <c:crossAx val="160422343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project.xlsx]pivot tables area!city channel wise category</c:name>
    <c:fmtId val="2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layout/>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solidFill>
          <a:ln>
            <a:noFill/>
          </a:ln>
          <a:effectLst/>
        </c:spPr>
        <c:marker>
          <c:symbol val="none"/>
        </c:marker>
        <c:dLbl>
          <c:idx val="0"/>
          <c:layout/>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4">
              <a:lumMod val="75000"/>
            </a:schemeClr>
          </a:solidFill>
          <a:ln>
            <a:noFill/>
          </a:ln>
          <a:effectLst/>
        </c:spPr>
        <c:marker>
          <c:symbol val="none"/>
        </c:marker>
        <c:dLbl>
          <c:idx val="0"/>
          <c:layout/>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percentStacked"/>
        <c:varyColors val="0"/>
        <c:ser>
          <c:idx val="0"/>
          <c:order val="0"/>
          <c:tx>
            <c:strRef>
              <c:f>'pivot tables area'!$AQ$220:$AQ$221</c:f>
              <c:strCache>
                <c:ptCount val="1"/>
                <c:pt idx="0">
                  <c:v>Marketplace</c:v>
                </c:pt>
              </c:strCache>
            </c:strRef>
          </c:tx>
          <c:spPr>
            <a:solidFill>
              <a:schemeClr val="accent1"/>
            </a:solidFill>
            <a:ln>
              <a:noFill/>
            </a:ln>
            <a:effectLst/>
          </c:spPr>
          <c:invertIfNegative val="0"/>
          <c:dLbls>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 area'!$AP$222:$AP$230</c:f>
              <c:strCache>
                <c:ptCount val="8"/>
                <c:pt idx="0">
                  <c:v>Berlin</c:v>
                </c:pt>
                <c:pt idx="1">
                  <c:v>Delhi</c:v>
                </c:pt>
                <c:pt idx="2">
                  <c:v>Dubai</c:v>
                </c:pt>
                <c:pt idx="3">
                  <c:v>London</c:v>
                </c:pt>
                <c:pt idx="4">
                  <c:v>Mumbai</c:v>
                </c:pt>
                <c:pt idx="5">
                  <c:v>New York</c:v>
                </c:pt>
                <c:pt idx="6">
                  <c:v>Paris</c:v>
                </c:pt>
                <c:pt idx="7">
                  <c:v>Toronto</c:v>
                </c:pt>
              </c:strCache>
            </c:strRef>
          </c:cat>
          <c:val>
            <c:numRef>
              <c:f>'pivot tables area'!$AQ$222:$AQ$230</c:f>
              <c:numCache>
                <c:formatCode>General</c:formatCode>
                <c:ptCount val="8"/>
                <c:pt idx="0">
                  <c:v>63615.07</c:v>
                </c:pt>
                <c:pt idx="1">
                  <c:v>60935.810000000012</c:v>
                </c:pt>
                <c:pt idx="2">
                  <c:v>61893.329999999987</c:v>
                </c:pt>
                <c:pt idx="3">
                  <c:v>54627.619999999988</c:v>
                </c:pt>
                <c:pt idx="4">
                  <c:v>57788.73000000001</c:v>
                </c:pt>
                <c:pt idx="5">
                  <c:v>69944.209999999992</c:v>
                </c:pt>
                <c:pt idx="6">
                  <c:v>58714.47</c:v>
                </c:pt>
                <c:pt idx="7">
                  <c:v>85647.889999999985</c:v>
                </c:pt>
              </c:numCache>
            </c:numRef>
          </c:val>
          <c:extLst>
            <c:ext xmlns:c16="http://schemas.microsoft.com/office/drawing/2014/chart" uri="{C3380CC4-5D6E-409C-BE32-E72D297353CC}">
              <c16:uniqueId val="{00000000-BB03-4999-8D59-302712C6E9BE}"/>
            </c:ext>
          </c:extLst>
        </c:ser>
        <c:ser>
          <c:idx val="1"/>
          <c:order val="1"/>
          <c:tx>
            <c:strRef>
              <c:f>'pivot tables area'!$AR$220:$AR$221</c:f>
              <c:strCache>
                <c:ptCount val="1"/>
                <c:pt idx="0">
                  <c:v>Mobile App</c:v>
                </c:pt>
              </c:strCache>
            </c:strRef>
          </c:tx>
          <c:spPr>
            <a:solidFill>
              <a:schemeClr val="accent2"/>
            </a:solidFill>
            <a:ln>
              <a:noFill/>
            </a:ln>
            <a:effectLst/>
          </c:spPr>
          <c:invertIfNegative val="0"/>
          <c:dLbls>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 area'!$AP$222:$AP$230</c:f>
              <c:strCache>
                <c:ptCount val="8"/>
                <c:pt idx="0">
                  <c:v>Berlin</c:v>
                </c:pt>
                <c:pt idx="1">
                  <c:v>Delhi</c:v>
                </c:pt>
                <c:pt idx="2">
                  <c:v>Dubai</c:v>
                </c:pt>
                <c:pt idx="3">
                  <c:v>London</c:v>
                </c:pt>
                <c:pt idx="4">
                  <c:v>Mumbai</c:v>
                </c:pt>
                <c:pt idx="5">
                  <c:v>New York</c:v>
                </c:pt>
                <c:pt idx="6">
                  <c:v>Paris</c:v>
                </c:pt>
                <c:pt idx="7">
                  <c:v>Toronto</c:v>
                </c:pt>
              </c:strCache>
            </c:strRef>
          </c:cat>
          <c:val>
            <c:numRef>
              <c:f>'pivot tables area'!$AR$222:$AR$230</c:f>
              <c:numCache>
                <c:formatCode>General</c:formatCode>
                <c:ptCount val="8"/>
                <c:pt idx="0">
                  <c:v>74265.440000000002</c:v>
                </c:pt>
                <c:pt idx="1">
                  <c:v>77098.199999999983</c:v>
                </c:pt>
                <c:pt idx="2">
                  <c:v>56431.879999999983</c:v>
                </c:pt>
                <c:pt idx="3">
                  <c:v>73792.220000000016</c:v>
                </c:pt>
                <c:pt idx="4">
                  <c:v>48518.720000000008</c:v>
                </c:pt>
                <c:pt idx="5">
                  <c:v>65272.479999999981</c:v>
                </c:pt>
                <c:pt idx="6">
                  <c:v>59224.199999999983</c:v>
                </c:pt>
                <c:pt idx="7">
                  <c:v>45887.900000000009</c:v>
                </c:pt>
              </c:numCache>
            </c:numRef>
          </c:val>
          <c:extLst>
            <c:ext xmlns:c16="http://schemas.microsoft.com/office/drawing/2014/chart" uri="{C3380CC4-5D6E-409C-BE32-E72D297353CC}">
              <c16:uniqueId val="{00000000-DCD0-4B96-BDA9-B3B8BE34CED7}"/>
            </c:ext>
          </c:extLst>
        </c:ser>
        <c:ser>
          <c:idx val="2"/>
          <c:order val="2"/>
          <c:tx>
            <c:strRef>
              <c:f>'pivot tables area'!$AS$220:$AS$221</c:f>
              <c:strCache>
                <c:ptCount val="1"/>
                <c:pt idx="0">
                  <c:v>Website</c:v>
                </c:pt>
              </c:strCache>
            </c:strRef>
          </c:tx>
          <c:spPr>
            <a:solidFill>
              <a:schemeClr val="accent4">
                <a:lumMod val="75000"/>
              </a:schemeClr>
            </a:solidFill>
            <a:ln>
              <a:noFill/>
            </a:ln>
            <a:effectLst/>
          </c:spPr>
          <c:invertIfNegative val="0"/>
          <c:dLbls>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 area'!$AP$222:$AP$230</c:f>
              <c:strCache>
                <c:ptCount val="8"/>
                <c:pt idx="0">
                  <c:v>Berlin</c:v>
                </c:pt>
                <c:pt idx="1">
                  <c:v>Delhi</c:v>
                </c:pt>
                <c:pt idx="2">
                  <c:v>Dubai</c:v>
                </c:pt>
                <c:pt idx="3">
                  <c:v>London</c:v>
                </c:pt>
                <c:pt idx="4">
                  <c:v>Mumbai</c:v>
                </c:pt>
                <c:pt idx="5">
                  <c:v>New York</c:v>
                </c:pt>
                <c:pt idx="6">
                  <c:v>Paris</c:v>
                </c:pt>
                <c:pt idx="7">
                  <c:v>Toronto</c:v>
                </c:pt>
              </c:strCache>
            </c:strRef>
          </c:cat>
          <c:val>
            <c:numRef>
              <c:f>'pivot tables area'!$AS$222:$AS$230</c:f>
              <c:numCache>
                <c:formatCode>General</c:formatCode>
                <c:ptCount val="8"/>
                <c:pt idx="0">
                  <c:v>88638.450000000012</c:v>
                </c:pt>
                <c:pt idx="1">
                  <c:v>55000.31</c:v>
                </c:pt>
                <c:pt idx="2">
                  <c:v>76030.61</c:v>
                </c:pt>
                <c:pt idx="3">
                  <c:v>53105.120000000003</c:v>
                </c:pt>
                <c:pt idx="4">
                  <c:v>48785.250000000015</c:v>
                </c:pt>
                <c:pt idx="5">
                  <c:v>64121.81</c:v>
                </c:pt>
                <c:pt idx="6">
                  <c:v>61399.990000000005</c:v>
                </c:pt>
                <c:pt idx="7">
                  <c:v>66712.769999999975</c:v>
                </c:pt>
              </c:numCache>
            </c:numRef>
          </c:val>
          <c:extLst>
            <c:ext xmlns:c16="http://schemas.microsoft.com/office/drawing/2014/chart" uri="{C3380CC4-5D6E-409C-BE32-E72D297353CC}">
              <c16:uniqueId val="{00000001-DCD0-4B96-BDA9-B3B8BE34CED7}"/>
            </c:ext>
          </c:extLst>
        </c:ser>
        <c:dLbls>
          <c:showLegendKey val="0"/>
          <c:showVal val="0"/>
          <c:showCatName val="0"/>
          <c:showSerName val="0"/>
          <c:showPercent val="0"/>
          <c:showBubbleSize val="0"/>
        </c:dLbls>
        <c:gapWidth val="150"/>
        <c:overlap val="100"/>
        <c:axId val="1604215535"/>
        <c:axId val="1604195983"/>
      </c:barChart>
      <c:catAx>
        <c:axId val="1604215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04195983"/>
        <c:crosses val="autoZero"/>
        <c:auto val="1"/>
        <c:lblAlgn val="ctr"/>
        <c:lblOffset val="100"/>
        <c:noMultiLvlLbl val="0"/>
      </c:catAx>
      <c:valAx>
        <c:axId val="1604195983"/>
        <c:scaling>
          <c:orientation val="minMax"/>
        </c:scaling>
        <c:delete val="0"/>
        <c:axPos val="b"/>
        <c:majorGridlines>
          <c:spPr>
            <a:ln w="9525" cap="flat" cmpd="sng" algn="ctr">
              <a:solidFill>
                <a:schemeClr val="bg2">
                  <a:lumMod val="2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04215535"/>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project.xlsx]pivot tables area!city category wise quantity</c:name>
    <c:fmtId val="26"/>
  </c:pivotSource>
  <c:chart>
    <c:autoTitleDeleted val="1"/>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4">
              <a:lumMod val="20000"/>
              <a:lumOff val="8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4">
              <a:lumMod val="20000"/>
              <a:lumOff val="80000"/>
            </a:schemeClr>
          </a:solidFill>
          <a:ln>
            <a:noFill/>
          </a:ln>
          <a:effectLst/>
        </c:spPr>
      </c:pivotFmt>
      <c:pivotFmt>
        <c:idx val="6"/>
        <c:spPr>
          <a:solidFill>
            <a:schemeClr val="accent4">
              <a:lumMod val="20000"/>
              <a:lumOff val="80000"/>
            </a:schemeClr>
          </a:solidFill>
          <a:ln>
            <a:noFill/>
          </a:ln>
          <a:effectLst/>
        </c:spPr>
      </c:pivotFmt>
    </c:pivotFmts>
    <c:plotArea>
      <c:layout>
        <c:manualLayout>
          <c:layoutTarget val="inner"/>
          <c:xMode val="edge"/>
          <c:yMode val="edge"/>
          <c:x val="7.1598708685894158E-2"/>
          <c:y val="8.8693916274232343E-2"/>
          <c:w val="0.8731090150355808"/>
          <c:h val="0.59679025795908369"/>
        </c:manualLayout>
      </c:layout>
      <c:barChart>
        <c:barDir val="col"/>
        <c:grouping val="clustered"/>
        <c:varyColors val="0"/>
        <c:ser>
          <c:idx val="0"/>
          <c:order val="0"/>
          <c:tx>
            <c:strRef>
              <c:f>'pivot tables area'!$AQ$202</c:f>
              <c:strCache>
                <c:ptCount val="1"/>
                <c:pt idx="0">
                  <c:v>Total</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 area'!$AP$203:$AP$208</c:f>
              <c:strCache>
                <c:ptCount val="5"/>
                <c:pt idx="0">
                  <c:v>Beauty</c:v>
                </c:pt>
                <c:pt idx="1">
                  <c:v>Electronics</c:v>
                </c:pt>
                <c:pt idx="2">
                  <c:v>Fashion</c:v>
                </c:pt>
                <c:pt idx="3">
                  <c:v>Home</c:v>
                </c:pt>
                <c:pt idx="4">
                  <c:v>Sports</c:v>
                </c:pt>
              </c:strCache>
            </c:strRef>
          </c:cat>
          <c:val>
            <c:numRef>
              <c:f>'pivot tables area'!$AQ$203:$AQ$208</c:f>
              <c:numCache>
                <c:formatCode>General</c:formatCode>
                <c:ptCount val="5"/>
                <c:pt idx="0">
                  <c:v>586</c:v>
                </c:pt>
                <c:pt idx="1">
                  <c:v>560</c:v>
                </c:pt>
                <c:pt idx="2">
                  <c:v>644</c:v>
                </c:pt>
                <c:pt idx="3">
                  <c:v>576</c:v>
                </c:pt>
                <c:pt idx="4">
                  <c:v>597</c:v>
                </c:pt>
              </c:numCache>
            </c:numRef>
          </c:val>
          <c:extLst>
            <c:ext xmlns:c16="http://schemas.microsoft.com/office/drawing/2014/chart" uri="{C3380CC4-5D6E-409C-BE32-E72D297353CC}">
              <c16:uniqueId val="{00000000-C9A7-4C5E-A132-ED0C7D74A94E}"/>
            </c:ext>
          </c:extLst>
        </c:ser>
        <c:dLbls>
          <c:showLegendKey val="0"/>
          <c:showVal val="0"/>
          <c:showCatName val="0"/>
          <c:showSerName val="0"/>
          <c:showPercent val="0"/>
          <c:showBubbleSize val="0"/>
        </c:dLbls>
        <c:gapWidth val="96"/>
        <c:axId val="1604168111"/>
        <c:axId val="1604173519"/>
      </c:barChart>
      <c:catAx>
        <c:axId val="1604168111"/>
        <c:scaling>
          <c:orientation val="minMax"/>
        </c:scaling>
        <c:delete val="0"/>
        <c:axPos val="b"/>
        <c:numFmt formatCode="General" sourceLinked="1"/>
        <c:majorTickMark val="none"/>
        <c:minorTickMark val="none"/>
        <c:tickLblPos val="nextTo"/>
        <c:spPr>
          <a:noFill/>
          <a:ln>
            <a:solidFill>
              <a:schemeClr val="accent1">
                <a:shade val="50000"/>
              </a:schemeClr>
            </a:solid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04173519"/>
        <c:crosses val="autoZero"/>
        <c:auto val="1"/>
        <c:lblAlgn val="ctr"/>
        <c:lblOffset val="100"/>
        <c:noMultiLvlLbl val="0"/>
      </c:catAx>
      <c:valAx>
        <c:axId val="1604173519"/>
        <c:scaling>
          <c:orientation val="minMax"/>
        </c:scaling>
        <c:delete val="1"/>
        <c:axPos val="l"/>
        <c:numFmt formatCode="General" sourceLinked="1"/>
        <c:majorTickMark val="none"/>
        <c:minorTickMark val="none"/>
        <c:tickLblPos val="nextTo"/>
        <c:crossAx val="160416811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project.xlsx]pivot tables area!city avg shipping days</c:name>
    <c:fmtId val="38"/>
  </c:pivotSource>
  <c:chart>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28575" cap="rnd">
            <a:solidFill>
              <a:schemeClr val="accent1"/>
            </a:solidFill>
            <a:round/>
          </a:ln>
          <a:effectLst/>
        </c:spPr>
        <c:marker>
          <c:symbol val="none"/>
        </c:marker>
      </c:pivotFmt>
    </c:pivotFmts>
    <c:plotArea>
      <c:layout/>
      <c:barChart>
        <c:barDir val="col"/>
        <c:grouping val="clustered"/>
        <c:varyColors val="0"/>
        <c:ser>
          <c:idx val="0"/>
          <c:order val="0"/>
          <c:tx>
            <c:strRef>
              <c:f>'pivot tables area'!$AL$101</c:f>
              <c:strCache>
                <c:ptCount val="1"/>
                <c:pt idx="0">
                  <c:v>Average of ShippingDays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 area'!$AK$102:$AK$110</c:f>
              <c:strCache>
                <c:ptCount val="8"/>
                <c:pt idx="0">
                  <c:v>Berlin</c:v>
                </c:pt>
                <c:pt idx="1">
                  <c:v>Delhi</c:v>
                </c:pt>
                <c:pt idx="2">
                  <c:v>Dubai</c:v>
                </c:pt>
                <c:pt idx="3">
                  <c:v>London</c:v>
                </c:pt>
                <c:pt idx="4">
                  <c:v>Mumbai</c:v>
                </c:pt>
                <c:pt idx="5">
                  <c:v>New York</c:v>
                </c:pt>
                <c:pt idx="6">
                  <c:v>Paris</c:v>
                </c:pt>
                <c:pt idx="7">
                  <c:v>Toronto</c:v>
                </c:pt>
              </c:strCache>
            </c:strRef>
          </c:cat>
          <c:val>
            <c:numRef>
              <c:f>'pivot tables area'!$AL$102:$AL$110</c:f>
              <c:numCache>
                <c:formatCode>0.00</c:formatCode>
                <c:ptCount val="8"/>
                <c:pt idx="0">
                  <c:v>5.577464788732394</c:v>
                </c:pt>
                <c:pt idx="1">
                  <c:v>5.6461538461538465</c:v>
                </c:pt>
                <c:pt idx="2">
                  <c:v>5.4545454545454541</c:v>
                </c:pt>
                <c:pt idx="3">
                  <c:v>5.3613445378151257</c:v>
                </c:pt>
                <c:pt idx="4">
                  <c:v>5.5135135135135132</c:v>
                </c:pt>
                <c:pt idx="5">
                  <c:v>5.9701492537313436</c:v>
                </c:pt>
                <c:pt idx="6">
                  <c:v>5.3739130434782609</c:v>
                </c:pt>
                <c:pt idx="7">
                  <c:v>5.7094017094017095</c:v>
                </c:pt>
              </c:numCache>
            </c:numRef>
          </c:val>
          <c:extLst>
            <c:ext xmlns:c16="http://schemas.microsoft.com/office/drawing/2014/chart" uri="{C3380CC4-5D6E-409C-BE32-E72D297353CC}">
              <c16:uniqueId val="{00000000-BDB7-4140-B613-096F886D4FA5}"/>
            </c:ext>
          </c:extLst>
        </c:ser>
        <c:dLbls>
          <c:showLegendKey val="0"/>
          <c:showVal val="0"/>
          <c:showCatName val="0"/>
          <c:showSerName val="0"/>
          <c:showPercent val="0"/>
          <c:showBubbleSize val="0"/>
        </c:dLbls>
        <c:gapWidth val="219"/>
        <c:overlap val="-27"/>
        <c:axId val="1115976159"/>
        <c:axId val="1115969919"/>
      </c:barChart>
      <c:lineChart>
        <c:grouping val="standard"/>
        <c:varyColors val="0"/>
        <c:ser>
          <c:idx val="1"/>
          <c:order val="1"/>
          <c:tx>
            <c:strRef>
              <c:f>'pivot tables area'!$AM$101</c:f>
              <c:strCache>
                <c:ptCount val="1"/>
                <c:pt idx="0">
                  <c:v>Sum of Sales</c:v>
                </c:pt>
              </c:strCache>
            </c:strRef>
          </c:tx>
          <c:spPr>
            <a:ln w="28575" cap="rnd">
              <a:solidFill>
                <a:schemeClr val="accent2"/>
              </a:solidFill>
              <a:round/>
            </a:ln>
            <a:effectLst/>
          </c:spPr>
          <c:marker>
            <c:symbol val="none"/>
          </c:marker>
          <c:cat>
            <c:strRef>
              <c:f>'pivot tables area'!$AK$102:$AK$110</c:f>
              <c:strCache>
                <c:ptCount val="8"/>
                <c:pt idx="0">
                  <c:v>Berlin</c:v>
                </c:pt>
                <c:pt idx="1">
                  <c:v>Delhi</c:v>
                </c:pt>
                <c:pt idx="2">
                  <c:v>Dubai</c:v>
                </c:pt>
                <c:pt idx="3">
                  <c:v>London</c:v>
                </c:pt>
                <c:pt idx="4">
                  <c:v>Mumbai</c:v>
                </c:pt>
                <c:pt idx="5">
                  <c:v>New York</c:v>
                </c:pt>
                <c:pt idx="6">
                  <c:v>Paris</c:v>
                </c:pt>
                <c:pt idx="7">
                  <c:v>Toronto</c:v>
                </c:pt>
              </c:strCache>
            </c:strRef>
          </c:cat>
          <c:val>
            <c:numRef>
              <c:f>'pivot tables area'!$AM$102:$AM$110</c:f>
              <c:numCache>
                <c:formatCode>0.00</c:formatCode>
                <c:ptCount val="8"/>
                <c:pt idx="0">
                  <c:v>226518.95999999993</c:v>
                </c:pt>
                <c:pt idx="1">
                  <c:v>193034.32000000004</c:v>
                </c:pt>
                <c:pt idx="2">
                  <c:v>194355.81999999983</c:v>
                </c:pt>
                <c:pt idx="3">
                  <c:v>181524.96000000002</c:v>
                </c:pt>
                <c:pt idx="4">
                  <c:v>155092.70000000004</c:v>
                </c:pt>
                <c:pt idx="5">
                  <c:v>199338.50000000009</c:v>
                </c:pt>
                <c:pt idx="6">
                  <c:v>179338.65999999997</c:v>
                </c:pt>
                <c:pt idx="7">
                  <c:v>198248.56000000008</c:v>
                </c:pt>
              </c:numCache>
            </c:numRef>
          </c:val>
          <c:smooth val="0"/>
          <c:extLst>
            <c:ext xmlns:c16="http://schemas.microsoft.com/office/drawing/2014/chart" uri="{C3380CC4-5D6E-409C-BE32-E72D297353CC}">
              <c16:uniqueId val="{00000001-BDB7-4140-B613-096F886D4FA5}"/>
            </c:ext>
          </c:extLst>
        </c:ser>
        <c:dLbls>
          <c:showLegendKey val="0"/>
          <c:showVal val="0"/>
          <c:showCatName val="0"/>
          <c:showSerName val="0"/>
          <c:showPercent val="0"/>
          <c:showBubbleSize val="0"/>
        </c:dLbls>
        <c:marker val="1"/>
        <c:smooth val="0"/>
        <c:axId val="1115981983"/>
        <c:axId val="1115981567"/>
      </c:lineChart>
      <c:catAx>
        <c:axId val="1115976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15969919"/>
        <c:crosses val="autoZero"/>
        <c:auto val="1"/>
        <c:lblAlgn val="ctr"/>
        <c:lblOffset val="100"/>
        <c:noMultiLvlLbl val="0"/>
      </c:catAx>
      <c:valAx>
        <c:axId val="111596991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lumMod val="40000"/>
                    <a:lumOff val="60000"/>
                  </a:schemeClr>
                </a:solidFill>
                <a:latin typeface="+mn-lt"/>
                <a:ea typeface="+mn-ea"/>
                <a:cs typeface="+mn-cs"/>
              </a:defRPr>
            </a:pPr>
            <a:endParaRPr lang="en-US"/>
          </a:p>
        </c:txPr>
        <c:crossAx val="1115976159"/>
        <c:crosses val="autoZero"/>
        <c:crossBetween val="between"/>
      </c:valAx>
      <c:valAx>
        <c:axId val="1115981567"/>
        <c:scaling>
          <c:orientation val="minMax"/>
        </c:scaling>
        <c:delete val="0"/>
        <c:axPos val="r"/>
        <c:numFmt formatCode="0,\ &quot;k&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60000"/>
                    <a:lumOff val="40000"/>
                  </a:schemeClr>
                </a:solidFill>
                <a:latin typeface="+mn-lt"/>
                <a:ea typeface="+mn-ea"/>
                <a:cs typeface="+mn-cs"/>
              </a:defRPr>
            </a:pPr>
            <a:endParaRPr lang="en-US"/>
          </a:p>
        </c:txPr>
        <c:crossAx val="1115981983"/>
        <c:crosses val="max"/>
        <c:crossBetween val="between"/>
      </c:valAx>
      <c:catAx>
        <c:axId val="1115981983"/>
        <c:scaling>
          <c:orientation val="minMax"/>
        </c:scaling>
        <c:delete val="1"/>
        <c:axPos val="b"/>
        <c:numFmt formatCode="General" sourceLinked="1"/>
        <c:majorTickMark val="out"/>
        <c:minorTickMark val="none"/>
        <c:tickLblPos val="nextTo"/>
        <c:crossAx val="1115981567"/>
        <c:crosses val="autoZero"/>
        <c:auto val="1"/>
        <c:lblAlgn val="ctr"/>
        <c:lblOffset val="100"/>
        <c:noMultiLvlLbl val="0"/>
      </c:cat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project.xlsx]pivot tables area!city payements in cities</c:name>
    <c:fmtId val="20"/>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
        <c:idx val="10"/>
        <c:spPr>
          <a:solidFill>
            <a:schemeClr val="accent1"/>
          </a:solidFill>
          <a:ln>
            <a:noFill/>
          </a:ln>
          <a:effectLst/>
          <a:sp3d/>
        </c:spPr>
        <c:marker>
          <c:symbol val="none"/>
        </c:marker>
      </c:pivotFmt>
      <c:pivotFmt>
        <c:idx val="11"/>
        <c:spPr>
          <a:solidFill>
            <a:schemeClr val="accent1"/>
          </a:solidFill>
          <a:ln>
            <a:noFill/>
          </a:ln>
          <a:effectLst/>
          <a:sp3d/>
        </c:spPr>
        <c:marker>
          <c:symbol val="none"/>
        </c:marker>
      </c:pivotFmt>
      <c:pivotFmt>
        <c:idx val="12"/>
        <c:spPr>
          <a:solidFill>
            <a:schemeClr val="accent1"/>
          </a:solidFill>
          <a:ln>
            <a:noFill/>
          </a:ln>
          <a:effectLst/>
          <a:sp3d/>
        </c:spPr>
        <c:marker>
          <c:symbol val="none"/>
        </c:marker>
      </c:pivotFmt>
      <c:pivotFmt>
        <c:idx val="13"/>
        <c:spPr>
          <a:solidFill>
            <a:schemeClr val="accent1"/>
          </a:solidFill>
          <a:ln>
            <a:noFill/>
          </a:ln>
          <a:effectLst/>
          <a:sp3d/>
        </c:spPr>
        <c:marker>
          <c:symbol val="none"/>
        </c:marker>
      </c:pivotFmt>
      <c:pivotFmt>
        <c:idx val="14"/>
        <c:spPr>
          <a:solidFill>
            <a:schemeClr val="accent1"/>
          </a:solidFill>
          <a:ln>
            <a:noFill/>
          </a:ln>
          <a:effectLst/>
          <a:sp3d/>
        </c:spPr>
        <c:marker>
          <c:symbol val="none"/>
        </c:marker>
      </c:pivotFmt>
      <c:pivotFmt>
        <c:idx val="15"/>
        <c:spPr>
          <a:solidFill>
            <a:schemeClr val="accent1"/>
          </a:solidFill>
          <a:ln>
            <a:noFill/>
          </a:ln>
          <a:effectLst/>
          <a:sp3d/>
        </c:spPr>
        <c:marker>
          <c:symbol val="none"/>
        </c:marker>
      </c:pivotFmt>
      <c:pivotFmt>
        <c:idx val="16"/>
        <c:spPr>
          <a:solidFill>
            <a:schemeClr val="accent1"/>
          </a:solidFill>
          <a:ln>
            <a:noFill/>
          </a:ln>
          <a:effectLst/>
          <a:sp3d/>
        </c:spPr>
        <c:marker>
          <c:symbol val="none"/>
        </c:marker>
      </c:pivotFmt>
      <c:pivotFmt>
        <c:idx val="17"/>
        <c:spPr>
          <a:solidFill>
            <a:schemeClr val="accent1"/>
          </a:solidFill>
          <a:ln>
            <a:noFill/>
          </a:ln>
          <a:effectLst/>
          <a:sp3d/>
        </c:spPr>
        <c:marker>
          <c:symbol val="none"/>
        </c:marker>
      </c:pivotFmt>
      <c:pivotFmt>
        <c:idx val="18"/>
        <c:spPr>
          <a:solidFill>
            <a:schemeClr val="accent1"/>
          </a:solidFill>
          <a:ln>
            <a:noFill/>
          </a:ln>
          <a:effectLst/>
          <a:sp3d/>
        </c:spPr>
        <c:marker>
          <c:symbol val="none"/>
        </c:marker>
      </c:pivotFmt>
      <c:pivotFmt>
        <c:idx val="19"/>
        <c:spPr>
          <a:solidFill>
            <a:schemeClr val="accent1"/>
          </a:solidFill>
          <a:ln>
            <a:noFill/>
          </a:ln>
          <a:effectLst/>
          <a:sp3d/>
        </c:spPr>
        <c:marker>
          <c:symbol val="none"/>
        </c:marker>
      </c:pivotFmt>
      <c:pivotFmt>
        <c:idx val="20"/>
        <c:spPr>
          <a:solidFill>
            <a:schemeClr val="accent1"/>
          </a:solidFill>
          <a:ln>
            <a:noFill/>
          </a:ln>
          <a:effectLst/>
          <a:sp3d/>
        </c:spPr>
        <c:marker>
          <c:symbol val="none"/>
        </c:marker>
      </c:pivotFmt>
      <c:pivotFmt>
        <c:idx val="21"/>
        <c:spPr>
          <a:solidFill>
            <a:schemeClr val="accent1"/>
          </a:solidFill>
          <a:ln>
            <a:noFill/>
          </a:ln>
          <a:effectLst/>
          <a:sp3d/>
        </c:spPr>
        <c:marker>
          <c:symbol val="none"/>
        </c:marker>
      </c:pivotFmt>
      <c:pivotFmt>
        <c:idx val="22"/>
        <c:spPr>
          <a:solidFill>
            <a:schemeClr val="accent1"/>
          </a:solidFill>
          <a:ln>
            <a:noFill/>
          </a:ln>
          <a:effectLst/>
          <a:sp3d/>
        </c:spPr>
        <c:marker>
          <c:symbol val="none"/>
        </c:marker>
      </c:pivotFmt>
      <c:pivotFmt>
        <c:idx val="23"/>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7"/>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8"/>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0"/>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'pivot tables area'!$AM$148:$AM$149</c:f>
              <c:strCache>
                <c:ptCount val="1"/>
                <c:pt idx="0">
                  <c:v>Berlin</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 area'!$AL$150:$AL$155</c:f>
              <c:strCache>
                <c:ptCount val="5"/>
                <c:pt idx="0">
                  <c:v>Cash on Delivery</c:v>
                </c:pt>
                <c:pt idx="1">
                  <c:v>Credit Card</c:v>
                </c:pt>
                <c:pt idx="2">
                  <c:v>Debit Card</c:v>
                </c:pt>
                <c:pt idx="3">
                  <c:v>Net Banking</c:v>
                </c:pt>
                <c:pt idx="4">
                  <c:v>UPI</c:v>
                </c:pt>
              </c:strCache>
            </c:strRef>
          </c:cat>
          <c:val>
            <c:numRef>
              <c:f>'pivot tables area'!$AM$150:$AM$155</c:f>
              <c:numCache>
                <c:formatCode>General</c:formatCode>
                <c:ptCount val="5"/>
                <c:pt idx="0">
                  <c:v>24</c:v>
                </c:pt>
                <c:pt idx="1">
                  <c:v>33</c:v>
                </c:pt>
                <c:pt idx="2">
                  <c:v>25</c:v>
                </c:pt>
                <c:pt idx="3">
                  <c:v>27</c:v>
                </c:pt>
                <c:pt idx="4">
                  <c:v>33</c:v>
                </c:pt>
              </c:numCache>
            </c:numRef>
          </c:val>
          <c:extLst>
            <c:ext xmlns:c16="http://schemas.microsoft.com/office/drawing/2014/chart" uri="{C3380CC4-5D6E-409C-BE32-E72D297353CC}">
              <c16:uniqueId val="{00000000-910E-4755-A02A-D019C102FBCB}"/>
            </c:ext>
          </c:extLst>
        </c:ser>
        <c:ser>
          <c:idx val="1"/>
          <c:order val="1"/>
          <c:tx>
            <c:strRef>
              <c:f>'pivot tables area'!$AN$148:$AN$149</c:f>
              <c:strCache>
                <c:ptCount val="1"/>
                <c:pt idx="0">
                  <c:v>Delhi</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 area'!$AL$150:$AL$155</c:f>
              <c:strCache>
                <c:ptCount val="5"/>
                <c:pt idx="0">
                  <c:v>Cash on Delivery</c:v>
                </c:pt>
                <c:pt idx="1">
                  <c:v>Credit Card</c:v>
                </c:pt>
                <c:pt idx="2">
                  <c:v>Debit Card</c:v>
                </c:pt>
                <c:pt idx="3">
                  <c:v>Net Banking</c:v>
                </c:pt>
                <c:pt idx="4">
                  <c:v>UPI</c:v>
                </c:pt>
              </c:strCache>
            </c:strRef>
          </c:cat>
          <c:val>
            <c:numRef>
              <c:f>'pivot tables area'!$AN$150:$AN$155</c:f>
              <c:numCache>
                <c:formatCode>General</c:formatCode>
                <c:ptCount val="5"/>
                <c:pt idx="0">
                  <c:v>15</c:v>
                </c:pt>
                <c:pt idx="1">
                  <c:v>34</c:v>
                </c:pt>
                <c:pt idx="2">
                  <c:v>19</c:v>
                </c:pt>
                <c:pt idx="3">
                  <c:v>29</c:v>
                </c:pt>
                <c:pt idx="4">
                  <c:v>33</c:v>
                </c:pt>
              </c:numCache>
            </c:numRef>
          </c:val>
          <c:extLst>
            <c:ext xmlns:c16="http://schemas.microsoft.com/office/drawing/2014/chart" uri="{C3380CC4-5D6E-409C-BE32-E72D297353CC}">
              <c16:uniqueId val="{00000001-910E-4755-A02A-D019C102FBCB}"/>
            </c:ext>
          </c:extLst>
        </c:ser>
        <c:ser>
          <c:idx val="2"/>
          <c:order val="2"/>
          <c:tx>
            <c:strRef>
              <c:f>'pivot tables area'!$AO$148:$AO$149</c:f>
              <c:strCache>
                <c:ptCount val="1"/>
                <c:pt idx="0">
                  <c:v>Dubai</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 area'!$AL$150:$AL$155</c:f>
              <c:strCache>
                <c:ptCount val="5"/>
                <c:pt idx="0">
                  <c:v>Cash on Delivery</c:v>
                </c:pt>
                <c:pt idx="1">
                  <c:v>Credit Card</c:v>
                </c:pt>
                <c:pt idx="2">
                  <c:v>Debit Card</c:v>
                </c:pt>
                <c:pt idx="3">
                  <c:v>Net Banking</c:v>
                </c:pt>
                <c:pt idx="4">
                  <c:v>UPI</c:v>
                </c:pt>
              </c:strCache>
            </c:strRef>
          </c:cat>
          <c:val>
            <c:numRef>
              <c:f>'pivot tables area'!$AO$150:$AO$155</c:f>
              <c:numCache>
                <c:formatCode>General</c:formatCode>
                <c:ptCount val="5"/>
                <c:pt idx="0">
                  <c:v>34</c:v>
                </c:pt>
                <c:pt idx="1">
                  <c:v>31</c:v>
                </c:pt>
                <c:pt idx="2">
                  <c:v>25</c:v>
                </c:pt>
                <c:pt idx="3">
                  <c:v>17</c:v>
                </c:pt>
                <c:pt idx="4">
                  <c:v>25</c:v>
                </c:pt>
              </c:numCache>
            </c:numRef>
          </c:val>
          <c:extLst>
            <c:ext xmlns:c16="http://schemas.microsoft.com/office/drawing/2014/chart" uri="{C3380CC4-5D6E-409C-BE32-E72D297353CC}">
              <c16:uniqueId val="{00000002-910E-4755-A02A-D019C102FBCB}"/>
            </c:ext>
          </c:extLst>
        </c:ser>
        <c:ser>
          <c:idx val="3"/>
          <c:order val="3"/>
          <c:tx>
            <c:strRef>
              <c:f>'pivot tables area'!$AP$148:$AP$149</c:f>
              <c:strCache>
                <c:ptCount val="1"/>
                <c:pt idx="0">
                  <c:v>London</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 area'!$AL$150:$AL$155</c:f>
              <c:strCache>
                <c:ptCount val="5"/>
                <c:pt idx="0">
                  <c:v>Cash on Delivery</c:v>
                </c:pt>
                <c:pt idx="1">
                  <c:v>Credit Card</c:v>
                </c:pt>
                <c:pt idx="2">
                  <c:v>Debit Card</c:v>
                </c:pt>
                <c:pt idx="3">
                  <c:v>Net Banking</c:v>
                </c:pt>
                <c:pt idx="4">
                  <c:v>UPI</c:v>
                </c:pt>
              </c:strCache>
            </c:strRef>
          </c:cat>
          <c:val>
            <c:numRef>
              <c:f>'pivot tables area'!$AP$150:$AP$155</c:f>
              <c:numCache>
                <c:formatCode>General</c:formatCode>
                <c:ptCount val="5"/>
                <c:pt idx="0">
                  <c:v>18</c:v>
                </c:pt>
                <c:pt idx="1">
                  <c:v>21</c:v>
                </c:pt>
                <c:pt idx="2">
                  <c:v>28</c:v>
                </c:pt>
                <c:pt idx="3">
                  <c:v>24</c:v>
                </c:pt>
                <c:pt idx="4">
                  <c:v>28</c:v>
                </c:pt>
              </c:numCache>
            </c:numRef>
          </c:val>
          <c:extLst>
            <c:ext xmlns:c16="http://schemas.microsoft.com/office/drawing/2014/chart" uri="{C3380CC4-5D6E-409C-BE32-E72D297353CC}">
              <c16:uniqueId val="{00000003-910E-4755-A02A-D019C102FBCB}"/>
            </c:ext>
          </c:extLst>
        </c:ser>
        <c:ser>
          <c:idx val="4"/>
          <c:order val="4"/>
          <c:tx>
            <c:strRef>
              <c:f>'pivot tables area'!$AQ$148:$AQ$149</c:f>
              <c:strCache>
                <c:ptCount val="1"/>
                <c:pt idx="0">
                  <c:v>Mumbai</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 area'!$AL$150:$AL$155</c:f>
              <c:strCache>
                <c:ptCount val="5"/>
                <c:pt idx="0">
                  <c:v>Cash on Delivery</c:v>
                </c:pt>
                <c:pt idx="1">
                  <c:v>Credit Card</c:v>
                </c:pt>
                <c:pt idx="2">
                  <c:v>Debit Card</c:v>
                </c:pt>
                <c:pt idx="3">
                  <c:v>Net Banking</c:v>
                </c:pt>
                <c:pt idx="4">
                  <c:v>UPI</c:v>
                </c:pt>
              </c:strCache>
            </c:strRef>
          </c:cat>
          <c:val>
            <c:numRef>
              <c:f>'pivot tables area'!$AQ$150:$AQ$155</c:f>
              <c:numCache>
                <c:formatCode>General</c:formatCode>
                <c:ptCount val="5"/>
                <c:pt idx="0">
                  <c:v>19</c:v>
                </c:pt>
                <c:pt idx="1">
                  <c:v>20</c:v>
                </c:pt>
                <c:pt idx="2">
                  <c:v>28</c:v>
                </c:pt>
                <c:pt idx="3">
                  <c:v>24</c:v>
                </c:pt>
                <c:pt idx="4">
                  <c:v>20</c:v>
                </c:pt>
              </c:numCache>
            </c:numRef>
          </c:val>
          <c:extLst>
            <c:ext xmlns:c16="http://schemas.microsoft.com/office/drawing/2014/chart" uri="{C3380CC4-5D6E-409C-BE32-E72D297353CC}">
              <c16:uniqueId val="{00000004-910E-4755-A02A-D019C102FBCB}"/>
            </c:ext>
          </c:extLst>
        </c:ser>
        <c:ser>
          <c:idx val="5"/>
          <c:order val="5"/>
          <c:tx>
            <c:strRef>
              <c:f>'pivot tables area'!$AR$148:$AR$149</c:f>
              <c:strCache>
                <c:ptCount val="1"/>
                <c:pt idx="0">
                  <c:v>New York</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 area'!$AL$150:$AL$155</c:f>
              <c:strCache>
                <c:ptCount val="5"/>
                <c:pt idx="0">
                  <c:v>Cash on Delivery</c:v>
                </c:pt>
                <c:pt idx="1">
                  <c:v>Credit Card</c:v>
                </c:pt>
                <c:pt idx="2">
                  <c:v>Debit Card</c:v>
                </c:pt>
                <c:pt idx="3">
                  <c:v>Net Banking</c:v>
                </c:pt>
                <c:pt idx="4">
                  <c:v>UPI</c:v>
                </c:pt>
              </c:strCache>
            </c:strRef>
          </c:cat>
          <c:val>
            <c:numRef>
              <c:f>'pivot tables area'!$AR$150:$AR$155</c:f>
              <c:numCache>
                <c:formatCode>General</c:formatCode>
                <c:ptCount val="5"/>
                <c:pt idx="0">
                  <c:v>28</c:v>
                </c:pt>
                <c:pt idx="1">
                  <c:v>27</c:v>
                </c:pt>
                <c:pt idx="2">
                  <c:v>19</c:v>
                </c:pt>
                <c:pt idx="3">
                  <c:v>28</c:v>
                </c:pt>
                <c:pt idx="4">
                  <c:v>32</c:v>
                </c:pt>
              </c:numCache>
            </c:numRef>
          </c:val>
          <c:extLst>
            <c:ext xmlns:c16="http://schemas.microsoft.com/office/drawing/2014/chart" uri="{C3380CC4-5D6E-409C-BE32-E72D297353CC}">
              <c16:uniqueId val="{00000005-910E-4755-A02A-D019C102FBCB}"/>
            </c:ext>
          </c:extLst>
        </c:ser>
        <c:ser>
          <c:idx val="6"/>
          <c:order val="6"/>
          <c:tx>
            <c:strRef>
              <c:f>'pivot tables area'!$AS$148:$AS$149</c:f>
              <c:strCache>
                <c:ptCount val="1"/>
                <c:pt idx="0">
                  <c:v>Paris</c:v>
                </c:pt>
              </c:strCache>
            </c:strRef>
          </c:tx>
          <c:spPr>
            <a:solidFill>
              <a:schemeClr val="accent1">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 area'!$AL$150:$AL$155</c:f>
              <c:strCache>
                <c:ptCount val="5"/>
                <c:pt idx="0">
                  <c:v>Cash on Delivery</c:v>
                </c:pt>
                <c:pt idx="1">
                  <c:v>Credit Card</c:v>
                </c:pt>
                <c:pt idx="2">
                  <c:v>Debit Card</c:v>
                </c:pt>
                <c:pt idx="3">
                  <c:v>Net Banking</c:v>
                </c:pt>
                <c:pt idx="4">
                  <c:v>UPI</c:v>
                </c:pt>
              </c:strCache>
            </c:strRef>
          </c:cat>
          <c:val>
            <c:numRef>
              <c:f>'pivot tables area'!$AS$150:$AS$155</c:f>
              <c:numCache>
                <c:formatCode>General</c:formatCode>
                <c:ptCount val="5"/>
                <c:pt idx="0">
                  <c:v>23</c:v>
                </c:pt>
                <c:pt idx="1">
                  <c:v>26</c:v>
                </c:pt>
                <c:pt idx="2">
                  <c:v>35</c:v>
                </c:pt>
                <c:pt idx="3">
                  <c:v>16</c:v>
                </c:pt>
                <c:pt idx="4">
                  <c:v>15</c:v>
                </c:pt>
              </c:numCache>
            </c:numRef>
          </c:val>
          <c:extLst>
            <c:ext xmlns:c16="http://schemas.microsoft.com/office/drawing/2014/chart" uri="{C3380CC4-5D6E-409C-BE32-E72D297353CC}">
              <c16:uniqueId val="{00000006-910E-4755-A02A-D019C102FBCB}"/>
            </c:ext>
          </c:extLst>
        </c:ser>
        <c:ser>
          <c:idx val="7"/>
          <c:order val="7"/>
          <c:tx>
            <c:strRef>
              <c:f>'pivot tables area'!$AT$148:$AT$149</c:f>
              <c:strCache>
                <c:ptCount val="1"/>
                <c:pt idx="0">
                  <c:v>Toronto</c:v>
                </c:pt>
              </c:strCache>
            </c:strRef>
          </c:tx>
          <c:spPr>
            <a:solidFill>
              <a:schemeClr val="accent2">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 area'!$AL$150:$AL$155</c:f>
              <c:strCache>
                <c:ptCount val="5"/>
                <c:pt idx="0">
                  <c:v>Cash on Delivery</c:v>
                </c:pt>
                <c:pt idx="1">
                  <c:v>Credit Card</c:v>
                </c:pt>
                <c:pt idx="2">
                  <c:v>Debit Card</c:v>
                </c:pt>
                <c:pt idx="3">
                  <c:v>Net Banking</c:v>
                </c:pt>
                <c:pt idx="4">
                  <c:v>UPI</c:v>
                </c:pt>
              </c:strCache>
            </c:strRef>
          </c:cat>
          <c:val>
            <c:numRef>
              <c:f>'pivot tables area'!$AT$150:$AT$155</c:f>
              <c:numCache>
                <c:formatCode>General</c:formatCode>
                <c:ptCount val="5"/>
                <c:pt idx="0">
                  <c:v>23</c:v>
                </c:pt>
                <c:pt idx="1">
                  <c:v>21</c:v>
                </c:pt>
                <c:pt idx="2">
                  <c:v>27</c:v>
                </c:pt>
                <c:pt idx="3">
                  <c:v>23</c:v>
                </c:pt>
                <c:pt idx="4">
                  <c:v>23</c:v>
                </c:pt>
              </c:numCache>
            </c:numRef>
          </c:val>
          <c:extLst>
            <c:ext xmlns:c16="http://schemas.microsoft.com/office/drawing/2014/chart" uri="{C3380CC4-5D6E-409C-BE32-E72D297353CC}">
              <c16:uniqueId val="{00000007-910E-4755-A02A-D019C102FBCB}"/>
            </c:ext>
          </c:extLst>
        </c:ser>
        <c:dLbls>
          <c:showLegendKey val="0"/>
          <c:showVal val="1"/>
          <c:showCatName val="0"/>
          <c:showSerName val="0"/>
          <c:showPercent val="0"/>
          <c:showBubbleSize val="0"/>
        </c:dLbls>
        <c:gapWidth val="150"/>
        <c:shape val="box"/>
        <c:axId val="1783849775"/>
        <c:axId val="1783855599"/>
        <c:axId val="0"/>
      </c:bar3DChart>
      <c:catAx>
        <c:axId val="17838497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83855599"/>
        <c:crosses val="autoZero"/>
        <c:auto val="1"/>
        <c:lblAlgn val="ctr"/>
        <c:lblOffset val="100"/>
        <c:noMultiLvlLbl val="0"/>
      </c:catAx>
      <c:valAx>
        <c:axId val="178385559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83849775"/>
        <c:crosses val="autoZero"/>
        <c:crossBetween val="between"/>
      </c:valAx>
      <c:spPr>
        <a:noFill/>
        <a:ln>
          <a:noFill/>
        </a:ln>
        <a:effectLst/>
      </c:spPr>
    </c:plotArea>
    <c:legend>
      <c:legendPos val="r"/>
      <c:layout>
        <c:manualLayout>
          <c:xMode val="edge"/>
          <c:yMode val="edge"/>
          <c:x val="0.77775712063769809"/>
          <c:y val="6.4021509506433649E-2"/>
          <c:w val="0.15742806454748712"/>
          <c:h val="0.823176493182254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x:chartSpace xmlns:a="http://schemas.openxmlformats.org/drawingml/2006/main" xmlns:r="http://schemas.openxmlformats.org/officeDocument/2006/relationships" xmlns:cx="http://schemas.microsoft.com/office/drawing/2014/chartex">
  <cx:chartData>
    <cx:data id="0">
      <cx:strDim type="cat">
        <cx:f>_xlchart.12</cx:f>
      </cx:strDim>
      <cx:numDim type="val">
        <cx:f>_xlchart.14</cx:f>
      </cx:numDim>
    </cx:data>
  </cx:chartData>
  <cx:chart>
    <cx:title pos="t" align="ctr" overlay="0"/>
    <cx:plotArea>
      <cx:plotAreaRegion>
        <cx:series layoutId="waterfall" uniqueId="{F1A7337B-E48B-4AB4-BDF5-8D3B840D9AC0}">
          <cx:tx>
            <cx:txData>
              <cx:f>_xlchart.13</cx:f>
              <cx:v>Sum of Profit</cx:v>
            </cx:txData>
          </cx:tx>
          <cx:dataLabels pos="outEnd">
            <cx:visibility seriesName="0" categoryName="0" value="1"/>
          </cx:dataLabels>
          <cx:dataId val="0"/>
          <cx:layoutPr>
            <cx:subtotals>
              <cx:idx val="5"/>
            </cx:subtotals>
          </cx:layoutPr>
        </cx:series>
      </cx:plotAreaRegion>
      <cx:axis id="0">
        <cx:catScaling gapWidth="0.5"/>
        <cx:tickLabels/>
      </cx:axis>
      <cx:axis id="1">
        <cx:valScaling/>
        <cx:majorGridlines/>
        <cx:tickLabels/>
      </cx:axis>
    </cx:plotArea>
    <cx:legend pos="t" align="ctr" overlay="0"/>
  </cx:chart>
  <cx:clrMapOvr bg1="lt1" tx1="dk1" bg2="lt2" tx2="dk2" accent1="accent1" accent2="accent2" accent3="accent3" accent4="accent4" accent5="accent5" accent6="accent6" hlink="hlink" folHlink="folHlink"/>
</cx: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project.xlsx]pivot tables area!top 5 categories</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tables area'!$B$67</c:f>
              <c:strCache>
                <c:ptCount val="1"/>
                <c:pt idx="0">
                  <c:v>Total</c:v>
                </c:pt>
              </c:strCache>
            </c:strRef>
          </c:tx>
          <c:spPr>
            <a:solidFill>
              <a:schemeClr val="accent1"/>
            </a:solidFill>
            <a:ln>
              <a:noFill/>
            </a:ln>
            <a:effectLst/>
            <a:sp3d/>
          </c:spPr>
          <c:invertIfNegative val="0"/>
          <c:dLbls>
            <c:delete val="1"/>
          </c:dLbls>
          <c:cat>
            <c:strRef>
              <c:f>'pivot tables area'!$A$68:$A$73</c:f>
              <c:strCache>
                <c:ptCount val="5"/>
                <c:pt idx="0">
                  <c:v>T-shirt</c:v>
                </c:pt>
                <c:pt idx="1">
                  <c:v>Headphones</c:v>
                </c:pt>
                <c:pt idx="2">
                  <c:v>Backpack</c:v>
                </c:pt>
                <c:pt idx="3">
                  <c:v>Mixer</c:v>
                </c:pt>
                <c:pt idx="4">
                  <c:v>Sofa</c:v>
                </c:pt>
              </c:strCache>
            </c:strRef>
          </c:cat>
          <c:val>
            <c:numRef>
              <c:f>'pivot tables area'!$B$68:$B$73</c:f>
              <c:numCache>
                <c:formatCode>General</c:formatCode>
                <c:ptCount val="5"/>
                <c:pt idx="0">
                  <c:v>170893.97999999998</c:v>
                </c:pt>
                <c:pt idx="1">
                  <c:v>177853.4</c:v>
                </c:pt>
                <c:pt idx="2">
                  <c:v>184577.72999999992</c:v>
                </c:pt>
                <c:pt idx="3">
                  <c:v>184945.26999999996</c:v>
                </c:pt>
                <c:pt idx="4">
                  <c:v>190391.05</c:v>
                </c:pt>
              </c:numCache>
            </c:numRef>
          </c:val>
          <c:extLst>
            <c:ext xmlns:c16="http://schemas.microsoft.com/office/drawing/2014/chart" uri="{C3380CC4-5D6E-409C-BE32-E72D297353CC}">
              <c16:uniqueId val="{00000000-1D4B-4C77-9427-76FF7125762F}"/>
            </c:ext>
          </c:extLst>
        </c:ser>
        <c:dLbls>
          <c:showLegendKey val="0"/>
          <c:showVal val="1"/>
          <c:showCatName val="0"/>
          <c:showSerName val="0"/>
          <c:showPercent val="0"/>
          <c:showBubbleSize val="0"/>
        </c:dLbls>
        <c:gapWidth val="150"/>
        <c:shape val="box"/>
        <c:axId val="737012240"/>
        <c:axId val="737013488"/>
        <c:axId val="0"/>
      </c:bar3DChart>
      <c:catAx>
        <c:axId val="73701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013488"/>
        <c:crosses val="autoZero"/>
        <c:auto val="1"/>
        <c:lblAlgn val="ctr"/>
        <c:lblOffset val="100"/>
        <c:noMultiLvlLbl val="0"/>
      </c:catAx>
      <c:valAx>
        <c:axId val="737013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012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project.xlsx]pivot tables area!PV Sales vs profit</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areaChart>
        <c:grouping val="stacked"/>
        <c:varyColors val="0"/>
        <c:ser>
          <c:idx val="0"/>
          <c:order val="0"/>
          <c:tx>
            <c:strRef>
              <c:f>'pivot tables area'!$B$1</c:f>
              <c:strCache>
                <c:ptCount val="1"/>
                <c:pt idx="0">
                  <c:v>Sum of Sales</c:v>
                </c:pt>
              </c:strCache>
            </c:strRef>
          </c:tx>
          <c:spPr>
            <a:solidFill>
              <a:schemeClr val="accent1"/>
            </a:solidFill>
            <a:ln>
              <a:noFill/>
            </a:ln>
            <a:effectLst/>
          </c:spPr>
          <c:cat>
            <c:strRef>
              <c:f>'pivot tables area'!$A$2:$A$14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 area'!$B$2:$B$14</c:f>
              <c:numCache>
                <c:formatCode>"₹"\ 0.00,"k"</c:formatCode>
                <c:ptCount val="12"/>
                <c:pt idx="0">
                  <c:v>130235.7</c:v>
                </c:pt>
                <c:pt idx="1">
                  <c:v>123386.54999999999</c:v>
                </c:pt>
                <c:pt idx="2">
                  <c:v>109967.59</c:v>
                </c:pt>
                <c:pt idx="3">
                  <c:v>122940.36999999998</c:v>
                </c:pt>
                <c:pt idx="4">
                  <c:v>126507.20000000001</c:v>
                </c:pt>
                <c:pt idx="5">
                  <c:v>130764.56999999996</c:v>
                </c:pt>
                <c:pt idx="6">
                  <c:v>101473.74</c:v>
                </c:pt>
                <c:pt idx="7">
                  <c:v>144159.16000000003</c:v>
                </c:pt>
                <c:pt idx="8">
                  <c:v>134848.82</c:v>
                </c:pt>
                <c:pt idx="9">
                  <c:v>131816.47999999998</c:v>
                </c:pt>
                <c:pt idx="10">
                  <c:v>108358.24</c:v>
                </c:pt>
                <c:pt idx="11">
                  <c:v>162994.06000000003</c:v>
                </c:pt>
              </c:numCache>
            </c:numRef>
          </c:val>
          <c:extLst>
            <c:ext xmlns:c16="http://schemas.microsoft.com/office/drawing/2014/chart" uri="{C3380CC4-5D6E-409C-BE32-E72D297353CC}">
              <c16:uniqueId val="{00000000-73F7-48DF-85BE-999B13D5ADD6}"/>
            </c:ext>
          </c:extLst>
        </c:ser>
        <c:dLbls>
          <c:showLegendKey val="0"/>
          <c:showVal val="0"/>
          <c:showCatName val="0"/>
          <c:showSerName val="0"/>
          <c:showPercent val="0"/>
          <c:showBubbleSize val="0"/>
        </c:dLbls>
        <c:axId val="1618963936"/>
        <c:axId val="1618964352"/>
      </c:areaChart>
      <c:barChart>
        <c:barDir val="col"/>
        <c:grouping val="clustered"/>
        <c:varyColors val="0"/>
        <c:ser>
          <c:idx val="1"/>
          <c:order val="1"/>
          <c:tx>
            <c:strRef>
              <c:f>'pivot tables area'!$C$1</c:f>
              <c:strCache>
                <c:ptCount val="1"/>
                <c:pt idx="0">
                  <c:v>Sum of Profit</c:v>
                </c:pt>
              </c:strCache>
            </c:strRef>
          </c:tx>
          <c:spPr>
            <a:solidFill>
              <a:schemeClr val="accent2"/>
            </a:solidFill>
            <a:ln>
              <a:noFill/>
            </a:ln>
            <a:effectLst/>
          </c:spPr>
          <c:invertIfNegative val="0"/>
          <c:cat>
            <c:strRef>
              <c:f>'pivot tables area'!$A$2:$A$14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 area'!$C$2:$C$14</c:f>
              <c:numCache>
                <c:formatCode>"₹"\ 0.00,"k"</c:formatCode>
                <c:ptCount val="12"/>
                <c:pt idx="0">
                  <c:v>30775.80999999999</c:v>
                </c:pt>
                <c:pt idx="1">
                  <c:v>26446.85999999999</c:v>
                </c:pt>
                <c:pt idx="2">
                  <c:v>26292.469999999994</c:v>
                </c:pt>
                <c:pt idx="3">
                  <c:v>29191.89000000001</c:v>
                </c:pt>
                <c:pt idx="4">
                  <c:v>28306.76999999999</c:v>
                </c:pt>
                <c:pt idx="5">
                  <c:v>28542.190000000002</c:v>
                </c:pt>
                <c:pt idx="6">
                  <c:v>25104.22</c:v>
                </c:pt>
                <c:pt idx="7">
                  <c:v>32803.589999999997</c:v>
                </c:pt>
                <c:pt idx="8">
                  <c:v>30069.350000000002</c:v>
                </c:pt>
                <c:pt idx="9">
                  <c:v>26467.579999999998</c:v>
                </c:pt>
                <c:pt idx="10">
                  <c:v>25108.149999999998</c:v>
                </c:pt>
                <c:pt idx="11">
                  <c:v>35893.79</c:v>
                </c:pt>
              </c:numCache>
            </c:numRef>
          </c:val>
          <c:extLst>
            <c:ext xmlns:c16="http://schemas.microsoft.com/office/drawing/2014/chart" uri="{C3380CC4-5D6E-409C-BE32-E72D297353CC}">
              <c16:uniqueId val="{00000001-73F7-48DF-85BE-999B13D5ADD6}"/>
            </c:ext>
          </c:extLst>
        </c:ser>
        <c:dLbls>
          <c:showLegendKey val="0"/>
          <c:showVal val="0"/>
          <c:showCatName val="0"/>
          <c:showSerName val="0"/>
          <c:showPercent val="0"/>
          <c:showBubbleSize val="0"/>
        </c:dLbls>
        <c:gapWidth val="219"/>
        <c:overlap val="-27"/>
        <c:axId val="1497198208"/>
        <c:axId val="1497201952"/>
      </c:barChart>
      <c:catAx>
        <c:axId val="161896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964352"/>
        <c:crosses val="autoZero"/>
        <c:auto val="1"/>
        <c:lblAlgn val="ctr"/>
        <c:lblOffset val="100"/>
        <c:noMultiLvlLbl val="0"/>
      </c:catAx>
      <c:valAx>
        <c:axId val="16189643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963936"/>
        <c:crosses val="autoZero"/>
        <c:crossBetween val="between"/>
      </c:valAx>
      <c:valAx>
        <c:axId val="1497201952"/>
        <c:scaling>
          <c:orientation val="minMax"/>
        </c:scaling>
        <c:delete val="0"/>
        <c:axPos val="r"/>
        <c:numFmt formatCode="&quot;₹&quot;\ 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198208"/>
        <c:crosses val="max"/>
        <c:crossBetween val="between"/>
      </c:valAx>
      <c:catAx>
        <c:axId val="1497198208"/>
        <c:scaling>
          <c:orientation val="minMax"/>
        </c:scaling>
        <c:delete val="1"/>
        <c:axPos val="b"/>
        <c:numFmt formatCode="General" sourceLinked="1"/>
        <c:majorTickMark val="out"/>
        <c:minorTickMark val="none"/>
        <c:tickLblPos val="nextTo"/>
        <c:crossAx val="149720195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project.xlsx]pivot tables area!Average of ShippingDays region</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 area'!$B$100</c:f>
              <c:strCache>
                <c:ptCount val="1"/>
                <c:pt idx="0">
                  <c:v>Total</c:v>
                </c:pt>
              </c:strCache>
            </c:strRef>
          </c:tx>
          <c:spPr>
            <a:solidFill>
              <a:schemeClr val="accent1"/>
            </a:solidFill>
            <a:ln>
              <a:noFill/>
            </a:ln>
            <a:effectLst/>
            <a:sp3d/>
          </c:spPr>
          <c:invertIfNegative val="0"/>
          <c:cat>
            <c:strRef>
              <c:f>'pivot tables area'!$A$101:$A$106</c:f>
              <c:strCache>
                <c:ptCount val="5"/>
                <c:pt idx="0">
                  <c:v>Africa</c:v>
                </c:pt>
                <c:pt idx="1">
                  <c:v>Asia</c:v>
                </c:pt>
                <c:pt idx="2">
                  <c:v>Europe</c:v>
                </c:pt>
                <c:pt idx="3">
                  <c:v>Middle East</c:v>
                </c:pt>
                <c:pt idx="4">
                  <c:v>North America</c:v>
                </c:pt>
              </c:strCache>
            </c:strRef>
          </c:cat>
          <c:val>
            <c:numRef>
              <c:f>'pivot tables area'!$B$101:$B$106</c:f>
              <c:numCache>
                <c:formatCode>0.00</c:formatCode>
                <c:ptCount val="5"/>
                <c:pt idx="0">
                  <c:v>5.5051546391752577</c:v>
                </c:pt>
                <c:pt idx="1">
                  <c:v>5.557788944723618</c:v>
                </c:pt>
                <c:pt idx="2">
                  <c:v>5.7932692307692308</c:v>
                </c:pt>
                <c:pt idx="3">
                  <c:v>5.5273631840796016</c:v>
                </c:pt>
                <c:pt idx="4">
                  <c:v>5.5151515151515156</c:v>
                </c:pt>
              </c:numCache>
            </c:numRef>
          </c:val>
          <c:extLst>
            <c:ext xmlns:c16="http://schemas.microsoft.com/office/drawing/2014/chart" uri="{C3380CC4-5D6E-409C-BE32-E72D297353CC}">
              <c16:uniqueId val="{00000000-761B-4E20-8156-74DECEE7A258}"/>
            </c:ext>
          </c:extLst>
        </c:ser>
        <c:dLbls>
          <c:showLegendKey val="0"/>
          <c:showVal val="0"/>
          <c:showCatName val="0"/>
          <c:showSerName val="0"/>
          <c:showPercent val="0"/>
          <c:showBubbleSize val="0"/>
        </c:dLbls>
        <c:gapWidth val="150"/>
        <c:shape val="box"/>
        <c:axId val="1626687680"/>
        <c:axId val="1626675616"/>
        <c:axId val="1840927232"/>
      </c:bar3DChart>
      <c:catAx>
        <c:axId val="16266876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675616"/>
        <c:crosses val="autoZero"/>
        <c:auto val="1"/>
        <c:lblAlgn val="ctr"/>
        <c:lblOffset val="100"/>
        <c:noMultiLvlLbl val="0"/>
      </c:catAx>
      <c:valAx>
        <c:axId val="16266756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687680"/>
        <c:crosses val="autoZero"/>
        <c:crossBetween val="between"/>
      </c:valAx>
      <c:serAx>
        <c:axId val="184092723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67561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project.xlsx]pivot tables area!monthly sales trend for regions</c:name>
    <c:fmtId val="12"/>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solidFill>
            <a:schemeClr val="accent1"/>
          </a:solidFill>
          <a:ln w="28575" cap="rnd">
            <a:solidFill>
              <a:schemeClr val="accent1"/>
            </a:solidFill>
            <a:round/>
          </a:ln>
          <a:effectLst/>
        </c:spPr>
        <c:marker>
          <c:symbol val="none"/>
        </c:marker>
      </c:pivotFmt>
      <c:pivotFmt>
        <c:idx val="13"/>
        <c:spPr>
          <a:solidFill>
            <a:schemeClr val="accent1"/>
          </a:solidFill>
          <a:ln w="28575" cap="rnd">
            <a:solidFill>
              <a:schemeClr val="accent1"/>
            </a:solidFill>
            <a:round/>
          </a:ln>
          <a:effectLst/>
        </c:spPr>
        <c:marker>
          <c:symbol val="none"/>
        </c:marker>
      </c:pivotFmt>
      <c:pivotFmt>
        <c:idx val="14"/>
        <c:spPr>
          <a:solidFill>
            <a:schemeClr val="accent1"/>
          </a:solidFill>
          <a:ln w="28575" cap="rnd">
            <a:solidFill>
              <a:schemeClr val="accent1"/>
            </a:solidFill>
            <a:round/>
          </a:ln>
          <a:effectLst/>
        </c:spPr>
        <c:marker>
          <c:symbol val="none"/>
        </c:marker>
      </c:pivotFmt>
      <c:pivotFmt>
        <c:idx val="15"/>
        <c:spPr>
          <a:solidFill>
            <a:schemeClr val="accent1"/>
          </a:solidFill>
          <a:ln w="28575" cap="rnd">
            <a:solidFill>
              <a:schemeClr val="accent1"/>
            </a:solidFill>
            <a:round/>
          </a:ln>
          <a:effectLst/>
        </c:spPr>
        <c:marker>
          <c:symbol val="none"/>
        </c:marker>
      </c:pivotFmt>
      <c:pivotFmt>
        <c:idx val="16"/>
        <c:spPr>
          <a:solidFill>
            <a:schemeClr val="accent1"/>
          </a:solidFill>
          <a:ln w="28575" cap="rnd">
            <a:solidFill>
              <a:schemeClr val="accent1"/>
            </a:solidFill>
            <a:round/>
          </a:ln>
          <a:effectLst/>
        </c:spPr>
        <c:marker>
          <c:symbol val="none"/>
        </c:marker>
      </c:pivotFmt>
      <c:pivotFmt>
        <c:idx val="17"/>
        <c:spPr>
          <a:solidFill>
            <a:schemeClr val="accent1"/>
          </a:solidFill>
          <a:ln w="28575" cap="rnd">
            <a:solidFill>
              <a:schemeClr val="accent1"/>
            </a:solidFill>
            <a:round/>
          </a:ln>
          <a:effectLst/>
        </c:spPr>
        <c:marker>
          <c:symbol val="none"/>
        </c:marker>
      </c:pivotFmt>
      <c:pivotFmt>
        <c:idx val="18"/>
        <c:spPr>
          <a:solidFill>
            <a:schemeClr val="accent1"/>
          </a:solidFill>
          <a:ln w="28575" cap="rnd">
            <a:solidFill>
              <a:schemeClr val="accent1"/>
            </a:solidFill>
            <a:round/>
          </a:ln>
          <a:effectLst/>
        </c:spPr>
        <c:marker>
          <c:symbol val="none"/>
        </c:marker>
      </c:pivotFmt>
      <c:pivotFmt>
        <c:idx val="19"/>
        <c:spPr>
          <a:solidFill>
            <a:schemeClr val="accent1"/>
          </a:solidFill>
          <a:ln w="28575" cap="rnd">
            <a:solidFill>
              <a:schemeClr val="accent1"/>
            </a:solidFill>
            <a:round/>
          </a:ln>
          <a:effectLst/>
        </c:spPr>
        <c:marker>
          <c:symbol val="none"/>
        </c:marker>
      </c:pivotFmt>
      <c:pivotFmt>
        <c:idx val="20"/>
        <c:spPr>
          <a:solidFill>
            <a:schemeClr val="accent1"/>
          </a:solidFill>
          <a:ln w="28575" cap="rnd">
            <a:solidFill>
              <a:schemeClr val="accent1"/>
            </a:solidFill>
            <a:round/>
          </a:ln>
          <a:effectLst/>
        </c:spPr>
        <c:marker>
          <c:symbol val="none"/>
        </c:marker>
      </c:pivotFmt>
      <c:pivotFmt>
        <c:idx val="21"/>
        <c:spPr>
          <a:solidFill>
            <a:schemeClr val="accent1"/>
          </a:solidFill>
          <a:ln w="28575" cap="rnd">
            <a:solidFill>
              <a:schemeClr val="accent1"/>
            </a:solidFill>
            <a:round/>
          </a:ln>
          <a:effectLst/>
        </c:spPr>
        <c:marker>
          <c:symbol val="none"/>
        </c:marker>
      </c:pivotFmt>
      <c:pivotFmt>
        <c:idx val="22"/>
        <c:spPr>
          <a:solidFill>
            <a:schemeClr val="accent1"/>
          </a:solidFill>
          <a:ln w="28575" cap="rnd">
            <a:solidFill>
              <a:schemeClr val="accent1"/>
            </a:solidFill>
            <a:round/>
          </a:ln>
          <a:effectLst/>
        </c:spPr>
        <c:marker>
          <c:symbol val="none"/>
        </c:marker>
      </c:pivotFmt>
      <c:pivotFmt>
        <c:idx val="23"/>
        <c:spPr>
          <a:solidFill>
            <a:schemeClr val="accent1"/>
          </a:solidFill>
          <a:ln w="28575" cap="rnd">
            <a:solidFill>
              <a:schemeClr val="accent1"/>
            </a:solidFill>
            <a:round/>
          </a:ln>
          <a:effectLst/>
        </c:spPr>
        <c:marker>
          <c:symbol val="none"/>
        </c:marker>
      </c:pivotFmt>
      <c:pivotFmt>
        <c:idx val="24"/>
        <c:spPr>
          <a:solidFill>
            <a:schemeClr val="accent1"/>
          </a:solidFill>
          <a:ln w="28575" cap="rnd">
            <a:solidFill>
              <a:schemeClr val="accent1"/>
            </a:solidFill>
            <a:round/>
          </a:ln>
          <a:effectLst/>
        </c:spPr>
        <c:marker>
          <c:symbol val="none"/>
        </c:marker>
      </c:pivotFmt>
      <c:pivotFmt>
        <c:idx val="25"/>
        <c:spPr>
          <a:solidFill>
            <a:schemeClr val="accent1"/>
          </a:solidFill>
          <a:ln w="28575" cap="rnd">
            <a:solidFill>
              <a:schemeClr val="accent1"/>
            </a:solidFill>
            <a:round/>
          </a:ln>
          <a:effectLst/>
        </c:spPr>
        <c:marker>
          <c:symbol val="none"/>
        </c:marker>
      </c:pivotFmt>
      <c:pivotFmt>
        <c:idx val="26"/>
        <c:spPr>
          <a:solidFill>
            <a:schemeClr val="accent1"/>
          </a:solidFill>
          <a:ln w="28575" cap="rnd">
            <a:solidFill>
              <a:schemeClr val="accent1"/>
            </a:solidFill>
            <a:round/>
          </a:ln>
          <a:effectLst/>
        </c:spPr>
        <c:marker>
          <c:symbol val="none"/>
        </c:marker>
      </c:pivotFmt>
      <c:pivotFmt>
        <c:idx val="27"/>
        <c:spPr>
          <a:solidFill>
            <a:schemeClr val="accent1"/>
          </a:solidFill>
          <a:ln w="28575" cap="rnd">
            <a:solidFill>
              <a:schemeClr val="accent1"/>
            </a:solidFill>
            <a:round/>
          </a:ln>
          <a:effectLst/>
        </c:spPr>
        <c:marker>
          <c:symbol val="none"/>
        </c:marker>
      </c:pivotFmt>
      <c:pivotFmt>
        <c:idx val="28"/>
        <c:spPr>
          <a:solidFill>
            <a:schemeClr val="accent1"/>
          </a:solidFill>
          <a:ln w="28575" cap="rnd">
            <a:solidFill>
              <a:schemeClr val="accent1"/>
            </a:solidFill>
            <a:round/>
          </a:ln>
          <a:effectLst/>
        </c:spPr>
        <c:marker>
          <c:symbol val="none"/>
        </c:marker>
      </c:pivotFmt>
      <c:pivotFmt>
        <c:idx val="29"/>
        <c:spPr>
          <a:solidFill>
            <a:schemeClr val="accent1"/>
          </a:solidFill>
          <a:ln w="28575" cap="rnd">
            <a:solidFill>
              <a:schemeClr val="accent1"/>
            </a:solidFill>
            <a:round/>
          </a:ln>
          <a:effectLst/>
        </c:spPr>
        <c:marker>
          <c:symbol val="none"/>
        </c:marker>
      </c:pivotFmt>
      <c:pivotFmt>
        <c:idx val="30"/>
        <c:spPr>
          <a:ln w="28575" cap="rnd">
            <a:solidFill>
              <a:schemeClr val="accent1"/>
            </a:solidFill>
            <a:round/>
          </a:ln>
          <a:effectLst/>
        </c:spPr>
        <c:marker>
          <c:symbol val="none"/>
        </c:marker>
      </c:pivotFmt>
      <c:pivotFmt>
        <c:idx val="31"/>
        <c:spPr>
          <a:ln w="28575" cap="rnd">
            <a:solidFill>
              <a:schemeClr val="accent1"/>
            </a:solidFill>
            <a:round/>
          </a:ln>
          <a:effectLst/>
        </c:spPr>
        <c:marker>
          <c:symbol val="none"/>
        </c:marker>
      </c:pivotFmt>
      <c:pivotFmt>
        <c:idx val="32"/>
        <c:spPr>
          <a:ln w="28575" cap="rnd">
            <a:solidFill>
              <a:schemeClr val="accent1"/>
            </a:solidFill>
            <a:round/>
          </a:ln>
          <a:effectLst/>
        </c:spPr>
        <c:marker>
          <c:symbol val="none"/>
        </c:marker>
      </c:pivotFmt>
      <c:pivotFmt>
        <c:idx val="33"/>
        <c:spPr>
          <a:ln w="28575" cap="rnd">
            <a:solidFill>
              <a:schemeClr val="accent1"/>
            </a:solidFill>
            <a:round/>
          </a:ln>
          <a:effectLst/>
        </c:spPr>
        <c:marker>
          <c:symbol val="none"/>
        </c:marker>
      </c:pivotFmt>
      <c:pivotFmt>
        <c:idx val="34"/>
        <c:spPr>
          <a:ln w="28575" cap="rnd">
            <a:solidFill>
              <a:schemeClr val="accent1"/>
            </a:solidFill>
            <a:round/>
          </a:ln>
          <a:effectLst/>
        </c:spPr>
        <c:marker>
          <c:symbol val="none"/>
        </c:marker>
      </c:pivotFmt>
    </c:pivotFmts>
    <c:plotArea>
      <c:layout/>
      <c:lineChart>
        <c:grouping val="standard"/>
        <c:varyColors val="0"/>
        <c:ser>
          <c:idx val="0"/>
          <c:order val="0"/>
          <c:tx>
            <c:strRef>
              <c:f>'pivot tables area'!$B$200:$B$201</c:f>
              <c:strCache>
                <c:ptCount val="1"/>
                <c:pt idx="0">
                  <c:v>Africa</c:v>
                </c:pt>
              </c:strCache>
            </c:strRef>
          </c:tx>
          <c:spPr>
            <a:ln w="28575" cap="rnd">
              <a:solidFill>
                <a:schemeClr val="accent1"/>
              </a:solidFill>
              <a:round/>
            </a:ln>
            <a:effectLst/>
          </c:spPr>
          <c:marker>
            <c:symbol val="none"/>
          </c:marker>
          <c:cat>
            <c:multiLvlStrRef>
              <c:f>'pivot tables area'!$A$202:$A$228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'pivot tables area'!$B$202:$B$228</c:f>
              <c:numCache>
                <c:formatCode>General</c:formatCode>
                <c:ptCount val="24"/>
                <c:pt idx="0">
                  <c:v>17583.88</c:v>
                </c:pt>
                <c:pt idx="1">
                  <c:v>19182.03</c:v>
                </c:pt>
                <c:pt idx="2">
                  <c:v>13833.910000000002</c:v>
                </c:pt>
                <c:pt idx="3">
                  <c:v>25065.620000000003</c:v>
                </c:pt>
                <c:pt idx="4">
                  <c:v>10973.46</c:v>
                </c:pt>
                <c:pt idx="5">
                  <c:v>17889.98</c:v>
                </c:pt>
                <c:pt idx="6">
                  <c:v>15617.419999999998</c:v>
                </c:pt>
                <c:pt idx="7">
                  <c:v>12965.63</c:v>
                </c:pt>
                <c:pt idx="8">
                  <c:v>14790.21</c:v>
                </c:pt>
                <c:pt idx="9">
                  <c:v>21130.27</c:v>
                </c:pt>
                <c:pt idx="10">
                  <c:v>4588.72</c:v>
                </c:pt>
                <c:pt idx="11">
                  <c:v>16928.2</c:v>
                </c:pt>
                <c:pt idx="12">
                  <c:v>11038.33</c:v>
                </c:pt>
                <c:pt idx="13">
                  <c:v>5743</c:v>
                </c:pt>
                <c:pt idx="14">
                  <c:v>5465.78</c:v>
                </c:pt>
                <c:pt idx="15">
                  <c:v>5998.63</c:v>
                </c:pt>
                <c:pt idx="16">
                  <c:v>9995.25</c:v>
                </c:pt>
                <c:pt idx="17">
                  <c:v>17071.669999999998</c:v>
                </c:pt>
                <c:pt idx="18">
                  <c:v>17661.39</c:v>
                </c:pt>
                <c:pt idx="19">
                  <c:v>6305.09</c:v>
                </c:pt>
                <c:pt idx="20">
                  <c:v>10795.650000000001</c:v>
                </c:pt>
                <c:pt idx="21">
                  <c:v>12921.82</c:v>
                </c:pt>
                <c:pt idx="22">
                  <c:v>23297.54</c:v>
                </c:pt>
                <c:pt idx="23">
                  <c:v>18134.330000000002</c:v>
                </c:pt>
              </c:numCache>
            </c:numRef>
          </c:val>
          <c:smooth val="0"/>
          <c:extLst>
            <c:ext xmlns:c16="http://schemas.microsoft.com/office/drawing/2014/chart" uri="{C3380CC4-5D6E-409C-BE32-E72D297353CC}">
              <c16:uniqueId val="{00000000-F956-43AC-90FB-570999D0BEAF}"/>
            </c:ext>
          </c:extLst>
        </c:ser>
        <c:ser>
          <c:idx val="1"/>
          <c:order val="1"/>
          <c:tx>
            <c:strRef>
              <c:f>'pivot tables area'!$C$200:$C$201</c:f>
              <c:strCache>
                <c:ptCount val="1"/>
                <c:pt idx="0">
                  <c:v>Asia</c:v>
                </c:pt>
              </c:strCache>
            </c:strRef>
          </c:tx>
          <c:spPr>
            <a:ln w="28575" cap="rnd">
              <a:solidFill>
                <a:schemeClr val="accent2"/>
              </a:solidFill>
              <a:round/>
            </a:ln>
            <a:effectLst/>
          </c:spPr>
          <c:marker>
            <c:symbol val="none"/>
          </c:marker>
          <c:cat>
            <c:multiLvlStrRef>
              <c:f>'pivot tables area'!$A$202:$A$228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'pivot tables area'!$C$202:$C$228</c:f>
              <c:numCache>
                <c:formatCode>General</c:formatCode>
                <c:ptCount val="24"/>
                <c:pt idx="0">
                  <c:v>6479.7900000000009</c:v>
                </c:pt>
                <c:pt idx="1">
                  <c:v>12515.84</c:v>
                </c:pt>
                <c:pt idx="2">
                  <c:v>13388.24</c:v>
                </c:pt>
                <c:pt idx="3">
                  <c:v>2202.09</c:v>
                </c:pt>
                <c:pt idx="4">
                  <c:v>15445.04</c:v>
                </c:pt>
                <c:pt idx="5">
                  <c:v>11875.73</c:v>
                </c:pt>
                <c:pt idx="6">
                  <c:v>9118.4700000000012</c:v>
                </c:pt>
                <c:pt idx="7">
                  <c:v>19527.059999999998</c:v>
                </c:pt>
                <c:pt idx="8">
                  <c:v>25357.67</c:v>
                </c:pt>
                <c:pt idx="9">
                  <c:v>12287.880000000001</c:v>
                </c:pt>
                <c:pt idx="10">
                  <c:v>12393.599999999999</c:v>
                </c:pt>
                <c:pt idx="11">
                  <c:v>6567.4</c:v>
                </c:pt>
                <c:pt idx="12">
                  <c:v>13539.899999999998</c:v>
                </c:pt>
                <c:pt idx="13">
                  <c:v>9237</c:v>
                </c:pt>
                <c:pt idx="14">
                  <c:v>10944.7</c:v>
                </c:pt>
                <c:pt idx="15">
                  <c:v>9202.489999999998</c:v>
                </c:pt>
                <c:pt idx="16">
                  <c:v>12709.54</c:v>
                </c:pt>
                <c:pt idx="17">
                  <c:v>9583.5500000000011</c:v>
                </c:pt>
                <c:pt idx="18">
                  <c:v>12881.429999999998</c:v>
                </c:pt>
                <c:pt idx="19">
                  <c:v>18159.150000000001</c:v>
                </c:pt>
                <c:pt idx="20">
                  <c:v>13149.66</c:v>
                </c:pt>
                <c:pt idx="21">
                  <c:v>13758.15</c:v>
                </c:pt>
                <c:pt idx="22">
                  <c:v>5495.6799999999994</c:v>
                </c:pt>
                <c:pt idx="23">
                  <c:v>9921.6000000000022</c:v>
                </c:pt>
              </c:numCache>
            </c:numRef>
          </c:val>
          <c:smooth val="0"/>
          <c:extLst>
            <c:ext xmlns:c16="http://schemas.microsoft.com/office/drawing/2014/chart" uri="{C3380CC4-5D6E-409C-BE32-E72D297353CC}">
              <c16:uniqueId val="{00000000-3121-4105-881D-B0B88658496D}"/>
            </c:ext>
          </c:extLst>
        </c:ser>
        <c:ser>
          <c:idx val="2"/>
          <c:order val="2"/>
          <c:tx>
            <c:strRef>
              <c:f>'pivot tables area'!$D$200:$D$201</c:f>
              <c:strCache>
                <c:ptCount val="1"/>
                <c:pt idx="0">
                  <c:v>Europe</c:v>
                </c:pt>
              </c:strCache>
            </c:strRef>
          </c:tx>
          <c:spPr>
            <a:ln w="28575" cap="rnd">
              <a:solidFill>
                <a:schemeClr val="accent3"/>
              </a:solidFill>
              <a:round/>
            </a:ln>
            <a:effectLst/>
          </c:spPr>
          <c:marker>
            <c:symbol val="none"/>
          </c:marker>
          <c:cat>
            <c:multiLvlStrRef>
              <c:f>'pivot tables area'!$A$202:$A$228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'pivot tables area'!$D$202:$D$228</c:f>
              <c:numCache>
                <c:formatCode>General</c:formatCode>
                <c:ptCount val="24"/>
                <c:pt idx="0">
                  <c:v>11241.150000000001</c:v>
                </c:pt>
                <c:pt idx="1">
                  <c:v>20341.11</c:v>
                </c:pt>
                <c:pt idx="2">
                  <c:v>11317.989999999998</c:v>
                </c:pt>
                <c:pt idx="3">
                  <c:v>9060.14</c:v>
                </c:pt>
                <c:pt idx="4">
                  <c:v>14461.18</c:v>
                </c:pt>
                <c:pt idx="5">
                  <c:v>2812.6099999999997</c:v>
                </c:pt>
                <c:pt idx="6">
                  <c:v>14656.61</c:v>
                </c:pt>
                <c:pt idx="7">
                  <c:v>15172.440000000002</c:v>
                </c:pt>
                <c:pt idx="8">
                  <c:v>22854.06</c:v>
                </c:pt>
                <c:pt idx="9">
                  <c:v>12284.189999999997</c:v>
                </c:pt>
                <c:pt idx="10">
                  <c:v>9436.23</c:v>
                </c:pt>
                <c:pt idx="11">
                  <c:v>26479.35</c:v>
                </c:pt>
                <c:pt idx="12">
                  <c:v>14075.449999999999</c:v>
                </c:pt>
                <c:pt idx="13">
                  <c:v>11198.609999999999</c:v>
                </c:pt>
                <c:pt idx="14">
                  <c:v>12630.6</c:v>
                </c:pt>
                <c:pt idx="15">
                  <c:v>10882.38</c:v>
                </c:pt>
                <c:pt idx="16">
                  <c:v>8293.7900000000009</c:v>
                </c:pt>
                <c:pt idx="17">
                  <c:v>17170.78</c:v>
                </c:pt>
                <c:pt idx="18">
                  <c:v>8828.0400000000009</c:v>
                </c:pt>
                <c:pt idx="19">
                  <c:v>24567.19</c:v>
                </c:pt>
                <c:pt idx="20">
                  <c:v>4961.16</c:v>
                </c:pt>
                <c:pt idx="21">
                  <c:v>21824.35</c:v>
                </c:pt>
                <c:pt idx="22">
                  <c:v>9849.7000000000007</c:v>
                </c:pt>
                <c:pt idx="23">
                  <c:v>14022.529999999999</c:v>
                </c:pt>
              </c:numCache>
            </c:numRef>
          </c:val>
          <c:smooth val="0"/>
          <c:extLst>
            <c:ext xmlns:c16="http://schemas.microsoft.com/office/drawing/2014/chart" uri="{C3380CC4-5D6E-409C-BE32-E72D297353CC}">
              <c16:uniqueId val="{00000001-3121-4105-881D-B0B88658496D}"/>
            </c:ext>
          </c:extLst>
        </c:ser>
        <c:ser>
          <c:idx val="3"/>
          <c:order val="3"/>
          <c:tx>
            <c:strRef>
              <c:f>'pivot tables area'!$E$200:$E$201</c:f>
              <c:strCache>
                <c:ptCount val="1"/>
                <c:pt idx="0">
                  <c:v>Middle East</c:v>
                </c:pt>
              </c:strCache>
            </c:strRef>
          </c:tx>
          <c:spPr>
            <a:ln w="28575" cap="rnd">
              <a:solidFill>
                <a:schemeClr val="accent4"/>
              </a:solidFill>
              <a:round/>
            </a:ln>
            <a:effectLst/>
          </c:spPr>
          <c:marker>
            <c:symbol val="none"/>
          </c:marker>
          <c:cat>
            <c:multiLvlStrRef>
              <c:f>'pivot tables area'!$A$202:$A$228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'pivot tables area'!$E$202:$E$228</c:f>
              <c:numCache>
                <c:formatCode>General</c:formatCode>
                <c:ptCount val="24"/>
                <c:pt idx="0">
                  <c:v>15096.66</c:v>
                </c:pt>
                <c:pt idx="1">
                  <c:v>8251.08</c:v>
                </c:pt>
                <c:pt idx="2">
                  <c:v>17172.759999999998</c:v>
                </c:pt>
                <c:pt idx="3">
                  <c:v>9183.6400000000012</c:v>
                </c:pt>
                <c:pt idx="4">
                  <c:v>12194.14</c:v>
                </c:pt>
                <c:pt idx="5">
                  <c:v>9718.7999999999993</c:v>
                </c:pt>
                <c:pt idx="6">
                  <c:v>8087.52</c:v>
                </c:pt>
                <c:pt idx="7">
                  <c:v>8905.4399999999987</c:v>
                </c:pt>
                <c:pt idx="8">
                  <c:v>9336.66</c:v>
                </c:pt>
                <c:pt idx="9">
                  <c:v>15163.430000000002</c:v>
                </c:pt>
                <c:pt idx="10">
                  <c:v>13026.900000000001</c:v>
                </c:pt>
                <c:pt idx="11">
                  <c:v>30959.460000000003</c:v>
                </c:pt>
                <c:pt idx="12">
                  <c:v>13669.909999999998</c:v>
                </c:pt>
                <c:pt idx="13">
                  <c:v>16675.48</c:v>
                </c:pt>
                <c:pt idx="14">
                  <c:v>7056.7400000000007</c:v>
                </c:pt>
                <c:pt idx="15">
                  <c:v>19062.829999999998</c:v>
                </c:pt>
                <c:pt idx="16">
                  <c:v>13363.53</c:v>
                </c:pt>
                <c:pt idx="17">
                  <c:v>12740.09</c:v>
                </c:pt>
                <c:pt idx="18">
                  <c:v>4765.8900000000003</c:v>
                </c:pt>
                <c:pt idx="19">
                  <c:v>6542.67</c:v>
                </c:pt>
                <c:pt idx="20">
                  <c:v>6013.85</c:v>
                </c:pt>
                <c:pt idx="21">
                  <c:v>8643.17</c:v>
                </c:pt>
                <c:pt idx="22">
                  <c:v>7911.2100000000009</c:v>
                </c:pt>
                <c:pt idx="23">
                  <c:v>23225.69</c:v>
                </c:pt>
              </c:numCache>
            </c:numRef>
          </c:val>
          <c:smooth val="0"/>
          <c:extLst>
            <c:ext xmlns:c16="http://schemas.microsoft.com/office/drawing/2014/chart" uri="{C3380CC4-5D6E-409C-BE32-E72D297353CC}">
              <c16:uniqueId val="{00000002-3121-4105-881D-B0B88658496D}"/>
            </c:ext>
          </c:extLst>
        </c:ser>
        <c:ser>
          <c:idx val="4"/>
          <c:order val="4"/>
          <c:tx>
            <c:strRef>
              <c:f>'pivot tables area'!$F$200:$F$201</c:f>
              <c:strCache>
                <c:ptCount val="1"/>
                <c:pt idx="0">
                  <c:v>North America</c:v>
                </c:pt>
              </c:strCache>
            </c:strRef>
          </c:tx>
          <c:spPr>
            <a:ln w="28575" cap="rnd">
              <a:solidFill>
                <a:schemeClr val="accent5"/>
              </a:solidFill>
              <a:round/>
            </a:ln>
            <a:effectLst/>
          </c:spPr>
          <c:marker>
            <c:symbol val="none"/>
          </c:marker>
          <c:cat>
            <c:multiLvlStrRef>
              <c:f>'pivot tables area'!$A$202:$A$228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'pivot tables area'!$F$202:$F$228</c:f>
              <c:numCache>
                <c:formatCode>General</c:formatCode>
                <c:ptCount val="24"/>
                <c:pt idx="0">
                  <c:v>18978.730000000003</c:v>
                </c:pt>
                <c:pt idx="1">
                  <c:v>10743.28</c:v>
                </c:pt>
                <c:pt idx="2">
                  <c:v>10759.85</c:v>
                </c:pt>
                <c:pt idx="3">
                  <c:v>14044.49</c:v>
                </c:pt>
                <c:pt idx="4">
                  <c:v>16262.570000000002</c:v>
                </c:pt>
                <c:pt idx="5">
                  <c:v>23623.350000000002</c:v>
                </c:pt>
                <c:pt idx="6">
                  <c:v>9212.9700000000012</c:v>
                </c:pt>
                <c:pt idx="7">
                  <c:v>18619.169999999998</c:v>
                </c:pt>
                <c:pt idx="8">
                  <c:v>19287.240000000002</c:v>
                </c:pt>
                <c:pt idx="9">
                  <c:v>2340.4899999999998</c:v>
                </c:pt>
                <c:pt idx="10">
                  <c:v>12847.65</c:v>
                </c:pt>
                <c:pt idx="11">
                  <c:v>7302.92</c:v>
                </c:pt>
                <c:pt idx="12">
                  <c:v>8531.9</c:v>
                </c:pt>
                <c:pt idx="13">
                  <c:v>9499.119999999999</c:v>
                </c:pt>
                <c:pt idx="14">
                  <c:v>7397.0199999999986</c:v>
                </c:pt>
                <c:pt idx="15">
                  <c:v>18238.059999999998</c:v>
                </c:pt>
                <c:pt idx="16">
                  <c:v>12808.7</c:v>
                </c:pt>
                <c:pt idx="17">
                  <c:v>8278.01</c:v>
                </c:pt>
                <c:pt idx="18">
                  <c:v>644</c:v>
                </c:pt>
                <c:pt idx="19">
                  <c:v>13395.319999999996</c:v>
                </c:pt>
                <c:pt idx="20">
                  <c:v>8302.66</c:v>
                </c:pt>
                <c:pt idx="21">
                  <c:v>11462.730000000001</c:v>
                </c:pt>
                <c:pt idx="22">
                  <c:v>9511.01</c:v>
                </c:pt>
                <c:pt idx="23">
                  <c:v>9452.58</c:v>
                </c:pt>
              </c:numCache>
            </c:numRef>
          </c:val>
          <c:smooth val="0"/>
          <c:extLst>
            <c:ext xmlns:c16="http://schemas.microsoft.com/office/drawing/2014/chart" uri="{C3380CC4-5D6E-409C-BE32-E72D297353CC}">
              <c16:uniqueId val="{00000003-3121-4105-881D-B0B88658496D}"/>
            </c:ext>
          </c:extLst>
        </c:ser>
        <c:dLbls>
          <c:showLegendKey val="0"/>
          <c:showVal val="0"/>
          <c:showCatName val="0"/>
          <c:showSerName val="0"/>
          <c:showPercent val="0"/>
          <c:showBubbleSize val="0"/>
        </c:dLbls>
        <c:smooth val="0"/>
        <c:axId val="1507293184"/>
        <c:axId val="1507293600"/>
      </c:lineChart>
      <c:catAx>
        <c:axId val="150729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293600"/>
        <c:crosses val="autoZero"/>
        <c:auto val="1"/>
        <c:lblAlgn val="ctr"/>
        <c:lblOffset val="100"/>
        <c:noMultiLvlLbl val="0"/>
      </c:catAx>
      <c:valAx>
        <c:axId val="1507293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29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project.xlsx]pivot tables area!payment method in each region</c:name>
    <c:fmtId val="8"/>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tables area'!$B$150:$B$151</c:f>
              <c:strCache>
                <c:ptCount val="1"/>
                <c:pt idx="0">
                  <c:v>Africa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area'!$A$152:$A$157</c:f>
              <c:strCache>
                <c:ptCount val="5"/>
                <c:pt idx="0">
                  <c:v>Cash on Delivery</c:v>
                </c:pt>
                <c:pt idx="1">
                  <c:v>Credit Card</c:v>
                </c:pt>
                <c:pt idx="2">
                  <c:v>Debit Card</c:v>
                </c:pt>
                <c:pt idx="3">
                  <c:v>Net Banking</c:v>
                </c:pt>
                <c:pt idx="4">
                  <c:v>UPI</c:v>
                </c:pt>
              </c:strCache>
            </c:strRef>
          </c:cat>
          <c:val>
            <c:numRef>
              <c:f>'pivot tables area'!$B$152:$B$157</c:f>
              <c:numCache>
                <c:formatCode>General</c:formatCode>
                <c:ptCount val="5"/>
                <c:pt idx="0">
                  <c:v>43</c:v>
                </c:pt>
                <c:pt idx="1">
                  <c:v>40</c:v>
                </c:pt>
                <c:pt idx="2">
                  <c:v>37</c:v>
                </c:pt>
                <c:pt idx="3">
                  <c:v>38</c:v>
                </c:pt>
                <c:pt idx="4">
                  <c:v>36</c:v>
                </c:pt>
              </c:numCache>
            </c:numRef>
          </c:val>
          <c:extLst>
            <c:ext xmlns:c16="http://schemas.microsoft.com/office/drawing/2014/chart" uri="{C3380CC4-5D6E-409C-BE32-E72D297353CC}">
              <c16:uniqueId val="{00000000-17FD-47DE-8C38-4EE3309C01AE}"/>
            </c:ext>
          </c:extLst>
        </c:ser>
        <c:ser>
          <c:idx val="1"/>
          <c:order val="1"/>
          <c:tx>
            <c:strRef>
              <c:f>'pivot tables area'!$C$150:$C$151</c:f>
              <c:strCache>
                <c:ptCount val="1"/>
                <c:pt idx="0">
                  <c:v>Asia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area'!$A$152:$A$157</c:f>
              <c:strCache>
                <c:ptCount val="5"/>
                <c:pt idx="0">
                  <c:v>Cash on Delivery</c:v>
                </c:pt>
                <c:pt idx="1">
                  <c:v>Credit Card</c:v>
                </c:pt>
                <c:pt idx="2">
                  <c:v>Debit Card</c:v>
                </c:pt>
                <c:pt idx="3">
                  <c:v>Net Banking</c:v>
                </c:pt>
                <c:pt idx="4">
                  <c:v>UPI</c:v>
                </c:pt>
              </c:strCache>
            </c:strRef>
          </c:cat>
          <c:val>
            <c:numRef>
              <c:f>'pivot tables area'!$C$152:$C$157</c:f>
              <c:numCache>
                <c:formatCode>General</c:formatCode>
                <c:ptCount val="5"/>
                <c:pt idx="0">
                  <c:v>35</c:v>
                </c:pt>
                <c:pt idx="1">
                  <c:v>36</c:v>
                </c:pt>
                <c:pt idx="2">
                  <c:v>42</c:v>
                </c:pt>
                <c:pt idx="3">
                  <c:v>40</c:v>
                </c:pt>
                <c:pt idx="4">
                  <c:v>46</c:v>
                </c:pt>
              </c:numCache>
            </c:numRef>
          </c:val>
          <c:extLst>
            <c:ext xmlns:c16="http://schemas.microsoft.com/office/drawing/2014/chart" uri="{C3380CC4-5D6E-409C-BE32-E72D297353CC}">
              <c16:uniqueId val="{00000000-114E-4375-9651-240F540E19D0}"/>
            </c:ext>
          </c:extLst>
        </c:ser>
        <c:ser>
          <c:idx val="2"/>
          <c:order val="2"/>
          <c:tx>
            <c:strRef>
              <c:f>'pivot tables area'!$D$150:$D$151</c:f>
              <c:strCache>
                <c:ptCount val="1"/>
                <c:pt idx="0">
                  <c:v>Europe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area'!$A$152:$A$157</c:f>
              <c:strCache>
                <c:ptCount val="5"/>
                <c:pt idx="0">
                  <c:v>Cash on Delivery</c:v>
                </c:pt>
                <c:pt idx="1">
                  <c:v>Credit Card</c:v>
                </c:pt>
                <c:pt idx="2">
                  <c:v>Debit Card</c:v>
                </c:pt>
                <c:pt idx="3">
                  <c:v>Net Banking</c:v>
                </c:pt>
                <c:pt idx="4">
                  <c:v>UPI</c:v>
                </c:pt>
              </c:strCache>
            </c:strRef>
          </c:cat>
          <c:val>
            <c:numRef>
              <c:f>'pivot tables area'!$D$152:$D$157</c:f>
              <c:numCache>
                <c:formatCode>General</c:formatCode>
                <c:ptCount val="5"/>
                <c:pt idx="0">
                  <c:v>37</c:v>
                </c:pt>
                <c:pt idx="1">
                  <c:v>47</c:v>
                </c:pt>
                <c:pt idx="2">
                  <c:v>41</c:v>
                </c:pt>
                <c:pt idx="3">
                  <c:v>41</c:v>
                </c:pt>
                <c:pt idx="4">
                  <c:v>42</c:v>
                </c:pt>
              </c:numCache>
            </c:numRef>
          </c:val>
          <c:extLst>
            <c:ext xmlns:c16="http://schemas.microsoft.com/office/drawing/2014/chart" uri="{C3380CC4-5D6E-409C-BE32-E72D297353CC}">
              <c16:uniqueId val="{00000001-114E-4375-9651-240F540E19D0}"/>
            </c:ext>
          </c:extLst>
        </c:ser>
        <c:ser>
          <c:idx val="3"/>
          <c:order val="3"/>
          <c:tx>
            <c:strRef>
              <c:f>'pivot tables area'!$E$150:$E$151</c:f>
              <c:strCache>
                <c:ptCount val="1"/>
                <c:pt idx="0">
                  <c:v>Middle East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area'!$A$152:$A$157</c:f>
              <c:strCache>
                <c:ptCount val="5"/>
                <c:pt idx="0">
                  <c:v>Cash on Delivery</c:v>
                </c:pt>
                <c:pt idx="1">
                  <c:v>Credit Card</c:v>
                </c:pt>
                <c:pt idx="2">
                  <c:v>Debit Card</c:v>
                </c:pt>
                <c:pt idx="3">
                  <c:v>Net Banking</c:v>
                </c:pt>
                <c:pt idx="4">
                  <c:v>UPI</c:v>
                </c:pt>
              </c:strCache>
            </c:strRef>
          </c:cat>
          <c:val>
            <c:numRef>
              <c:f>'pivot tables area'!$E$152:$E$157</c:f>
              <c:numCache>
                <c:formatCode>General</c:formatCode>
                <c:ptCount val="5"/>
                <c:pt idx="0">
                  <c:v>35</c:v>
                </c:pt>
                <c:pt idx="1">
                  <c:v>46</c:v>
                </c:pt>
                <c:pt idx="2">
                  <c:v>38</c:v>
                </c:pt>
                <c:pt idx="3">
                  <c:v>34</c:v>
                </c:pt>
                <c:pt idx="4">
                  <c:v>48</c:v>
                </c:pt>
              </c:numCache>
            </c:numRef>
          </c:val>
          <c:extLst>
            <c:ext xmlns:c16="http://schemas.microsoft.com/office/drawing/2014/chart" uri="{C3380CC4-5D6E-409C-BE32-E72D297353CC}">
              <c16:uniqueId val="{00000002-114E-4375-9651-240F540E19D0}"/>
            </c:ext>
          </c:extLst>
        </c:ser>
        <c:ser>
          <c:idx val="4"/>
          <c:order val="4"/>
          <c:tx>
            <c:strRef>
              <c:f>'pivot tables area'!$F$150:$F$151</c:f>
              <c:strCache>
                <c:ptCount val="1"/>
                <c:pt idx="0">
                  <c:v>North America</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area'!$A$152:$A$157</c:f>
              <c:strCache>
                <c:ptCount val="5"/>
                <c:pt idx="0">
                  <c:v>Cash on Delivery</c:v>
                </c:pt>
                <c:pt idx="1">
                  <c:v>Credit Card</c:v>
                </c:pt>
                <c:pt idx="2">
                  <c:v>Debit Card</c:v>
                </c:pt>
                <c:pt idx="3">
                  <c:v>Net Banking</c:v>
                </c:pt>
                <c:pt idx="4">
                  <c:v>UPI</c:v>
                </c:pt>
              </c:strCache>
            </c:strRef>
          </c:cat>
          <c:val>
            <c:numRef>
              <c:f>'pivot tables area'!$F$152:$F$157</c:f>
              <c:numCache>
                <c:formatCode>General</c:formatCode>
                <c:ptCount val="5"/>
                <c:pt idx="0">
                  <c:v>34</c:v>
                </c:pt>
                <c:pt idx="1">
                  <c:v>44</c:v>
                </c:pt>
                <c:pt idx="2">
                  <c:v>48</c:v>
                </c:pt>
                <c:pt idx="3">
                  <c:v>35</c:v>
                </c:pt>
                <c:pt idx="4">
                  <c:v>37</c:v>
                </c:pt>
              </c:numCache>
            </c:numRef>
          </c:val>
          <c:extLst>
            <c:ext xmlns:c16="http://schemas.microsoft.com/office/drawing/2014/chart" uri="{C3380CC4-5D6E-409C-BE32-E72D297353CC}">
              <c16:uniqueId val="{00000003-114E-4375-9651-240F540E19D0}"/>
            </c:ext>
          </c:extLst>
        </c:ser>
        <c:dLbls>
          <c:dLblPos val="ctr"/>
          <c:showLegendKey val="0"/>
          <c:showVal val="1"/>
          <c:showCatName val="0"/>
          <c:showSerName val="0"/>
          <c:showPercent val="0"/>
          <c:showBubbleSize val="0"/>
        </c:dLbls>
        <c:gapWidth val="150"/>
        <c:overlap val="100"/>
        <c:axId val="1626665216"/>
        <c:axId val="1626669376"/>
      </c:barChart>
      <c:catAx>
        <c:axId val="1626665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669376"/>
        <c:crosses val="autoZero"/>
        <c:auto val="1"/>
        <c:lblAlgn val="ctr"/>
        <c:lblOffset val="100"/>
        <c:noMultiLvlLbl val="0"/>
      </c:catAx>
      <c:valAx>
        <c:axId val="16266693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665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x:chartSpace xmlns:a="http://schemas.openxmlformats.org/drawingml/2006/main" xmlns:r="http://schemas.openxmlformats.org/officeDocument/2006/relationships" xmlns:cx="http://schemas.microsoft.com/office/drawing/2014/chartex">
  <cx:chartData>
    <cx:data id="0">
      <cx:strDim type="cat">
        <cx:f>_xlchart.15</cx:f>
      </cx:strDim>
      <cx:numDim type="val">
        <cx:f>_xlchart.17</cx:f>
      </cx:numDim>
    </cx:data>
  </cx:chartData>
  <cx:chart>
    <cx:plotArea>
      <cx:plotAreaRegion>
        <cx:series layoutId="waterfall" uniqueId="{8CAED560-E9B5-4CD9-9103-7E38F0875432}">
          <cx:tx>
            <cx:txData>
              <cx:f>_xlchart.16</cx:f>
              <cx:v>Sum of Profit</cx:v>
            </cx:txData>
          </cx:tx>
          <cx:dataLabels pos="outEnd">
            <cx:visibility seriesName="0" categoryName="0" value="1"/>
          </cx:dataLabels>
          <cx:dataId val="0"/>
          <cx:layoutPr>
            <cx:subtotals/>
          </cx:layoutPr>
        </cx:series>
      </cx:plotAreaRegion>
      <cx:axis id="0">
        <cx:catScaling gapWidth="0.5"/>
        <cx:tickLabels/>
      </cx:axis>
      <cx:axis id="1" hidden="1">
        <cx:valScaling/>
        <cx:majorGridlines/>
        <cx:tickLabels/>
      </cx:axis>
    </cx:plotArea>
  </cx:chart>
</cx: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project.xlsx]pivot tables area!country Avg of ShippingDays country</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1664260717410319E-2"/>
          <c:y val="0.19486111111111112"/>
          <c:w val="0.8296894138232721"/>
          <c:h val="0.72088764946048411"/>
        </c:manualLayout>
      </c:layout>
      <c:bar3DChart>
        <c:barDir val="col"/>
        <c:grouping val="standard"/>
        <c:varyColors val="0"/>
        <c:ser>
          <c:idx val="0"/>
          <c:order val="0"/>
          <c:tx>
            <c:strRef>
              <c:f>'pivot tables area'!$R$101</c:f>
              <c:strCache>
                <c:ptCount val="1"/>
                <c:pt idx="0">
                  <c:v>Total</c:v>
                </c:pt>
              </c:strCache>
            </c:strRef>
          </c:tx>
          <c:spPr>
            <a:solidFill>
              <a:schemeClr val="accent1"/>
            </a:solidFill>
            <a:ln>
              <a:noFill/>
            </a:ln>
            <a:effectLst/>
            <a:sp3d/>
          </c:spPr>
          <c:invertIfNegative val="0"/>
          <c:cat>
            <c:strRef>
              <c:f>'pivot tables area'!$Q$102:$Q$109</c:f>
              <c:strCache>
                <c:ptCount val="7"/>
                <c:pt idx="0">
                  <c:v>Canada</c:v>
                </c:pt>
                <c:pt idx="1">
                  <c:v>France</c:v>
                </c:pt>
                <c:pt idx="2">
                  <c:v>Germany</c:v>
                </c:pt>
                <c:pt idx="3">
                  <c:v>India</c:v>
                </c:pt>
                <c:pt idx="4">
                  <c:v>UAE</c:v>
                </c:pt>
                <c:pt idx="5">
                  <c:v>UK</c:v>
                </c:pt>
                <c:pt idx="6">
                  <c:v>USA</c:v>
                </c:pt>
              </c:strCache>
            </c:strRef>
          </c:cat>
          <c:val>
            <c:numRef>
              <c:f>'pivot tables area'!$R$102:$R$109</c:f>
              <c:numCache>
                <c:formatCode>0.00</c:formatCode>
                <c:ptCount val="7"/>
                <c:pt idx="0">
                  <c:v>5.2824427480916034</c:v>
                </c:pt>
                <c:pt idx="1">
                  <c:v>5.612903225806452</c:v>
                </c:pt>
                <c:pt idx="2">
                  <c:v>5.1194029850746272</c:v>
                </c:pt>
                <c:pt idx="3">
                  <c:v>5.8680555555555554</c:v>
                </c:pt>
                <c:pt idx="4">
                  <c:v>5.711267605633803</c:v>
                </c:pt>
                <c:pt idx="5">
                  <c:v>5.6758620689655173</c:v>
                </c:pt>
                <c:pt idx="6">
                  <c:v>5.7382550335570466</c:v>
                </c:pt>
              </c:numCache>
            </c:numRef>
          </c:val>
          <c:extLst>
            <c:ext xmlns:c16="http://schemas.microsoft.com/office/drawing/2014/chart" uri="{C3380CC4-5D6E-409C-BE32-E72D297353CC}">
              <c16:uniqueId val="{00000000-5B03-49B1-B4C1-B2142B61C4FC}"/>
            </c:ext>
          </c:extLst>
        </c:ser>
        <c:dLbls>
          <c:showLegendKey val="0"/>
          <c:showVal val="0"/>
          <c:showCatName val="0"/>
          <c:showSerName val="0"/>
          <c:showPercent val="0"/>
          <c:showBubbleSize val="0"/>
        </c:dLbls>
        <c:gapWidth val="150"/>
        <c:shape val="box"/>
        <c:axId val="1802710799"/>
        <c:axId val="1802720783"/>
        <c:axId val="1816907983"/>
      </c:bar3DChart>
      <c:catAx>
        <c:axId val="1802710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720783"/>
        <c:crosses val="autoZero"/>
        <c:auto val="1"/>
        <c:lblAlgn val="ctr"/>
        <c:lblOffset val="100"/>
        <c:noMultiLvlLbl val="0"/>
      </c:catAx>
      <c:valAx>
        <c:axId val="18027207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710799"/>
        <c:crosses val="autoZero"/>
        <c:crossBetween val="between"/>
      </c:valAx>
      <c:serAx>
        <c:axId val="1816907983"/>
        <c:scaling>
          <c:orientation val="minMax"/>
        </c:scaling>
        <c:delete val="1"/>
        <c:axPos val="b"/>
        <c:majorTickMark val="none"/>
        <c:minorTickMark val="none"/>
        <c:tickLblPos val="nextTo"/>
        <c:crossAx val="1802720783"/>
        <c:crosses val="autoZero"/>
      </c:ser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project.xlsx]pivot tables area!country PaymentMethod in each country</c:name>
    <c:fmtId val="1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s>
    <c:plotArea>
      <c:layout/>
      <c:barChart>
        <c:barDir val="bar"/>
        <c:grouping val="clustered"/>
        <c:varyColors val="0"/>
        <c:ser>
          <c:idx val="0"/>
          <c:order val="0"/>
          <c:tx>
            <c:strRef>
              <c:f>'pivot tables area'!$Q$150</c:f>
              <c:strCache>
                <c:ptCount val="1"/>
                <c:pt idx="0">
                  <c:v>Total</c:v>
                </c:pt>
              </c:strCache>
            </c:strRef>
          </c:tx>
          <c:spPr>
            <a:solidFill>
              <a:schemeClr val="accent1"/>
            </a:solidFill>
            <a:ln>
              <a:noFill/>
            </a:ln>
            <a:effectLst/>
          </c:spPr>
          <c:invertIfNegative val="0"/>
          <c:dLbls>
            <c:delete val="1"/>
          </c:dLbls>
          <c:cat>
            <c:strRef>
              <c:f>'pivot tables area'!$P$151:$P$156</c:f>
              <c:strCache>
                <c:ptCount val="5"/>
                <c:pt idx="0">
                  <c:v>Cash on Delivery</c:v>
                </c:pt>
                <c:pt idx="1">
                  <c:v>Credit Card</c:v>
                </c:pt>
                <c:pt idx="2">
                  <c:v>Debit Card</c:v>
                </c:pt>
                <c:pt idx="3">
                  <c:v>Net Banking</c:v>
                </c:pt>
                <c:pt idx="4">
                  <c:v>UPI</c:v>
                </c:pt>
              </c:strCache>
            </c:strRef>
          </c:cat>
          <c:val>
            <c:numRef>
              <c:f>'pivot tables area'!$Q$151:$Q$156</c:f>
              <c:numCache>
                <c:formatCode>General</c:formatCode>
                <c:ptCount val="5"/>
                <c:pt idx="0">
                  <c:v>184</c:v>
                </c:pt>
                <c:pt idx="1">
                  <c:v>213</c:v>
                </c:pt>
                <c:pt idx="2">
                  <c:v>206</c:v>
                </c:pt>
                <c:pt idx="3">
                  <c:v>188</c:v>
                </c:pt>
                <c:pt idx="4">
                  <c:v>209</c:v>
                </c:pt>
              </c:numCache>
            </c:numRef>
          </c:val>
          <c:extLst>
            <c:ext xmlns:c16="http://schemas.microsoft.com/office/drawing/2014/chart" uri="{C3380CC4-5D6E-409C-BE32-E72D297353CC}">
              <c16:uniqueId val="{00000000-F569-49C7-921F-71D3300FAAFD}"/>
            </c:ext>
          </c:extLst>
        </c:ser>
        <c:dLbls>
          <c:dLblPos val="ctr"/>
          <c:showLegendKey val="0"/>
          <c:showVal val="1"/>
          <c:showCatName val="0"/>
          <c:showSerName val="0"/>
          <c:showPercent val="0"/>
          <c:showBubbleSize val="0"/>
        </c:dLbls>
        <c:gapWidth val="150"/>
        <c:axId val="1803028543"/>
        <c:axId val="1803010655"/>
      </c:barChart>
      <c:catAx>
        <c:axId val="180302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010655"/>
        <c:crosses val="autoZero"/>
        <c:auto val="1"/>
        <c:lblAlgn val="ctr"/>
        <c:lblOffset val="100"/>
        <c:noMultiLvlLbl val="0"/>
      </c:catAx>
      <c:valAx>
        <c:axId val="180301065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030285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project.xlsx]pivot tables area!country monthly sales trend for country</c:name>
    <c:fmtId val="17"/>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solidFill>
            <a:schemeClr val="accent1"/>
          </a:solidFill>
          <a:ln w="28575" cap="rnd">
            <a:solidFill>
              <a:schemeClr val="accent1"/>
            </a:solidFill>
            <a:round/>
          </a:ln>
          <a:effectLst/>
        </c:spPr>
        <c:marker>
          <c:symbol val="none"/>
        </c:marker>
      </c:pivotFmt>
      <c:pivotFmt>
        <c:idx val="13"/>
        <c:spPr>
          <a:solidFill>
            <a:schemeClr val="accent1"/>
          </a:solidFill>
          <a:ln w="28575" cap="rnd">
            <a:solidFill>
              <a:schemeClr val="accent1"/>
            </a:solidFill>
            <a:round/>
          </a:ln>
          <a:effectLst/>
        </c:spPr>
        <c:marker>
          <c:symbol val="none"/>
        </c:marker>
      </c:pivotFmt>
      <c:pivotFmt>
        <c:idx val="14"/>
        <c:spPr>
          <a:solidFill>
            <a:schemeClr val="accent1"/>
          </a:solidFill>
          <a:ln w="28575" cap="rnd">
            <a:solidFill>
              <a:schemeClr val="accent1"/>
            </a:solidFill>
            <a:round/>
          </a:ln>
          <a:effectLst/>
        </c:spPr>
        <c:marker>
          <c:symbol val="none"/>
        </c:marker>
      </c:pivotFmt>
      <c:pivotFmt>
        <c:idx val="15"/>
        <c:spPr>
          <a:solidFill>
            <a:schemeClr val="accent1"/>
          </a:solidFill>
          <a:ln w="28575" cap="rnd">
            <a:solidFill>
              <a:schemeClr val="accent1"/>
            </a:solidFill>
            <a:round/>
          </a:ln>
          <a:effectLst/>
        </c:spPr>
        <c:marker>
          <c:symbol val="none"/>
        </c:marker>
      </c:pivotFmt>
      <c:pivotFmt>
        <c:idx val="16"/>
        <c:spPr>
          <a:solidFill>
            <a:schemeClr val="accent1"/>
          </a:solidFill>
          <a:ln w="28575" cap="rnd">
            <a:solidFill>
              <a:schemeClr val="accent1"/>
            </a:solidFill>
            <a:round/>
          </a:ln>
          <a:effectLst/>
        </c:spPr>
        <c:marker>
          <c:symbol val="none"/>
        </c:marker>
      </c:pivotFmt>
      <c:pivotFmt>
        <c:idx val="17"/>
        <c:spPr>
          <a:solidFill>
            <a:schemeClr val="accent1"/>
          </a:solidFill>
          <a:ln w="28575" cap="rnd">
            <a:solidFill>
              <a:schemeClr val="accent1"/>
            </a:solidFill>
            <a:round/>
          </a:ln>
          <a:effectLst/>
        </c:spPr>
        <c:marker>
          <c:symbol val="none"/>
        </c:marker>
      </c:pivotFmt>
      <c:pivotFmt>
        <c:idx val="18"/>
        <c:spPr>
          <a:solidFill>
            <a:schemeClr val="accent1"/>
          </a:solidFill>
          <a:ln w="28575" cap="rnd">
            <a:solidFill>
              <a:schemeClr val="accent1"/>
            </a:solidFill>
            <a:round/>
          </a:ln>
          <a:effectLst/>
        </c:spPr>
        <c:marker>
          <c:symbol val="none"/>
        </c:marker>
      </c:pivotFmt>
      <c:pivotFmt>
        <c:idx val="19"/>
        <c:spPr>
          <a:solidFill>
            <a:schemeClr val="accent1"/>
          </a:solidFill>
          <a:ln w="28575" cap="rnd">
            <a:solidFill>
              <a:schemeClr val="accent1"/>
            </a:solidFill>
            <a:round/>
          </a:ln>
          <a:effectLst/>
        </c:spPr>
        <c:marker>
          <c:symbol val="none"/>
        </c:marker>
      </c:pivotFmt>
      <c:pivotFmt>
        <c:idx val="20"/>
        <c:spPr>
          <a:solidFill>
            <a:schemeClr val="accent1"/>
          </a:solidFill>
          <a:ln w="28575" cap="rnd">
            <a:solidFill>
              <a:schemeClr val="accent1"/>
            </a:solidFill>
            <a:round/>
          </a:ln>
          <a:effectLst/>
        </c:spPr>
        <c:marker>
          <c:symbol val="none"/>
        </c:marker>
      </c:pivotFmt>
      <c:pivotFmt>
        <c:idx val="21"/>
        <c:spPr>
          <a:solidFill>
            <a:schemeClr val="accent1"/>
          </a:solidFill>
          <a:ln w="28575" cap="rnd">
            <a:solidFill>
              <a:schemeClr val="accent1"/>
            </a:solidFill>
            <a:round/>
          </a:ln>
          <a:effectLst/>
        </c:spPr>
        <c:marker>
          <c:symbol val="none"/>
        </c:marker>
      </c:pivotFmt>
      <c:pivotFmt>
        <c:idx val="22"/>
        <c:spPr>
          <a:solidFill>
            <a:schemeClr val="accent1"/>
          </a:solidFill>
          <a:ln w="28575" cap="rnd">
            <a:solidFill>
              <a:schemeClr val="accent1"/>
            </a:solidFill>
            <a:round/>
          </a:ln>
          <a:effectLst/>
        </c:spPr>
        <c:marker>
          <c:symbol val="none"/>
        </c:marker>
      </c:pivotFmt>
      <c:pivotFmt>
        <c:idx val="23"/>
        <c:spPr>
          <a:solidFill>
            <a:schemeClr val="accent1"/>
          </a:solidFill>
          <a:ln w="28575" cap="rnd">
            <a:solidFill>
              <a:schemeClr val="accent1"/>
            </a:solidFill>
            <a:round/>
          </a:ln>
          <a:effectLst/>
        </c:spPr>
        <c:marker>
          <c:symbol val="none"/>
        </c:marker>
      </c:pivotFmt>
      <c:pivotFmt>
        <c:idx val="24"/>
        <c:spPr>
          <a:solidFill>
            <a:schemeClr val="accent1"/>
          </a:solidFill>
          <a:ln w="28575" cap="rnd">
            <a:solidFill>
              <a:schemeClr val="accent1"/>
            </a:solidFill>
            <a:round/>
          </a:ln>
          <a:effectLst/>
        </c:spPr>
        <c:marker>
          <c:symbol val="none"/>
        </c:marker>
      </c:pivotFmt>
      <c:pivotFmt>
        <c:idx val="25"/>
        <c:spPr>
          <a:solidFill>
            <a:schemeClr val="accent1"/>
          </a:solidFill>
          <a:ln w="28575" cap="rnd">
            <a:solidFill>
              <a:schemeClr val="accent1"/>
            </a:solidFill>
            <a:round/>
          </a:ln>
          <a:effectLst/>
        </c:spPr>
        <c:marker>
          <c:symbol val="none"/>
        </c:marker>
      </c:pivotFmt>
      <c:pivotFmt>
        <c:idx val="26"/>
        <c:spPr>
          <a:solidFill>
            <a:schemeClr val="accent1"/>
          </a:solidFill>
          <a:ln w="28575" cap="rnd">
            <a:solidFill>
              <a:schemeClr val="accent1"/>
            </a:solidFill>
            <a:round/>
          </a:ln>
          <a:effectLst/>
        </c:spPr>
        <c:marker>
          <c:symbol val="none"/>
        </c:marker>
      </c:pivotFmt>
      <c:pivotFmt>
        <c:idx val="27"/>
        <c:spPr>
          <a:solidFill>
            <a:schemeClr val="accent1"/>
          </a:solidFill>
          <a:ln w="28575" cap="rnd">
            <a:solidFill>
              <a:schemeClr val="accent1"/>
            </a:solidFill>
            <a:round/>
          </a:ln>
          <a:effectLst/>
        </c:spPr>
        <c:marker>
          <c:symbol val="none"/>
        </c:marker>
      </c:pivotFmt>
      <c:pivotFmt>
        <c:idx val="28"/>
        <c:spPr>
          <a:solidFill>
            <a:schemeClr val="accent1"/>
          </a:solidFill>
          <a:ln w="28575" cap="rnd">
            <a:solidFill>
              <a:schemeClr val="accent1"/>
            </a:solidFill>
            <a:round/>
          </a:ln>
          <a:effectLst/>
        </c:spPr>
        <c:marker>
          <c:symbol val="none"/>
        </c:marker>
      </c:pivotFmt>
      <c:pivotFmt>
        <c:idx val="29"/>
        <c:spPr>
          <a:solidFill>
            <a:schemeClr val="accent1"/>
          </a:solidFill>
          <a:ln w="28575" cap="rnd">
            <a:solidFill>
              <a:schemeClr val="accent1"/>
            </a:solidFill>
            <a:round/>
          </a:ln>
          <a:effectLst/>
        </c:spPr>
        <c:marker>
          <c:symbol val="none"/>
        </c:marker>
      </c:pivotFmt>
      <c:pivotFmt>
        <c:idx val="30"/>
        <c:spPr>
          <a:solidFill>
            <a:schemeClr val="accent1"/>
          </a:solidFill>
          <a:ln w="28575" cap="rnd">
            <a:solidFill>
              <a:schemeClr val="accent1"/>
            </a:solidFill>
            <a:round/>
          </a:ln>
          <a:effectLst/>
        </c:spPr>
        <c:marker>
          <c:symbol val="none"/>
        </c:marker>
      </c:pivotFmt>
      <c:pivotFmt>
        <c:idx val="31"/>
        <c:spPr>
          <a:solidFill>
            <a:schemeClr val="accent1"/>
          </a:solidFill>
          <a:ln w="28575" cap="rnd">
            <a:solidFill>
              <a:schemeClr val="accent1"/>
            </a:solidFill>
            <a:round/>
          </a:ln>
          <a:effectLst/>
        </c:spPr>
        <c:marker>
          <c:symbol val="none"/>
        </c:marker>
      </c:pivotFmt>
      <c:pivotFmt>
        <c:idx val="32"/>
        <c:spPr>
          <a:solidFill>
            <a:schemeClr val="accent1"/>
          </a:solidFill>
          <a:ln w="28575" cap="rnd">
            <a:solidFill>
              <a:schemeClr val="accent1"/>
            </a:solidFill>
            <a:round/>
          </a:ln>
          <a:effectLst/>
        </c:spPr>
        <c:marker>
          <c:symbol val="none"/>
        </c:marker>
      </c:pivotFmt>
      <c:pivotFmt>
        <c:idx val="33"/>
        <c:spPr>
          <a:solidFill>
            <a:schemeClr val="accent1"/>
          </a:solidFill>
          <a:ln w="28575" cap="rnd">
            <a:solidFill>
              <a:schemeClr val="accent1"/>
            </a:solidFill>
            <a:round/>
          </a:ln>
          <a:effectLst/>
        </c:spPr>
        <c:marker>
          <c:symbol val="none"/>
        </c:marker>
      </c:pivotFmt>
      <c:pivotFmt>
        <c:idx val="34"/>
        <c:spPr>
          <a:solidFill>
            <a:schemeClr val="accent1"/>
          </a:solidFill>
          <a:ln w="28575" cap="rnd">
            <a:solidFill>
              <a:schemeClr val="accent1"/>
            </a:solidFill>
            <a:round/>
          </a:ln>
          <a:effectLst/>
        </c:spPr>
        <c:marker>
          <c:symbol val="none"/>
        </c:marker>
      </c:pivotFmt>
      <c:pivotFmt>
        <c:idx val="35"/>
        <c:spPr>
          <a:solidFill>
            <a:schemeClr val="accent1"/>
          </a:solidFill>
          <a:ln w="28575" cap="rnd">
            <a:solidFill>
              <a:schemeClr val="accent1"/>
            </a:solidFill>
            <a:round/>
          </a:ln>
          <a:effectLst/>
        </c:spPr>
        <c:marker>
          <c:symbol val="none"/>
        </c:marker>
      </c:pivotFmt>
      <c:pivotFmt>
        <c:idx val="36"/>
        <c:spPr>
          <a:solidFill>
            <a:schemeClr val="accent1"/>
          </a:solidFill>
          <a:ln w="28575" cap="rnd">
            <a:solidFill>
              <a:schemeClr val="accent1"/>
            </a:solidFill>
            <a:round/>
          </a:ln>
          <a:effectLst/>
        </c:spPr>
        <c:marker>
          <c:symbol val="none"/>
        </c:marker>
      </c:pivotFmt>
      <c:pivotFmt>
        <c:idx val="37"/>
        <c:spPr>
          <a:solidFill>
            <a:schemeClr val="accent1"/>
          </a:solidFill>
          <a:ln w="28575" cap="rnd">
            <a:solidFill>
              <a:schemeClr val="accent1"/>
            </a:solidFill>
            <a:round/>
          </a:ln>
          <a:effectLst/>
        </c:spPr>
        <c:marker>
          <c:symbol val="none"/>
        </c:marker>
      </c:pivotFmt>
      <c:pivotFmt>
        <c:idx val="38"/>
        <c:spPr>
          <a:solidFill>
            <a:schemeClr val="accent1"/>
          </a:solidFill>
          <a:ln w="28575" cap="rnd">
            <a:solidFill>
              <a:schemeClr val="accent1"/>
            </a:solidFill>
            <a:round/>
          </a:ln>
          <a:effectLst/>
        </c:spPr>
        <c:marker>
          <c:symbol val="none"/>
        </c:marker>
      </c:pivotFmt>
      <c:pivotFmt>
        <c:idx val="39"/>
        <c:spPr>
          <a:solidFill>
            <a:schemeClr val="accent1"/>
          </a:solidFill>
          <a:ln w="28575" cap="rnd">
            <a:solidFill>
              <a:schemeClr val="accent1"/>
            </a:solidFill>
            <a:round/>
          </a:ln>
          <a:effectLst/>
        </c:spPr>
        <c:marker>
          <c:symbol val="none"/>
        </c:marker>
      </c:pivotFmt>
      <c:pivotFmt>
        <c:idx val="40"/>
        <c:spPr>
          <a:ln w="28575" cap="rnd">
            <a:solidFill>
              <a:schemeClr val="accent1"/>
            </a:solidFill>
            <a:round/>
          </a:ln>
          <a:effectLst/>
        </c:spPr>
        <c:marker>
          <c:symbol val="none"/>
        </c:marker>
      </c:pivotFmt>
      <c:pivotFmt>
        <c:idx val="41"/>
        <c:spPr>
          <a:ln w="28575" cap="rnd">
            <a:solidFill>
              <a:schemeClr val="accent1"/>
            </a:solidFill>
            <a:round/>
          </a:ln>
          <a:effectLst/>
        </c:spPr>
        <c:marker>
          <c:symbol val="none"/>
        </c:marker>
      </c:pivotFmt>
      <c:pivotFmt>
        <c:idx val="42"/>
        <c:spPr>
          <a:ln w="28575" cap="rnd">
            <a:solidFill>
              <a:schemeClr val="accent1"/>
            </a:solidFill>
            <a:round/>
          </a:ln>
          <a:effectLst/>
        </c:spPr>
        <c:marker>
          <c:symbol val="none"/>
        </c:marker>
      </c:pivotFmt>
      <c:pivotFmt>
        <c:idx val="43"/>
        <c:spPr>
          <a:ln w="28575" cap="rnd">
            <a:solidFill>
              <a:schemeClr val="accent1"/>
            </a:solidFill>
            <a:round/>
          </a:ln>
          <a:effectLst/>
        </c:spPr>
        <c:marker>
          <c:symbol val="none"/>
        </c:marker>
      </c:pivotFmt>
      <c:pivotFmt>
        <c:idx val="44"/>
        <c:spPr>
          <a:ln w="28575" cap="rnd">
            <a:solidFill>
              <a:schemeClr val="accent1"/>
            </a:solidFill>
            <a:round/>
          </a:ln>
          <a:effectLst/>
        </c:spPr>
        <c:marker>
          <c:symbol val="none"/>
        </c:marker>
      </c:pivotFmt>
      <c:pivotFmt>
        <c:idx val="45"/>
        <c:spPr>
          <a:ln w="28575" cap="rnd">
            <a:solidFill>
              <a:schemeClr val="accent1"/>
            </a:solidFill>
            <a:round/>
          </a:ln>
          <a:effectLst/>
        </c:spPr>
        <c:marker>
          <c:symbol val="none"/>
        </c:marker>
      </c:pivotFmt>
      <c:pivotFmt>
        <c:idx val="46"/>
        <c:spPr>
          <a:ln w="28575" cap="rnd">
            <a:solidFill>
              <a:schemeClr val="accent1"/>
            </a:solidFill>
            <a:round/>
          </a:ln>
          <a:effectLst/>
        </c:spPr>
        <c:marker>
          <c:symbol val="none"/>
        </c:marker>
      </c:pivotFmt>
      <c:pivotFmt>
        <c:idx val="47"/>
        <c:spPr>
          <a:solidFill>
            <a:schemeClr val="accent1"/>
          </a:solidFill>
          <a:ln w="28575" cap="rnd">
            <a:solidFill>
              <a:schemeClr val="accent1"/>
            </a:solidFill>
            <a:round/>
          </a:ln>
          <a:effectLst/>
        </c:spPr>
        <c:marker>
          <c:symbol val="none"/>
        </c:marker>
      </c:pivotFmt>
      <c:pivotFmt>
        <c:idx val="48"/>
        <c:spPr>
          <a:solidFill>
            <a:schemeClr val="accent1"/>
          </a:solidFill>
          <a:ln w="28575" cap="rnd">
            <a:solidFill>
              <a:schemeClr val="accent1"/>
            </a:solidFill>
            <a:round/>
          </a:ln>
          <a:effectLst/>
        </c:spPr>
        <c:marker>
          <c:symbol val="none"/>
        </c:marker>
      </c:pivotFmt>
      <c:pivotFmt>
        <c:idx val="49"/>
        <c:spPr>
          <a:solidFill>
            <a:schemeClr val="accent1"/>
          </a:solidFill>
          <a:ln w="28575" cap="rnd">
            <a:solidFill>
              <a:schemeClr val="accent1"/>
            </a:solidFill>
            <a:round/>
          </a:ln>
          <a:effectLst/>
        </c:spPr>
        <c:marker>
          <c:symbol val="none"/>
        </c:marker>
      </c:pivotFmt>
      <c:pivotFmt>
        <c:idx val="50"/>
        <c:spPr>
          <a:solidFill>
            <a:schemeClr val="accent1"/>
          </a:solidFill>
          <a:ln w="28575" cap="rnd">
            <a:solidFill>
              <a:schemeClr val="accent1"/>
            </a:solidFill>
            <a:round/>
          </a:ln>
          <a:effectLst/>
        </c:spPr>
        <c:marker>
          <c:symbol val="none"/>
        </c:marker>
      </c:pivotFmt>
      <c:pivotFmt>
        <c:idx val="51"/>
        <c:spPr>
          <a:solidFill>
            <a:schemeClr val="accent1"/>
          </a:solidFill>
          <a:ln w="28575" cap="rnd">
            <a:solidFill>
              <a:schemeClr val="accent1"/>
            </a:solidFill>
            <a:round/>
          </a:ln>
          <a:effectLst/>
        </c:spPr>
        <c:marker>
          <c:symbol val="none"/>
        </c:marker>
      </c:pivotFmt>
      <c:pivotFmt>
        <c:idx val="52"/>
        <c:spPr>
          <a:solidFill>
            <a:schemeClr val="accent1"/>
          </a:solidFill>
          <a:ln w="28575" cap="rnd">
            <a:solidFill>
              <a:schemeClr val="accent1"/>
            </a:solidFill>
            <a:round/>
          </a:ln>
          <a:effectLst/>
        </c:spPr>
        <c:marker>
          <c:symbol val="none"/>
        </c:marker>
      </c:pivotFmt>
      <c:pivotFmt>
        <c:idx val="53"/>
        <c:spPr>
          <a:solidFill>
            <a:schemeClr val="accent1"/>
          </a:solidFill>
          <a:ln w="28575" cap="rnd">
            <a:solidFill>
              <a:schemeClr val="accent1"/>
            </a:solidFill>
            <a:round/>
          </a:ln>
          <a:effectLst/>
        </c:spPr>
        <c:marker>
          <c:symbol val="none"/>
        </c:marker>
      </c:pivotFmt>
      <c:pivotFmt>
        <c:idx val="54"/>
        <c:spPr>
          <a:solidFill>
            <a:schemeClr val="accent1"/>
          </a:solidFill>
          <a:ln w="28575" cap="rnd">
            <a:solidFill>
              <a:schemeClr val="accent1"/>
            </a:solidFill>
            <a:round/>
          </a:ln>
          <a:effectLst/>
        </c:spPr>
        <c:marker>
          <c:symbol val="none"/>
        </c:marker>
      </c:pivotFmt>
      <c:pivotFmt>
        <c:idx val="55"/>
        <c:spPr>
          <a:solidFill>
            <a:schemeClr val="accent1"/>
          </a:solidFill>
          <a:ln w="28575" cap="rnd">
            <a:solidFill>
              <a:schemeClr val="accent1"/>
            </a:solidFill>
            <a:round/>
          </a:ln>
          <a:effectLst/>
        </c:spPr>
        <c:marker>
          <c:symbol val="none"/>
        </c:marker>
      </c:pivotFmt>
      <c:pivotFmt>
        <c:idx val="56"/>
        <c:spPr>
          <a:solidFill>
            <a:schemeClr val="accent1"/>
          </a:solidFill>
          <a:ln w="28575" cap="rnd">
            <a:solidFill>
              <a:schemeClr val="accent1"/>
            </a:solidFill>
            <a:round/>
          </a:ln>
          <a:effectLst/>
        </c:spPr>
        <c:marker>
          <c:symbol val="none"/>
        </c:marker>
      </c:pivotFmt>
      <c:pivotFmt>
        <c:idx val="57"/>
        <c:spPr>
          <a:solidFill>
            <a:schemeClr val="accent1"/>
          </a:solidFill>
          <a:ln w="28575" cap="rnd">
            <a:solidFill>
              <a:schemeClr val="accent1"/>
            </a:solidFill>
            <a:round/>
          </a:ln>
          <a:effectLst/>
        </c:spPr>
        <c:marker>
          <c:symbol val="none"/>
        </c:marker>
      </c:pivotFmt>
      <c:pivotFmt>
        <c:idx val="58"/>
        <c:spPr>
          <a:solidFill>
            <a:schemeClr val="accent1"/>
          </a:solidFill>
          <a:ln w="28575" cap="rnd">
            <a:solidFill>
              <a:schemeClr val="accent1"/>
            </a:solidFill>
            <a:round/>
          </a:ln>
          <a:effectLst/>
        </c:spPr>
        <c:marker>
          <c:symbol val="none"/>
        </c:marker>
      </c:pivotFmt>
      <c:pivotFmt>
        <c:idx val="59"/>
        <c:spPr>
          <a:solidFill>
            <a:schemeClr val="accent1"/>
          </a:solidFill>
          <a:ln w="28575" cap="rnd">
            <a:solidFill>
              <a:schemeClr val="accent1"/>
            </a:solidFill>
            <a:round/>
          </a:ln>
          <a:effectLst/>
        </c:spPr>
        <c:marker>
          <c:symbol val="none"/>
        </c:marker>
      </c:pivotFmt>
      <c:pivotFmt>
        <c:idx val="60"/>
        <c:spPr>
          <a:solidFill>
            <a:schemeClr val="accent1"/>
          </a:solidFill>
          <a:ln w="28575" cap="rnd">
            <a:solidFill>
              <a:schemeClr val="accent1"/>
            </a:solidFill>
            <a:round/>
          </a:ln>
          <a:effectLst/>
        </c:spPr>
        <c:marker>
          <c:symbol val="none"/>
        </c:marker>
      </c:pivotFmt>
      <c:pivotFmt>
        <c:idx val="61"/>
        <c:spPr>
          <a:solidFill>
            <a:schemeClr val="accent1"/>
          </a:solidFill>
          <a:ln w="28575" cap="rnd">
            <a:solidFill>
              <a:schemeClr val="accent1"/>
            </a:solidFill>
            <a:round/>
          </a:ln>
          <a:effectLst/>
        </c:spPr>
        <c:marker>
          <c:symbol val="none"/>
        </c:marker>
      </c:pivotFmt>
      <c:pivotFmt>
        <c:idx val="62"/>
        <c:spPr>
          <a:solidFill>
            <a:schemeClr val="accent1"/>
          </a:solidFill>
          <a:ln w="28575" cap="rnd">
            <a:solidFill>
              <a:schemeClr val="accent1"/>
            </a:solidFill>
            <a:round/>
          </a:ln>
          <a:effectLst/>
        </c:spPr>
        <c:marker>
          <c:symbol val="none"/>
        </c:marker>
      </c:pivotFmt>
      <c:pivotFmt>
        <c:idx val="63"/>
        <c:spPr>
          <a:solidFill>
            <a:schemeClr val="accent1"/>
          </a:solidFill>
          <a:ln w="28575" cap="rnd">
            <a:solidFill>
              <a:schemeClr val="accent1"/>
            </a:solidFill>
            <a:round/>
          </a:ln>
          <a:effectLst/>
        </c:spPr>
        <c:marker>
          <c:symbol val="none"/>
        </c:marker>
      </c:pivotFmt>
      <c:pivotFmt>
        <c:idx val="64"/>
        <c:spPr>
          <a:solidFill>
            <a:schemeClr val="accent1"/>
          </a:solidFill>
          <a:ln w="28575" cap="rnd">
            <a:solidFill>
              <a:schemeClr val="accent1"/>
            </a:solidFill>
            <a:round/>
          </a:ln>
          <a:effectLst/>
        </c:spPr>
        <c:marker>
          <c:symbol val="none"/>
        </c:marker>
      </c:pivotFmt>
      <c:pivotFmt>
        <c:idx val="65"/>
        <c:spPr>
          <a:solidFill>
            <a:schemeClr val="accent1"/>
          </a:solidFill>
          <a:ln w="28575" cap="rnd">
            <a:solidFill>
              <a:schemeClr val="accent1"/>
            </a:solidFill>
            <a:round/>
          </a:ln>
          <a:effectLst/>
        </c:spPr>
        <c:marker>
          <c:symbol val="none"/>
        </c:marker>
      </c:pivotFmt>
      <c:pivotFmt>
        <c:idx val="66"/>
        <c:spPr>
          <a:solidFill>
            <a:schemeClr val="accent1"/>
          </a:solidFill>
          <a:ln w="28575" cap="rnd">
            <a:solidFill>
              <a:schemeClr val="accent1"/>
            </a:solidFill>
            <a:round/>
          </a:ln>
          <a:effectLst/>
        </c:spPr>
        <c:marker>
          <c:symbol val="none"/>
        </c:marker>
      </c:pivotFmt>
      <c:pivotFmt>
        <c:idx val="67"/>
        <c:spPr>
          <a:solidFill>
            <a:schemeClr val="accent1"/>
          </a:solidFill>
          <a:ln w="28575" cap="rnd">
            <a:solidFill>
              <a:schemeClr val="accent1"/>
            </a:solidFill>
            <a:round/>
          </a:ln>
          <a:effectLst/>
        </c:spPr>
        <c:marker>
          <c:symbol val="none"/>
        </c:marker>
      </c:pivotFmt>
      <c:pivotFmt>
        <c:idx val="68"/>
        <c:spPr>
          <a:solidFill>
            <a:schemeClr val="accent1"/>
          </a:solidFill>
          <a:ln w="28575" cap="rnd">
            <a:solidFill>
              <a:schemeClr val="accent1"/>
            </a:solidFill>
            <a:round/>
          </a:ln>
          <a:effectLst/>
        </c:spPr>
        <c:marker>
          <c:symbol val="none"/>
        </c:marker>
      </c:pivotFmt>
      <c:pivotFmt>
        <c:idx val="69"/>
        <c:spPr>
          <a:solidFill>
            <a:schemeClr val="accent1"/>
          </a:solidFill>
          <a:ln w="28575" cap="rnd">
            <a:solidFill>
              <a:schemeClr val="accent1"/>
            </a:solidFill>
            <a:round/>
          </a:ln>
          <a:effectLst/>
        </c:spPr>
        <c:marker>
          <c:symbol val="none"/>
        </c:marker>
      </c:pivotFmt>
      <c:pivotFmt>
        <c:idx val="70"/>
        <c:spPr>
          <a:solidFill>
            <a:schemeClr val="accent1"/>
          </a:solidFill>
          <a:ln w="28575" cap="rnd">
            <a:solidFill>
              <a:schemeClr val="accent1"/>
            </a:solidFill>
            <a:round/>
          </a:ln>
          <a:effectLst/>
        </c:spPr>
        <c:marker>
          <c:symbol val="none"/>
        </c:marker>
      </c:pivotFmt>
      <c:pivotFmt>
        <c:idx val="71"/>
        <c:spPr>
          <a:solidFill>
            <a:schemeClr val="accent1"/>
          </a:solidFill>
          <a:ln w="28575" cap="rnd">
            <a:solidFill>
              <a:schemeClr val="accent1"/>
            </a:solidFill>
            <a:round/>
          </a:ln>
          <a:effectLst/>
        </c:spPr>
        <c:marker>
          <c:symbol val="none"/>
        </c:marker>
      </c:pivotFmt>
      <c:pivotFmt>
        <c:idx val="72"/>
        <c:spPr>
          <a:solidFill>
            <a:schemeClr val="accent1"/>
          </a:solidFill>
          <a:ln w="28575" cap="rnd">
            <a:solidFill>
              <a:schemeClr val="accent1"/>
            </a:solidFill>
            <a:round/>
          </a:ln>
          <a:effectLst/>
        </c:spPr>
        <c:marker>
          <c:symbol val="none"/>
        </c:marker>
      </c:pivotFmt>
      <c:pivotFmt>
        <c:idx val="73"/>
        <c:spPr>
          <a:solidFill>
            <a:schemeClr val="accent1"/>
          </a:solidFill>
          <a:ln w="28575" cap="rnd">
            <a:solidFill>
              <a:schemeClr val="accent1"/>
            </a:solidFill>
            <a:round/>
          </a:ln>
          <a:effectLst/>
        </c:spPr>
        <c:marker>
          <c:symbol val="none"/>
        </c:marker>
      </c:pivotFmt>
      <c:pivotFmt>
        <c:idx val="74"/>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strRef>
              <c:f>'pivot tables area'!$R$201:$R$202</c:f>
              <c:strCache>
                <c:ptCount val="1"/>
                <c:pt idx="0">
                  <c:v>Canada</c:v>
                </c:pt>
              </c:strCache>
            </c:strRef>
          </c:tx>
          <c:spPr>
            <a:ln w="28575" cap="rnd">
              <a:solidFill>
                <a:schemeClr val="accent1"/>
              </a:solidFill>
              <a:round/>
            </a:ln>
            <a:effectLst/>
          </c:spPr>
          <c:marker>
            <c:symbol val="none"/>
          </c:marker>
          <c:cat>
            <c:multiLvlStrRef>
              <c:f>'pivot tables area'!$Q$203:$Q$229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'pivot tables area'!$R$203:$R$229</c:f>
              <c:numCache>
                <c:formatCode>General</c:formatCode>
                <c:ptCount val="24"/>
                <c:pt idx="0">
                  <c:v>17664.509999999998</c:v>
                </c:pt>
                <c:pt idx="1">
                  <c:v>19672.16</c:v>
                </c:pt>
                <c:pt idx="2">
                  <c:v>546.72</c:v>
                </c:pt>
                <c:pt idx="3">
                  <c:v>7862.33</c:v>
                </c:pt>
                <c:pt idx="4">
                  <c:v>2918.62</c:v>
                </c:pt>
                <c:pt idx="5">
                  <c:v>909.02</c:v>
                </c:pt>
                <c:pt idx="6">
                  <c:v>6761.12</c:v>
                </c:pt>
                <c:pt idx="7">
                  <c:v>4669.41</c:v>
                </c:pt>
                <c:pt idx="8">
                  <c:v>9763.25</c:v>
                </c:pt>
                <c:pt idx="9">
                  <c:v>4172</c:v>
                </c:pt>
                <c:pt idx="10">
                  <c:v>2492.2400000000002</c:v>
                </c:pt>
                <c:pt idx="11">
                  <c:v>11411.65</c:v>
                </c:pt>
                <c:pt idx="12">
                  <c:v>6891.4100000000008</c:v>
                </c:pt>
                <c:pt idx="13">
                  <c:v>9556.369999999999</c:v>
                </c:pt>
                <c:pt idx="14">
                  <c:v>1486.28</c:v>
                </c:pt>
                <c:pt idx="15">
                  <c:v>6157.2800000000007</c:v>
                </c:pt>
                <c:pt idx="16">
                  <c:v>10473.369999999999</c:v>
                </c:pt>
                <c:pt idx="17">
                  <c:v>6425.01</c:v>
                </c:pt>
                <c:pt idx="18">
                  <c:v>9675.2999999999993</c:v>
                </c:pt>
                <c:pt idx="19">
                  <c:v>10933.140000000001</c:v>
                </c:pt>
                <c:pt idx="20">
                  <c:v>14914.36</c:v>
                </c:pt>
                <c:pt idx="21">
                  <c:v>9745.2199999999993</c:v>
                </c:pt>
                <c:pt idx="22">
                  <c:v>14513.85</c:v>
                </c:pt>
                <c:pt idx="23">
                  <c:v>3788.24</c:v>
                </c:pt>
              </c:numCache>
            </c:numRef>
          </c:val>
          <c:smooth val="0"/>
          <c:extLst>
            <c:ext xmlns:c16="http://schemas.microsoft.com/office/drawing/2014/chart" uri="{C3380CC4-5D6E-409C-BE32-E72D297353CC}">
              <c16:uniqueId val="{00000000-2371-4746-9CD1-A26F216170B9}"/>
            </c:ext>
          </c:extLst>
        </c:ser>
        <c:ser>
          <c:idx val="1"/>
          <c:order val="1"/>
          <c:tx>
            <c:strRef>
              <c:f>'pivot tables area'!$S$201:$S$202</c:f>
              <c:strCache>
                <c:ptCount val="1"/>
                <c:pt idx="0">
                  <c:v>France</c:v>
                </c:pt>
              </c:strCache>
            </c:strRef>
          </c:tx>
          <c:spPr>
            <a:ln w="28575" cap="rnd">
              <a:solidFill>
                <a:schemeClr val="accent2"/>
              </a:solidFill>
              <a:round/>
            </a:ln>
            <a:effectLst/>
          </c:spPr>
          <c:marker>
            <c:symbol val="none"/>
          </c:marker>
          <c:cat>
            <c:multiLvlStrRef>
              <c:f>'pivot tables area'!$Q$203:$Q$229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'pivot tables area'!$S$203:$S$229</c:f>
              <c:numCache>
                <c:formatCode>General</c:formatCode>
                <c:ptCount val="24"/>
                <c:pt idx="0">
                  <c:v>5446.78</c:v>
                </c:pt>
                <c:pt idx="1">
                  <c:v>13369.720000000001</c:v>
                </c:pt>
                <c:pt idx="2">
                  <c:v>9560.23</c:v>
                </c:pt>
                <c:pt idx="3">
                  <c:v>13262.359999999999</c:v>
                </c:pt>
                <c:pt idx="4">
                  <c:v>9145.89</c:v>
                </c:pt>
                <c:pt idx="5">
                  <c:v>11779.81</c:v>
                </c:pt>
                <c:pt idx="6">
                  <c:v>14050.029999999999</c:v>
                </c:pt>
                <c:pt idx="7">
                  <c:v>16019.579999999998</c:v>
                </c:pt>
                <c:pt idx="8">
                  <c:v>7779.7300000000005</c:v>
                </c:pt>
                <c:pt idx="9">
                  <c:v>5463.2899999999991</c:v>
                </c:pt>
                <c:pt idx="10">
                  <c:v>5080.0599999999995</c:v>
                </c:pt>
                <c:pt idx="11">
                  <c:v>18834.73</c:v>
                </c:pt>
                <c:pt idx="12">
                  <c:v>4042.88</c:v>
                </c:pt>
                <c:pt idx="13">
                  <c:v>3785.0200000000004</c:v>
                </c:pt>
                <c:pt idx="14">
                  <c:v>5486.0199999999995</c:v>
                </c:pt>
                <c:pt idx="15">
                  <c:v>9175.2899999999991</c:v>
                </c:pt>
                <c:pt idx="16">
                  <c:v>7079.2400000000007</c:v>
                </c:pt>
                <c:pt idx="17">
                  <c:v>13014.91</c:v>
                </c:pt>
                <c:pt idx="18">
                  <c:v>13445.039999999999</c:v>
                </c:pt>
                <c:pt idx="19">
                  <c:v>10421.69</c:v>
                </c:pt>
                <c:pt idx="20">
                  <c:v>1051.1600000000001</c:v>
                </c:pt>
                <c:pt idx="21">
                  <c:v>11148.28</c:v>
                </c:pt>
                <c:pt idx="22">
                  <c:v>9538.8000000000011</c:v>
                </c:pt>
                <c:pt idx="23">
                  <c:v>8341.94</c:v>
                </c:pt>
              </c:numCache>
            </c:numRef>
          </c:val>
          <c:smooth val="0"/>
          <c:extLst>
            <c:ext xmlns:c16="http://schemas.microsoft.com/office/drawing/2014/chart" uri="{C3380CC4-5D6E-409C-BE32-E72D297353CC}">
              <c16:uniqueId val="{00000000-6315-483B-9D6A-4BC1599F6445}"/>
            </c:ext>
          </c:extLst>
        </c:ser>
        <c:ser>
          <c:idx val="2"/>
          <c:order val="2"/>
          <c:tx>
            <c:strRef>
              <c:f>'pivot tables area'!$T$201:$T$202</c:f>
              <c:strCache>
                <c:ptCount val="1"/>
                <c:pt idx="0">
                  <c:v>Germany</c:v>
                </c:pt>
              </c:strCache>
            </c:strRef>
          </c:tx>
          <c:spPr>
            <a:ln w="28575" cap="rnd">
              <a:solidFill>
                <a:schemeClr val="accent3"/>
              </a:solidFill>
              <a:round/>
            </a:ln>
            <a:effectLst/>
          </c:spPr>
          <c:marker>
            <c:symbol val="none"/>
          </c:marker>
          <c:cat>
            <c:multiLvlStrRef>
              <c:f>'pivot tables area'!$Q$203:$Q$229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'pivot tables area'!$T$203:$T$229</c:f>
              <c:numCache>
                <c:formatCode>General</c:formatCode>
                <c:ptCount val="24"/>
                <c:pt idx="0">
                  <c:v>8991.17</c:v>
                </c:pt>
                <c:pt idx="1">
                  <c:v>12463.64</c:v>
                </c:pt>
                <c:pt idx="2">
                  <c:v>10280.59</c:v>
                </c:pt>
                <c:pt idx="3">
                  <c:v>10306.700000000001</c:v>
                </c:pt>
                <c:pt idx="4">
                  <c:v>12127.889999999998</c:v>
                </c:pt>
                <c:pt idx="5">
                  <c:v>4273.08</c:v>
                </c:pt>
                <c:pt idx="6">
                  <c:v>2758.97</c:v>
                </c:pt>
                <c:pt idx="7">
                  <c:v>8289.33</c:v>
                </c:pt>
                <c:pt idx="8">
                  <c:v>12094.53</c:v>
                </c:pt>
                <c:pt idx="9">
                  <c:v>5719.43</c:v>
                </c:pt>
                <c:pt idx="10">
                  <c:v>11567.099999999999</c:v>
                </c:pt>
                <c:pt idx="11">
                  <c:v>17046.739999999998</c:v>
                </c:pt>
                <c:pt idx="12">
                  <c:v>7847.18</c:v>
                </c:pt>
                <c:pt idx="13">
                  <c:v>16318.65</c:v>
                </c:pt>
                <c:pt idx="14">
                  <c:v>5337.01</c:v>
                </c:pt>
                <c:pt idx="15">
                  <c:v>4595.1899999999996</c:v>
                </c:pt>
                <c:pt idx="16">
                  <c:v>9412.6899999999987</c:v>
                </c:pt>
                <c:pt idx="17">
                  <c:v>8495.32</c:v>
                </c:pt>
                <c:pt idx="18">
                  <c:v>2441.38</c:v>
                </c:pt>
                <c:pt idx="19">
                  <c:v>5053.24</c:v>
                </c:pt>
                <c:pt idx="20">
                  <c:v>8615.26</c:v>
                </c:pt>
                <c:pt idx="21">
                  <c:v>3976.59</c:v>
                </c:pt>
                <c:pt idx="22">
                  <c:v>4644.49</c:v>
                </c:pt>
                <c:pt idx="23">
                  <c:v>12848.61</c:v>
                </c:pt>
              </c:numCache>
            </c:numRef>
          </c:val>
          <c:smooth val="0"/>
          <c:extLst>
            <c:ext xmlns:c16="http://schemas.microsoft.com/office/drawing/2014/chart" uri="{C3380CC4-5D6E-409C-BE32-E72D297353CC}">
              <c16:uniqueId val="{00000001-6315-483B-9D6A-4BC1599F6445}"/>
            </c:ext>
          </c:extLst>
        </c:ser>
        <c:ser>
          <c:idx val="3"/>
          <c:order val="3"/>
          <c:tx>
            <c:strRef>
              <c:f>'pivot tables area'!$U$201:$U$202</c:f>
              <c:strCache>
                <c:ptCount val="1"/>
                <c:pt idx="0">
                  <c:v>India</c:v>
                </c:pt>
              </c:strCache>
            </c:strRef>
          </c:tx>
          <c:spPr>
            <a:ln w="28575" cap="rnd">
              <a:solidFill>
                <a:schemeClr val="accent4"/>
              </a:solidFill>
              <a:round/>
            </a:ln>
            <a:effectLst/>
          </c:spPr>
          <c:marker>
            <c:symbol val="none"/>
          </c:marker>
          <c:cat>
            <c:multiLvlStrRef>
              <c:f>'pivot tables area'!$Q$203:$Q$229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'pivot tables area'!$U$203:$U$229</c:f>
              <c:numCache>
                <c:formatCode>General</c:formatCode>
                <c:ptCount val="24"/>
                <c:pt idx="0">
                  <c:v>12315.46</c:v>
                </c:pt>
                <c:pt idx="1">
                  <c:v>510.47</c:v>
                </c:pt>
                <c:pt idx="2">
                  <c:v>7691.1500000000005</c:v>
                </c:pt>
                <c:pt idx="3">
                  <c:v>8598.99</c:v>
                </c:pt>
                <c:pt idx="4">
                  <c:v>9643.8900000000012</c:v>
                </c:pt>
                <c:pt idx="5">
                  <c:v>11985.72</c:v>
                </c:pt>
                <c:pt idx="6">
                  <c:v>7256.4599999999991</c:v>
                </c:pt>
                <c:pt idx="7">
                  <c:v>18645.03</c:v>
                </c:pt>
                <c:pt idx="8">
                  <c:v>9055.2100000000009</c:v>
                </c:pt>
                <c:pt idx="9">
                  <c:v>16309.52</c:v>
                </c:pt>
                <c:pt idx="10">
                  <c:v>2990.2</c:v>
                </c:pt>
                <c:pt idx="11">
                  <c:v>21389.58</c:v>
                </c:pt>
                <c:pt idx="12">
                  <c:v>10774.25</c:v>
                </c:pt>
                <c:pt idx="13">
                  <c:v>9118.4200000000019</c:v>
                </c:pt>
                <c:pt idx="14">
                  <c:v>6866.29</c:v>
                </c:pt>
                <c:pt idx="15">
                  <c:v>12551.87</c:v>
                </c:pt>
                <c:pt idx="16">
                  <c:v>9885.6899999999987</c:v>
                </c:pt>
                <c:pt idx="17">
                  <c:v>9254.52</c:v>
                </c:pt>
                <c:pt idx="18">
                  <c:v>5862.1399999999994</c:v>
                </c:pt>
                <c:pt idx="19">
                  <c:v>7628.3799999999992</c:v>
                </c:pt>
                <c:pt idx="20">
                  <c:v>3728.46</c:v>
                </c:pt>
                <c:pt idx="21">
                  <c:v>15808.189999999999</c:v>
                </c:pt>
                <c:pt idx="22">
                  <c:v>2571.0300000000002</c:v>
                </c:pt>
                <c:pt idx="23">
                  <c:v>14735.380000000001</c:v>
                </c:pt>
              </c:numCache>
            </c:numRef>
          </c:val>
          <c:smooth val="0"/>
          <c:extLst>
            <c:ext xmlns:c16="http://schemas.microsoft.com/office/drawing/2014/chart" uri="{C3380CC4-5D6E-409C-BE32-E72D297353CC}">
              <c16:uniqueId val="{00000002-6315-483B-9D6A-4BC1599F6445}"/>
            </c:ext>
          </c:extLst>
        </c:ser>
        <c:ser>
          <c:idx val="4"/>
          <c:order val="4"/>
          <c:tx>
            <c:strRef>
              <c:f>'pivot tables area'!$V$201:$V$202</c:f>
              <c:strCache>
                <c:ptCount val="1"/>
                <c:pt idx="0">
                  <c:v>UAE</c:v>
                </c:pt>
              </c:strCache>
            </c:strRef>
          </c:tx>
          <c:spPr>
            <a:ln w="28575" cap="rnd">
              <a:solidFill>
                <a:schemeClr val="accent5"/>
              </a:solidFill>
              <a:round/>
            </a:ln>
            <a:effectLst/>
          </c:spPr>
          <c:marker>
            <c:symbol val="none"/>
          </c:marker>
          <c:cat>
            <c:multiLvlStrRef>
              <c:f>'pivot tables area'!$Q$203:$Q$229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'pivot tables area'!$V$203:$V$229</c:f>
              <c:numCache>
                <c:formatCode>General</c:formatCode>
                <c:ptCount val="24"/>
                <c:pt idx="0">
                  <c:v>16043.12</c:v>
                </c:pt>
                <c:pt idx="1">
                  <c:v>5685.6799999999994</c:v>
                </c:pt>
                <c:pt idx="2">
                  <c:v>7302.2199999999993</c:v>
                </c:pt>
                <c:pt idx="3">
                  <c:v>7836.99</c:v>
                </c:pt>
                <c:pt idx="4">
                  <c:v>9473.619999999999</c:v>
                </c:pt>
                <c:pt idx="5">
                  <c:v>14259.95</c:v>
                </c:pt>
                <c:pt idx="6">
                  <c:v>5413.0999999999995</c:v>
                </c:pt>
                <c:pt idx="7">
                  <c:v>11777.750000000002</c:v>
                </c:pt>
                <c:pt idx="8">
                  <c:v>16030.04</c:v>
                </c:pt>
                <c:pt idx="9">
                  <c:v>18106.22</c:v>
                </c:pt>
                <c:pt idx="10">
                  <c:v>11246.74</c:v>
                </c:pt>
                <c:pt idx="11">
                  <c:v>2511.5</c:v>
                </c:pt>
                <c:pt idx="12">
                  <c:v>11246.77</c:v>
                </c:pt>
                <c:pt idx="13">
                  <c:v>3234.4900000000002</c:v>
                </c:pt>
                <c:pt idx="14">
                  <c:v>5143.63</c:v>
                </c:pt>
                <c:pt idx="15">
                  <c:v>9217.5499999999993</c:v>
                </c:pt>
                <c:pt idx="16">
                  <c:v>9377.9500000000007</c:v>
                </c:pt>
                <c:pt idx="17">
                  <c:v>6803.61</c:v>
                </c:pt>
                <c:pt idx="18">
                  <c:v>8146.92</c:v>
                </c:pt>
                <c:pt idx="19">
                  <c:v>16202.969999999998</c:v>
                </c:pt>
                <c:pt idx="20">
                  <c:v>8047.3</c:v>
                </c:pt>
                <c:pt idx="21">
                  <c:v>2371.7799999999997</c:v>
                </c:pt>
                <c:pt idx="22">
                  <c:v>9063</c:v>
                </c:pt>
                <c:pt idx="23">
                  <c:v>7275.9900000000007</c:v>
                </c:pt>
              </c:numCache>
            </c:numRef>
          </c:val>
          <c:smooth val="0"/>
          <c:extLst>
            <c:ext xmlns:c16="http://schemas.microsoft.com/office/drawing/2014/chart" uri="{C3380CC4-5D6E-409C-BE32-E72D297353CC}">
              <c16:uniqueId val="{00000003-6315-483B-9D6A-4BC1599F6445}"/>
            </c:ext>
          </c:extLst>
        </c:ser>
        <c:ser>
          <c:idx val="5"/>
          <c:order val="5"/>
          <c:tx>
            <c:strRef>
              <c:f>'pivot tables area'!$W$201:$W$202</c:f>
              <c:strCache>
                <c:ptCount val="1"/>
                <c:pt idx="0">
                  <c:v>UK</c:v>
                </c:pt>
              </c:strCache>
            </c:strRef>
          </c:tx>
          <c:spPr>
            <a:ln w="28575" cap="rnd">
              <a:solidFill>
                <a:schemeClr val="accent6"/>
              </a:solidFill>
              <a:round/>
            </a:ln>
            <a:effectLst/>
          </c:spPr>
          <c:marker>
            <c:symbol val="none"/>
          </c:marker>
          <c:cat>
            <c:multiLvlStrRef>
              <c:f>'pivot tables area'!$Q$203:$Q$229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'pivot tables area'!$W$203:$W$229</c:f>
              <c:numCache>
                <c:formatCode>General</c:formatCode>
                <c:ptCount val="24"/>
                <c:pt idx="0">
                  <c:v>6045.31</c:v>
                </c:pt>
                <c:pt idx="1">
                  <c:v>10359.68</c:v>
                </c:pt>
                <c:pt idx="2">
                  <c:v>12781.67</c:v>
                </c:pt>
                <c:pt idx="3">
                  <c:v>942.31</c:v>
                </c:pt>
                <c:pt idx="4">
                  <c:v>14076.449999999999</c:v>
                </c:pt>
                <c:pt idx="5">
                  <c:v>3438.5400000000004</c:v>
                </c:pt>
                <c:pt idx="6">
                  <c:v>7500.29</c:v>
                </c:pt>
                <c:pt idx="7">
                  <c:v>8348.43</c:v>
                </c:pt>
                <c:pt idx="8">
                  <c:v>22640.33</c:v>
                </c:pt>
                <c:pt idx="9">
                  <c:v>8490.9499999999989</c:v>
                </c:pt>
                <c:pt idx="10">
                  <c:v>11660.730000000001</c:v>
                </c:pt>
                <c:pt idx="11">
                  <c:v>12802.76</c:v>
                </c:pt>
                <c:pt idx="12">
                  <c:v>11725.619999999999</c:v>
                </c:pt>
                <c:pt idx="13">
                  <c:v>3322.55</c:v>
                </c:pt>
                <c:pt idx="14">
                  <c:v>10520.009999999998</c:v>
                </c:pt>
                <c:pt idx="15">
                  <c:v>2399.69</c:v>
                </c:pt>
                <c:pt idx="16">
                  <c:v>4869.42</c:v>
                </c:pt>
                <c:pt idx="17">
                  <c:v>11679.29</c:v>
                </c:pt>
                <c:pt idx="18">
                  <c:v>2759.83</c:v>
                </c:pt>
                <c:pt idx="19">
                  <c:v>9673.4</c:v>
                </c:pt>
                <c:pt idx="20">
                  <c:v>5415.32</c:v>
                </c:pt>
                <c:pt idx="21">
                  <c:v>13040.250000000002</c:v>
                </c:pt>
                <c:pt idx="22">
                  <c:v>8114.0499999999993</c:v>
                </c:pt>
                <c:pt idx="23">
                  <c:v>14843.91</c:v>
                </c:pt>
              </c:numCache>
            </c:numRef>
          </c:val>
          <c:smooth val="0"/>
          <c:extLst>
            <c:ext xmlns:c16="http://schemas.microsoft.com/office/drawing/2014/chart" uri="{C3380CC4-5D6E-409C-BE32-E72D297353CC}">
              <c16:uniqueId val="{00000004-6315-483B-9D6A-4BC1599F6445}"/>
            </c:ext>
          </c:extLst>
        </c:ser>
        <c:ser>
          <c:idx val="6"/>
          <c:order val="6"/>
          <c:tx>
            <c:strRef>
              <c:f>'pivot tables area'!$X$201:$X$202</c:f>
              <c:strCache>
                <c:ptCount val="1"/>
                <c:pt idx="0">
                  <c:v>USA</c:v>
                </c:pt>
              </c:strCache>
            </c:strRef>
          </c:tx>
          <c:spPr>
            <a:ln w="28575" cap="rnd">
              <a:solidFill>
                <a:schemeClr val="accent1">
                  <a:lumMod val="60000"/>
                </a:schemeClr>
              </a:solidFill>
              <a:round/>
            </a:ln>
            <a:effectLst/>
          </c:spPr>
          <c:marker>
            <c:symbol val="none"/>
          </c:marker>
          <c:cat>
            <c:multiLvlStrRef>
              <c:f>'pivot tables area'!$Q$203:$Q$229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'pivot tables area'!$X$203:$X$229</c:f>
              <c:numCache>
                <c:formatCode>General</c:formatCode>
                <c:ptCount val="24"/>
                <c:pt idx="0">
                  <c:v>2873.86</c:v>
                </c:pt>
                <c:pt idx="1">
                  <c:v>8971.989999999998</c:v>
                </c:pt>
                <c:pt idx="2">
                  <c:v>18310.170000000002</c:v>
                </c:pt>
                <c:pt idx="3">
                  <c:v>10746.300000000001</c:v>
                </c:pt>
                <c:pt idx="4">
                  <c:v>11950.03</c:v>
                </c:pt>
                <c:pt idx="5">
                  <c:v>19274.349999999999</c:v>
                </c:pt>
                <c:pt idx="6">
                  <c:v>12953.02</c:v>
                </c:pt>
                <c:pt idx="7">
                  <c:v>7440.21</c:v>
                </c:pt>
                <c:pt idx="8">
                  <c:v>14262.75</c:v>
                </c:pt>
                <c:pt idx="9">
                  <c:v>4944.8500000000004</c:v>
                </c:pt>
                <c:pt idx="10">
                  <c:v>7256.0300000000007</c:v>
                </c:pt>
                <c:pt idx="11">
                  <c:v>4240.37</c:v>
                </c:pt>
                <c:pt idx="12">
                  <c:v>8327.380000000001</c:v>
                </c:pt>
                <c:pt idx="13">
                  <c:v>7017.71</c:v>
                </c:pt>
                <c:pt idx="14">
                  <c:v>8655.5999999999985</c:v>
                </c:pt>
                <c:pt idx="15">
                  <c:v>19287.519999999997</c:v>
                </c:pt>
                <c:pt idx="16">
                  <c:v>6072.45</c:v>
                </c:pt>
                <c:pt idx="17">
                  <c:v>9171.4399999999987</c:v>
                </c:pt>
                <c:pt idx="18">
                  <c:v>2450.1400000000003</c:v>
                </c:pt>
                <c:pt idx="19">
                  <c:v>9056.5999999999985</c:v>
                </c:pt>
                <c:pt idx="20">
                  <c:v>1451.12</c:v>
                </c:pt>
                <c:pt idx="21">
                  <c:v>12519.91</c:v>
                </c:pt>
                <c:pt idx="22">
                  <c:v>7619.92</c:v>
                </c:pt>
                <c:pt idx="23">
                  <c:v>12922.66</c:v>
                </c:pt>
              </c:numCache>
            </c:numRef>
          </c:val>
          <c:smooth val="0"/>
          <c:extLst>
            <c:ext xmlns:c16="http://schemas.microsoft.com/office/drawing/2014/chart" uri="{C3380CC4-5D6E-409C-BE32-E72D297353CC}">
              <c16:uniqueId val="{00000005-6315-483B-9D6A-4BC1599F6445}"/>
            </c:ext>
          </c:extLst>
        </c:ser>
        <c:dLbls>
          <c:showLegendKey val="0"/>
          <c:showVal val="0"/>
          <c:showCatName val="0"/>
          <c:showSerName val="0"/>
          <c:showPercent val="0"/>
          <c:showBubbleSize val="0"/>
        </c:dLbls>
        <c:smooth val="0"/>
        <c:axId val="1803032703"/>
        <c:axId val="1803015231"/>
      </c:lineChart>
      <c:catAx>
        <c:axId val="1803032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015231"/>
        <c:crosses val="autoZero"/>
        <c:auto val="1"/>
        <c:lblAlgn val="ctr"/>
        <c:lblOffset val="100"/>
        <c:noMultiLvlLbl val="0"/>
      </c:catAx>
      <c:valAx>
        <c:axId val="1803015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032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project.xlsx]pivot tables area!country discount vs profit in country</c:name>
    <c:fmtId val="15"/>
  </c:pivotSource>
  <c:chart>
    <c:autoTitleDeleted val="0"/>
    <c:pivotFmts>
      <c:pivotFmt>
        <c:idx val="0"/>
      </c:pivotFmt>
      <c:pivotFmt>
        <c:idx val="1"/>
      </c:pivotFmt>
      <c:pivotFmt>
        <c:idx val="2"/>
      </c:pivotFmt>
      <c:pivotFmt>
        <c:idx val="3"/>
      </c:pivotFmt>
      <c:pivotFmt>
        <c:idx val="4"/>
      </c:pivotFmt>
      <c:pivotFmt>
        <c:idx val="5"/>
        <c:spPr>
          <a:solidFill>
            <a:schemeClr val="accent1"/>
          </a:solidFill>
          <a:ln>
            <a:noFill/>
          </a:ln>
          <a:effectLst/>
        </c:spPr>
        <c:marker>
          <c:symbol val="none"/>
        </c:marker>
      </c:pivotFmt>
      <c:pivotFmt>
        <c:idx val="6"/>
        <c:spPr>
          <a:solidFill>
            <a:schemeClr val="accent1"/>
          </a:solidFill>
          <a:ln>
            <a:noFill/>
          </a:ln>
          <a:effectLst/>
        </c:spPr>
        <c:marker>
          <c:spPr>
            <a:solidFill>
              <a:schemeClr val="accent1"/>
            </a:solidFill>
            <a:ln w="9525">
              <a:solidFill>
                <a:schemeClr val="accent1"/>
              </a:solidFill>
            </a:ln>
            <a:effectLst/>
          </c:spPr>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s>
    <c:plotArea>
      <c:layout/>
      <c:areaChart>
        <c:grouping val="stacked"/>
        <c:varyColors val="0"/>
        <c:ser>
          <c:idx val="0"/>
          <c:order val="0"/>
          <c:tx>
            <c:strRef>
              <c:f>'pivot tables area'!$Q$3</c:f>
              <c:strCache>
                <c:ptCount val="1"/>
                <c:pt idx="0">
                  <c:v>Average of Discount</c:v>
                </c:pt>
              </c:strCache>
            </c:strRef>
          </c:tx>
          <c:spPr>
            <a:solidFill>
              <a:schemeClr val="accent1"/>
            </a:solidFill>
            <a:ln>
              <a:noFill/>
            </a:ln>
            <a:effectLst/>
          </c:spPr>
          <c:cat>
            <c:strRef>
              <c:f>'pivot tables area'!$P$4:$P$11</c:f>
              <c:strCache>
                <c:ptCount val="7"/>
                <c:pt idx="0">
                  <c:v>Canada</c:v>
                </c:pt>
                <c:pt idx="1">
                  <c:v>France</c:v>
                </c:pt>
                <c:pt idx="2">
                  <c:v>Germany</c:v>
                </c:pt>
                <c:pt idx="3">
                  <c:v>India</c:v>
                </c:pt>
                <c:pt idx="4">
                  <c:v>UAE</c:v>
                </c:pt>
                <c:pt idx="5">
                  <c:v>UK</c:v>
                </c:pt>
                <c:pt idx="6">
                  <c:v>USA</c:v>
                </c:pt>
              </c:strCache>
            </c:strRef>
          </c:cat>
          <c:val>
            <c:numRef>
              <c:f>'pivot tables area'!$Q$4:$Q$11</c:f>
              <c:numCache>
                <c:formatCode>0.00</c:formatCode>
                <c:ptCount val="7"/>
                <c:pt idx="0">
                  <c:v>0.15679389312977107</c:v>
                </c:pt>
                <c:pt idx="1">
                  <c:v>0.14290322580645151</c:v>
                </c:pt>
                <c:pt idx="2">
                  <c:v>0.15537313432835823</c:v>
                </c:pt>
                <c:pt idx="3">
                  <c:v>0.14340277777777788</c:v>
                </c:pt>
                <c:pt idx="4">
                  <c:v>0.14950704225352118</c:v>
                </c:pt>
                <c:pt idx="5">
                  <c:v>0.13737931034482762</c:v>
                </c:pt>
                <c:pt idx="6">
                  <c:v>0.1483892617449665</c:v>
                </c:pt>
              </c:numCache>
            </c:numRef>
          </c:val>
          <c:extLst>
            <c:ext xmlns:c16="http://schemas.microsoft.com/office/drawing/2014/chart" uri="{C3380CC4-5D6E-409C-BE32-E72D297353CC}">
              <c16:uniqueId val="{00000000-D47A-4454-A81B-510B452B30E2}"/>
            </c:ext>
          </c:extLst>
        </c:ser>
        <c:dLbls>
          <c:showLegendKey val="0"/>
          <c:showVal val="0"/>
          <c:showCatName val="0"/>
          <c:showSerName val="0"/>
          <c:showPercent val="0"/>
          <c:showBubbleSize val="0"/>
        </c:dLbls>
        <c:axId val="1602297199"/>
        <c:axId val="1602294703"/>
      </c:areaChart>
      <c:barChart>
        <c:barDir val="col"/>
        <c:grouping val="clustered"/>
        <c:varyColors val="0"/>
        <c:ser>
          <c:idx val="1"/>
          <c:order val="1"/>
          <c:tx>
            <c:strRef>
              <c:f>'pivot tables area'!$R$3</c:f>
              <c:strCache>
                <c:ptCount val="1"/>
                <c:pt idx="0">
                  <c:v>Sum of Profit</c:v>
                </c:pt>
              </c:strCache>
            </c:strRef>
          </c:tx>
          <c:spPr>
            <a:solidFill>
              <a:schemeClr val="accent2"/>
            </a:solidFill>
            <a:ln>
              <a:noFill/>
            </a:ln>
            <a:effectLst/>
          </c:spPr>
          <c:invertIfNegative val="0"/>
          <c:cat>
            <c:strRef>
              <c:f>'pivot tables area'!$P$4:$P$11</c:f>
              <c:strCache>
                <c:ptCount val="7"/>
                <c:pt idx="0">
                  <c:v>Canada</c:v>
                </c:pt>
                <c:pt idx="1">
                  <c:v>France</c:v>
                </c:pt>
                <c:pt idx="2">
                  <c:v>Germany</c:v>
                </c:pt>
                <c:pt idx="3">
                  <c:v>India</c:v>
                </c:pt>
                <c:pt idx="4">
                  <c:v>UAE</c:v>
                </c:pt>
                <c:pt idx="5">
                  <c:v>UK</c:v>
                </c:pt>
                <c:pt idx="6">
                  <c:v>USA</c:v>
                </c:pt>
              </c:strCache>
            </c:strRef>
          </c:cat>
          <c:val>
            <c:numRef>
              <c:f>'pivot tables area'!$R$4:$R$11</c:f>
              <c:numCache>
                <c:formatCode>0.0</c:formatCode>
                <c:ptCount val="7"/>
                <c:pt idx="0">
                  <c:v>40819.830000000016</c:v>
                </c:pt>
                <c:pt idx="1">
                  <c:v>52572.970000000016</c:v>
                </c:pt>
                <c:pt idx="2">
                  <c:v>47662.869999999995</c:v>
                </c:pt>
                <c:pt idx="3">
                  <c:v>53046.860000000008</c:v>
                </c:pt>
                <c:pt idx="4">
                  <c:v>52824.610000000015</c:v>
                </c:pt>
                <c:pt idx="5">
                  <c:v>47362.180000000015</c:v>
                </c:pt>
                <c:pt idx="6">
                  <c:v>50713.350000000013</c:v>
                </c:pt>
              </c:numCache>
            </c:numRef>
          </c:val>
          <c:extLst>
            <c:ext xmlns:c16="http://schemas.microsoft.com/office/drawing/2014/chart" uri="{C3380CC4-5D6E-409C-BE32-E72D297353CC}">
              <c16:uniqueId val="{00000001-D47A-4454-A81B-510B452B30E2}"/>
            </c:ext>
          </c:extLst>
        </c:ser>
        <c:dLbls>
          <c:showLegendKey val="0"/>
          <c:showVal val="0"/>
          <c:showCatName val="0"/>
          <c:showSerName val="0"/>
          <c:showPercent val="0"/>
          <c:showBubbleSize val="0"/>
        </c:dLbls>
        <c:gapWidth val="219"/>
        <c:axId val="1602298031"/>
        <c:axId val="1783853103"/>
      </c:barChart>
      <c:valAx>
        <c:axId val="1783853103"/>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298031"/>
        <c:crosses val="autoZero"/>
        <c:crossBetween val="between"/>
      </c:valAx>
      <c:catAx>
        <c:axId val="1602298031"/>
        <c:scaling>
          <c:orientation val="minMax"/>
        </c:scaling>
        <c:delete val="1"/>
        <c:axPos val="b"/>
        <c:numFmt formatCode="General" sourceLinked="1"/>
        <c:majorTickMark val="out"/>
        <c:minorTickMark val="none"/>
        <c:tickLblPos val="nextTo"/>
        <c:crossAx val="1783853103"/>
        <c:crosses val="autoZero"/>
        <c:auto val="1"/>
        <c:lblAlgn val="ctr"/>
        <c:lblOffset val="100"/>
        <c:noMultiLvlLbl val="0"/>
      </c:catAx>
      <c:valAx>
        <c:axId val="160229470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297199"/>
        <c:crosses val="max"/>
        <c:crossBetween val="between"/>
      </c:valAx>
      <c:catAx>
        <c:axId val="1602297199"/>
        <c:scaling>
          <c:orientation val="minMax"/>
        </c:scaling>
        <c:delete val="1"/>
        <c:axPos val="b"/>
        <c:numFmt formatCode="General" sourceLinked="1"/>
        <c:majorTickMark val="out"/>
        <c:minorTickMark val="none"/>
        <c:tickLblPos val="nextTo"/>
        <c:crossAx val="160229470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project.xlsx]pivot tables area!country profit margin percentage country</c:name>
    <c:fmtId val="14"/>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s>
    <c:plotArea>
      <c:layout/>
      <c:barChart>
        <c:barDir val="col"/>
        <c:grouping val="clustered"/>
        <c:varyColors val="0"/>
        <c:ser>
          <c:idx val="0"/>
          <c:order val="0"/>
          <c:tx>
            <c:strRef>
              <c:f>'pivot tables area'!$N$68</c:f>
              <c:strCache>
                <c:ptCount val="1"/>
                <c:pt idx="0">
                  <c:v>Sum of Profit</c:v>
                </c:pt>
              </c:strCache>
            </c:strRef>
          </c:tx>
          <c:spPr>
            <a:solidFill>
              <a:schemeClr val="accent1"/>
            </a:solidFill>
            <a:ln>
              <a:noFill/>
            </a:ln>
            <a:effectLst/>
          </c:spPr>
          <c:invertIfNegative val="0"/>
          <c:cat>
            <c:strRef>
              <c:f>'pivot tables area'!$M$69:$M$76</c:f>
              <c:strCache>
                <c:ptCount val="7"/>
                <c:pt idx="0">
                  <c:v>Canada</c:v>
                </c:pt>
                <c:pt idx="1">
                  <c:v>France</c:v>
                </c:pt>
                <c:pt idx="2">
                  <c:v>Germany</c:v>
                </c:pt>
                <c:pt idx="3">
                  <c:v>India</c:v>
                </c:pt>
                <c:pt idx="4">
                  <c:v>UAE</c:v>
                </c:pt>
                <c:pt idx="5">
                  <c:v>UK</c:v>
                </c:pt>
                <c:pt idx="6">
                  <c:v>USA</c:v>
                </c:pt>
              </c:strCache>
            </c:strRef>
          </c:cat>
          <c:val>
            <c:numRef>
              <c:f>'pivot tables area'!$N$69:$N$76</c:f>
              <c:numCache>
                <c:formatCode>General</c:formatCode>
                <c:ptCount val="7"/>
                <c:pt idx="0">
                  <c:v>40819.830000000016</c:v>
                </c:pt>
                <c:pt idx="1">
                  <c:v>52572.970000000016</c:v>
                </c:pt>
                <c:pt idx="2">
                  <c:v>47662.869999999995</c:v>
                </c:pt>
                <c:pt idx="3">
                  <c:v>53046.860000000008</c:v>
                </c:pt>
                <c:pt idx="4">
                  <c:v>52824.610000000015</c:v>
                </c:pt>
                <c:pt idx="5">
                  <c:v>47362.180000000015</c:v>
                </c:pt>
                <c:pt idx="6">
                  <c:v>50713.350000000013</c:v>
                </c:pt>
              </c:numCache>
            </c:numRef>
          </c:val>
          <c:extLst>
            <c:ext xmlns:c16="http://schemas.microsoft.com/office/drawing/2014/chart" uri="{C3380CC4-5D6E-409C-BE32-E72D297353CC}">
              <c16:uniqueId val="{00000000-E95F-4981-89FB-3B6B0355C818}"/>
            </c:ext>
          </c:extLst>
        </c:ser>
        <c:ser>
          <c:idx val="1"/>
          <c:order val="1"/>
          <c:tx>
            <c:strRef>
              <c:f>'pivot tables area'!$O$68</c:f>
              <c:strCache>
                <c:ptCount val="1"/>
                <c:pt idx="0">
                  <c:v>Sum of Sales</c:v>
                </c:pt>
              </c:strCache>
            </c:strRef>
          </c:tx>
          <c:spPr>
            <a:solidFill>
              <a:schemeClr val="accent2"/>
            </a:solidFill>
            <a:ln>
              <a:noFill/>
            </a:ln>
            <a:effectLst/>
          </c:spPr>
          <c:invertIfNegative val="0"/>
          <c:cat>
            <c:strRef>
              <c:f>'pivot tables area'!$M$69:$M$76</c:f>
              <c:strCache>
                <c:ptCount val="7"/>
                <c:pt idx="0">
                  <c:v>Canada</c:v>
                </c:pt>
                <c:pt idx="1">
                  <c:v>France</c:v>
                </c:pt>
                <c:pt idx="2">
                  <c:v>Germany</c:v>
                </c:pt>
                <c:pt idx="3">
                  <c:v>India</c:v>
                </c:pt>
                <c:pt idx="4">
                  <c:v>UAE</c:v>
                </c:pt>
                <c:pt idx="5">
                  <c:v>UK</c:v>
                </c:pt>
                <c:pt idx="6">
                  <c:v>USA</c:v>
                </c:pt>
              </c:strCache>
            </c:strRef>
          </c:cat>
          <c:val>
            <c:numRef>
              <c:f>'pivot tables area'!$O$69:$O$76</c:f>
              <c:numCache>
                <c:formatCode>General</c:formatCode>
                <c:ptCount val="7"/>
                <c:pt idx="0">
                  <c:v>193402.8599999999</c:v>
                </c:pt>
                <c:pt idx="1">
                  <c:v>226322.48000000016</c:v>
                </c:pt>
                <c:pt idx="2">
                  <c:v>205504.77999999991</c:v>
                </c:pt>
                <c:pt idx="3">
                  <c:v>235176.30000000005</c:v>
                </c:pt>
                <c:pt idx="4">
                  <c:v>221818.89</c:v>
                </c:pt>
                <c:pt idx="5">
                  <c:v>217450.78999999995</c:v>
                </c:pt>
                <c:pt idx="6">
                  <c:v>227776.38000000003</c:v>
                </c:pt>
              </c:numCache>
            </c:numRef>
          </c:val>
          <c:extLst>
            <c:ext xmlns:c16="http://schemas.microsoft.com/office/drawing/2014/chart" uri="{C3380CC4-5D6E-409C-BE32-E72D297353CC}">
              <c16:uniqueId val="{00000001-E95F-4981-89FB-3B6B0355C818}"/>
            </c:ext>
          </c:extLst>
        </c:ser>
        <c:dLbls>
          <c:showLegendKey val="0"/>
          <c:showVal val="0"/>
          <c:showCatName val="0"/>
          <c:showSerName val="0"/>
          <c:showPercent val="0"/>
          <c:showBubbleSize val="0"/>
        </c:dLbls>
        <c:gapWidth val="219"/>
        <c:overlap val="-27"/>
        <c:axId val="1803023135"/>
        <c:axId val="1803011487"/>
      </c:barChart>
      <c:lineChart>
        <c:grouping val="standard"/>
        <c:varyColors val="0"/>
        <c:ser>
          <c:idx val="2"/>
          <c:order val="2"/>
          <c:tx>
            <c:strRef>
              <c:f>'pivot tables area'!$P$68</c:f>
              <c:strCache>
                <c:ptCount val="1"/>
                <c:pt idx="0">
                  <c:v>Percentage of Profit Margin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tables area'!$M$69:$M$76</c:f>
              <c:strCache>
                <c:ptCount val="7"/>
                <c:pt idx="0">
                  <c:v>Canada</c:v>
                </c:pt>
                <c:pt idx="1">
                  <c:v>France</c:v>
                </c:pt>
                <c:pt idx="2">
                  <c:v>Germany</c:v>
                </c:pt>
                <c:pt idx="3">
                  <c:v>India</c:v>
                </c:pt>
                <c:pt idx="4">
                  <c:v>UAE</c:v>
                </c:pt>
                <c:pt idx="5">
                  <c:v>UK</c:v>
                </c:pt>
                <c:pt idx="6">
                  <c:v>USA</c:v>
                </c:pt>
              </c:strCache>
            </c:strRef>
          </c:cat>
          <c:val>
            <c:numRef>
              <c:f>'pivot tables area'!$P$69:$P$76</c:f>
              <c:numCache>
                <c:formatCode>0.00%</c:formatCode>
                <c:ptCount val="7"/>
                <c:pt idx="0">
                  <c:v>0.21106114976789919</c:v>
                </c:pt>
                <c:pt idx="1">
                  <c:v>0.23229230255872055</c:v>
                </c:pt>
                <c:pt idx="2">
                  <c:v>0.23193071226859061</c:v>
                </c:pt>
                <c:pt idx="3">
                  <c:v>0.22556209958231335</c:v>
                </c:pt>
                <c:pt idx="4">
                  <c:v>0.23814297330583528</c:v>
                </c:pt>
                <c:pt idx="5">
                  <c:v>0.21780642875567399</c:v>
                </c:pt>
                <c:pt idx="6">
                  <c:v>0.22264534189190296</c:v>
                </c:pt>
              </c:numCache>
            </c:numRef>
          </c:val>
          <c:smooth val="0"/>
          <c:extLst>
            <c:ext xmlns:c16="http://schemas.microsoft.com/office/drawing/2014/chart" uri="{C3380CC4-5D6E-409C-BE32-E72D297353CC}">
              <c16:uniqueId val="{00000002-E95F-4981-89FB-3B6B0355C818}"/>
            </c:ext>
          </c:extLst>
        </c:ser>
        <c:dLbls>
          <c:showLegendKey val="0"/>
          <c:showVal val="0"/>
          <c:showCatName val="0"/>
          <c:showSerName val="0"/>
          <c:showPercent val="0"/>
          <c:showBubbleSize val="0"/>
        </c:dLbls>
        <c:marker val="1"/>
        <c:smooth val="0"/>
        <c:axId val="1803026463"/>
        <c:axId val="1803026047"/>
      </c:lineChart>
      <c:catAx>
        <c:axId val="1803023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011487"/>
        <c:crosses val="autoZero"/>
        <c:auto val="1"/>
        <c:lblAlgn val="ctr"/>
        <c:lblOffset val="100"/>
        <c:noMultiLvlLbl val="0"/>
      </c:catAx>
      <c:valAx>
        <c:axId val="1803011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023135"/>
        <c:crosses val="autoZero"/>
        <c:crossBetween val="between"/>
      </c:valAx>
      <c:valAx>
        <c:axId val="180302604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026463"/>
        <c:crosses val="max"/>
        <c:crossBetween val="between"/>
      </c:valAx>
      <c:catAx>
        <c:axId val="1803026463"/>
        <c:scaling>
          <c:orientation val="minMax"/>
        </c:scaling>
        <c:delete val="1"/>
        <c:axPos val="b"/>
        <c:numFmt formatCode="General" sourceLinked="1"/>
        <c:majorTickMark val="out"/>
        <c:minorTickMark val="none"/>
        <c:tickLblPos val="nextTo"/>
        <c:crossAx val="180302604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project.xlsx]pivot tables area!city shipping days</c:name>
    <c:fmtId val="21"/>
  </c:pivotSource>
  <c:chart>
    <c:autoTitleDeleted val="0"/>
    <c:pivotFmts>
      <c:pivotFmt>
        <c:idx val="0"/>
      </c:pivotFmt>
      <c:pivotFmt>
        <c:idx val="1"/>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areaChart>
        <c:grouping val="standard"/>
        <c:varyColors val="0"/>
        <c:ser>
          <c:idx val="1"/>
          <c:order val="1"/>
          <c:tx>
            <c:strRef>
              <c:f>'pivot tables area'!$AM$3</c:f>
              <c:strCache>
                <c:ptCount val="1"/>
                <c:pt idx="0">
                  <c:v>Sum of Sales</c:v>
                </c:pt>
              </c:strCache>
            </c:strRef>
          </c:tx>
          <c:spPr>
            <a:solidFill>
              <a:schemeClr val="accent2"/>
            </a:solidFill>
            <a:ln>
              <a:noFill/>
            </a:ln>
            <a:effectLst/>
          </c:spPr>
          <c:cat>
            <c:strRef>
              <c:f>'pivot tables area'!$AK$4:$AK$14</c:f>
              <c:strCache>
                <c:ptCount val="10"/>
                <c:pt idx="0">
                  <c:v>1</c:v>
                </c:pt>
                <c:pt idx="1">
                  <c:v>2</c:v>
                </c:pt>
                <c:pt idx="2">
                  <c:v>3</c:v>
                </c:pt>
                <c:pt idx="3">
                  <c:v>4</c:v>
                </c:pt>
                <c:pt idx="4">
                  <c:v>5</c:v>
                </c:pt>
                <c:pt idx="5">
                  <c:v>6</c:v>
                </c:pt>
                <c:pt idx="6">
                  <c:v>7</c:v>
                </c:pt>
                <c:pt idx="7">
                  <c:v>8</c:v>
                </c:pt>
                <c:pt idx="8">
                  <c:v>9</c:v>
                </c:pt>
                <c:pt idx="9">
                  <c:v>10</c:v>
                </c:pt>
              </c:strCache>
            </c:strRef>
          </c:cat>
          <c:val>
            <c:numRef>
              <c:f>'pivot tables area'!$AM$4:$AM$14</c:f>
              <c:numCache>
                <c:formatCode>General</c:formatCode>
                <c:ptCount val="10"/>
                <c:pt idx="0">
                  <c:v>148867.96999999994</c:v>
                </c:pt>
                <c:pt idx="1">
                  <c:v>140781.32000000007</c:v>
                </c:pt>
                <c:pt idx="2">
                  <c:v>156495.54</c:v>
                </c:pt>
                <c:pt idx="3">
                  <c:v>148691.53000000003</c:v>
                </c:pt>
                <c:pt idx="4">
                  <c:v>167319.15</c:v>
                </c:pt>
                <c:pt idx="5">
                  <c:v>169754.38000000003</c:v>
                </c:pt>
                <c:pt idx="6">
                  <c:v>157259.28000000003</c:v>
                </c:pt>
                <c:pt idx="7">
                  <c:v>143036.89999999991</c:v>
                </c:pt>
                <c:pt idx="8">
                  <c:v>129274.95999999996</c:v>
                </c:pt>
                <c:pt idx="9">
                  <c:v>165971.44999999998</c:v>
                </c:pt>
              </c:numCache>
            </c:numRef>
          </c:val>
          <c:extLst>
            <c:ext xmlns:c16="http://schemas.microsoft.com/office/drawing/2014/chart" uri="{C3380CC4-5D6E-409C-BE32-E72D297353CC}">
              <c16:uniqueId val="{00000001-F7FA-4B78-914D-BE72E4B142C7}"/>
            </c:ext>
          </c:extLst>
        </c:ser>
        <c:dLbls>
          <c:showLegendKey val="0"/>
          <c:showVal val="0"/>
          <c:showCatName val="0"/>
          <c:showSerName val="0"/>
          <c:showPercent val="0"/>
          <c:showBubbleSize val="0"/>
        </c:dLbls>
        <c:axId val="1792540319"/>
        <c:axId val="1792534079"/>
      </c:areaChart>
      <c:barChart>
        <c:barDir val="col"/>
        <c:grouping val="clustered"/>
        <c:varyColors val="0"/>
        <c:ser>
          <c:idx val="0"/>
          <c:order val="0"/>
          <c:tx>
            <c:strRef>
              <c:f>'pivot tables area'!$AL$3</c:f>
              <c:strCache>
                <c:ptCount val="1"/>
                <c:pt idx="0">
                  <c:v>Sum of Profit</c:v>
                </c:pt>
              </c:strCache>
            </c:strRef>
          </c:tx>
          <c:spPr>
            <a:solidFill>
              <a:schemeClr val="accent1"/>
            </a:solidFill>
            <a:ln>
              <a:noFill/>
            </a:ln>
            <a:effectLst/>
          </c:spPr>
          <c:invertIfNegative val="0"/>
          <c:cat>
            <c:strRef>
              <c:f>'pivot tables area'!$AK$4:$AK$14</c:f>
              <c:strCache>
                <c:ptCount val="10"/>
                <c:pt idx="0">
                  <c:v>1</c:v>
                </c:pt>
                <c:pt idx="1">
                  <c:v>2</c:v>
                </c:pt>
                <c:pt idx="2">
                  <c:v>3</c:v>
                </c:pt>
                <c:pt idx="3">
                  <c:v>4</c:v>
                </c:pt>
                <c:pt idx="4">
                  <c:v>5</c:v>
                </c:pt>
                <c:pt idx="5">
                  <c:v>6</c:v>
                </c:pt>
                <c:pt idx="6">
                  <c:v>7</c:v>
                </c:pt>
                <c:pt idx="7">
                  <c:v>8</c:v>
                </c:pt>
                <c:pt idx="8">
                  <c:v>9</c:v>
                </c:pt>
                <c:pt idx="9">
                  <c:v>10</c:v>
                </c:pt>
              </c:strCache>
            </c:strRef>
          </c:cat>
          <c:val>
            <c:numRef>
              <c:f>'pivot tables area'!$AL$4:$AL$14</c:f>
              <c:numCache>
                <c:formatCode>0.0</c:formatCode>
                <c:ptCount val="10"/>
                <c:pt idx="0">
                  <c:v>35516.229999999996</c:v>
                </c:pt>
                <c:pt idx="1">
                  <c:v>33028.94</c:v>
                </c:pt>
                <c:pt idx="2">
                  <c:v>34342.74</c:v>
                </c:pt>
                <c:pt idx="3">
                  <c:v>32504.460000000003</c:v>
                </c:pt>
                <c:pt idx="4">
                  <c:v>35683.350000000013</c:v>
                </c:pt>
                <c:pt idx="5">
                  <c:v>40261.389999999992</c:v>
                </c:pt>
                <c:pt idx="6">
                  <c:v>34873.509999999995</c:v>
                </c:pt>
                <c:pt idx="7">
                  <c:v>32713.349999999991</c:v>
                </c:pt>
                <c:pt idx="8">
                  <c:v>29612.079999999994</c:v>
                </c:pt>
                <c:pt idx="9">
                  <c:v>36466.620000000003</c:v>
                </c:pt>
              </c:numCache>
            </c:numRef>
          </c:val>
          <c:extLst>
            <c:ext xmlns:c16="http://schemas.microsoft.com/office/drawing/2014/chart" uri="{C3380CC4-5D6E-409C-BE32-E72D297353CC}">
              <c16:uniqueId val="{00000000-F7FA-4B78-914D-BE72E4B142C7}"/>
            </c:ext>
          </c:extLst>
        </c:ser>
        <c:dLbls>
          <c:showLegendKey val="0"/>
          <c:showVal val="0"/>
          <c:showCatName val="0"/>
          <c:showSerName val="0"/>
          <c:showPercent val="0"/>
          <c:showBubbleSize val="0"/>
        </c:dLbls>
        <c:gapWidth val="269"/>
        <c:axId val="1792537823"/>
        <c:axId val="1792528255"/>
      </c:barChart>
      <c:valAx>
        <c:axId val="179252825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537823"/>
        <c:crosses val="autoZero"/>
        <c:crossBetween val="between"/>
      </c:valAx>
      <c:catAx>
        <c:axId val="17925378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792528255"/>
        <c:crosses val="autoZero"/>
        <c:auto val="1"/>
        <c:lblAlgn val="ctr"/>
        <c:lblOffset val="100"/>
        <c:noMultiLvlLbl val="0"/>
      </c:catAx>
      <c:valAx>
        <c:axId val="1792534079"/>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540319"/>
        <c:crosses val="max"/>
        <c:crossBetween val="between"/>
      </c:valAx>
      <c:catAx>
        <c:axId val="1792540319"/>
        <c:scaling>
          <c:orientation val="minMax"/>
        </c:scaling>
        <c:delete val="1"/>
        <c:axPos val="b"/>
        <c:numFmt formatCode="General" sourceLinked="1"/>
        <c:majorTickMark val="out"/>
        <c:minorTickMark val="none"/>
        <c:tickLblPos val="nextTo"/>
        <c:crossAx val="179253407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project.xlsx]pivot tables area!city profit margin</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 area'!$AL$64</c:f>
              <c:strCache>
                <c:ptCount val="1"/>
                <c:pt idx="0">
                  <c:v>Total</c:v>
                </c:pt>
              </c:strCache>
            </c:strRef>
          </c:tx>
          <c:spPr>
            <a:solidFill>
              <a:schemeClr val="accent1"/>
            </a:solidFill>
            <a:ln>
              <a:noFill/>
            </a:ln>
            <a:effectLst/>
            <a:sp3d/>
          </c:spPr>
          <c:invertIfNegative val="0"/>
          <c:cat>
            <c:strRef>
              <c:f>'pivot tables area'!$AK$65:$AK$73</c:f>
              <c:strCache>
                <c:ptCount val="8"/>
                <c:pt idx="0">
                  <c:v>Toronto</c:v>
                </c:pt>
                <c:pt idx="1">
                  <c:v>Delhi</c:v>
                </c:pt>
                <c:pt idx="2">
                  <c:v>London</c:v>
                </c:pt>
                <c:pt idx="3">
                  <c:v>New York</c:v>
                </c:pt>
                <c:pt idx="4">
                  <c:v>Dubai</c:v>
                </c:pt>
                <c:pt idx="5">
                  <c:v>Mumbai</c:v>
                </c:pt>
                <c:pt idx="6">
                  <c:v>Berlin</c:v>
                </c:pt>
                <c:pt idx="7">
                  <c:v>Paris</c:v>
                </c:pt>
              </c:strCache>
            </c:strRef>
          </c:cat>
          <c:val>
            <c:numRef>
              <c:f>'pivot tables area'!$AL$65:$AL$73</c:f>
              <c:numCache>
                <c:formatCode>0.00%</c:formatCode>
                <c:ptCount val="8"/>
                <c:pt idx="0">
                  <c:v>0.21907463035292654</c:v>
                </c:pt>
                <c:pt idx="1">
                  <c:v>0.22087476465324929</c:v>
                </c:pt>
                <c:pt idx="2">
                  <c:v>0.22174487739867846</c:v>
                </c:pt>
                <c:pt idx="3">
                  <c:v>0.22294047562312344</c:v>
                </c:pt>
                <c:pt idx="4">
                  <c:v>0.22642043855439994</c:v>
                </c:pt>
                <c:pt idx="5">
                  <c:v>0.23058873821914247</c:v>
                </c:pt>
                <c:pt idx="6">
                  <c:v>0.23079414632664749</c:v>
                </c:pt>
                <c:pt idx="7">
                  <c:v>0.23527648751250843</c:v>
                </c:pt>
              </c:numCache>
            </c:numRef>
          </c:val>
          <c:extLst>
            <c:ext xmlns:c16="http://schemas.microsoft.com/office/drawing/2014/chart" uri="{C3380CC4-5D6E-409C-BE32-E72D297353CC}">
              <c16:uniqueId val="{00000000-FCE5-4194-9881-1F915356B5F3}"/>
            </c:ext>
          </c:extLst>
        </c:ser>
        <c:dLbls>
          <c:showLegendKey val="0"/>
          <c:showVal val="0"/>
          <c:showCatName val="0"/>
          <c:showSerName val="0"/>
          <c:showPercent val="0"/>
          <c:showBubbleSize val="0"/>
        </c:dLbls>
        <c:gapWidth val="150"/>
        <c:shape val="box"/>
        <c:axId val="1604223439"/>
        <c:axId val="1604224271"/>
        <c:axId val="0"/>
      </c:bar3DChart>
      <c:catAx>
        <c:axId val="16042234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224271"/>
        <c:crosses val="autoZero"/>
        <c:auto val="1"/>
        <c:lblAlgn val="ctr"/>
        <c:lblOffset val="100"/>
        <c:noMultiLvlLbl val="0"/>
      </c:catAx>
      <c:valAx>
        <c:axId val="160422427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22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9.xml><?xml version="1.0" encoding="utf-8"?>
<cx:chartSpace xmlns:a="http://schemas.openxmlformats.org/drawingml/2006/main" xmlns:r="http://schemas.openxmlformats.org/officeDocument/2006/relationships" xmlns:cx="http://schemas.microsoft.com/office/drawing/2014/chartex">
  <cx:chartData>
    <cx:data id="0">
      <cx:strDim type="cat">
        <cx:f>_xlchart.9</cx:f>
      </cx:strDim>
      <cx:numDim type="val">
        <cx:f>_xlchart.11</cx:f>
      </cx:numDim>
    </cx:data>
  </cx:chartData>
  <cx:chart>
    <cx:title pos="t" align="ctr" overlay="0"/>
    <cx:plotArea>
      <cx:plotAreaRegion>
        <cx:series layoutId="waterfall" uniqueId="{02297CA6-636D-4760-9CD4-38566F43519D}">
          <cx:tx>
            <cx:txData>
              <cx:f>_xlchart.10</cx:f>
              <cx:v>Sum of Profit</cx:v>
            </cx:txData>
          </cx:tx>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project.xlsx]pivot tables area!city payements in cities</c:name>
    <c:fmtId val="16"/>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
        <c:idx val="10"/>
        <c:spPr>
          <a:solidFill>
            <a:schemeClr val="accent1"/>
          </a:solidFill>
          <a:ln>
            <a:noFill/>
          </a:ln>
          <a:effectLst/>
          <a:sp3d/>
        </c:spPr>
        <c:marker>
          <c:symbol val="none"/>
        </c:marker>
      </c:pivotFmt>
      <c:pivotFmt>
        <c:idx val="11"/>
        <c:spPr>
          <a:solidFill>
            <a:schemeClr val="accent1"/>
          </a:solidFill>
          <a:ln>
            <a:noFill/>
          </a:ln>
          <a:effectLst/>
          <a:sp3d/>
        </c:spPr>
        <c:marker>
          <c:symbol val="none"/>
        </c:marker>
      </c:pivotFmt>
      <c:pivotFmt>
        <c:idx val="12"/>
        <c:spPr>
          <a:solidFill>
            <a:schemeClr val="accent1"/>
          </a:solidFill>
          <a:ln>
            <a:noFill/>
          </a:ln>
          <a:effectLst/>
          <a:sp3d/>
        </c:spPr>
        <c:marker>
          <c:symbol val="none"/>
        </c:marker>
      </c:pivotFmt>
      <c:pivotFmt>
        <c:idx val="13"/>
        <c:spPr>
          <a:solidFill>
            <a:schemeClr val="accent1"/>
          </a:solidFill>
          <a:ln>
            <a:noFill/>
          </a:ln>
          <a:effectLst/>
          <a:sp3d/>
        </c:spPr>
        <c:marker>
          <c:symbol val="none"/>
        </c:marker>
      </c:pivotFmt>
      <c:pivotFmt>
        <c:idx val="14"/>
        <c:spPr>
          <a:solidFill>
            <a:schemeClr val="accent1"/>
          </a:solidFill>
          <a:ln>
            <a:noFill/>
          </a:ln>
          <a:effectLst/>
          <a:sp3d/>
        </c:spPr>
        <c:marker>
          <c:symbol val="none"/>
        </c:marker>
      </c:pivotFmt>
      <c:pivotFmt>
        <c:idx val="15"/>
        <c:spPr>
          <a:solidFill>
            <a:schemeClr val="accent1"/>
          </a:solidFill>
          <a:ln>
            <a:noFill/>
          </a:ln>
          <a:effectLst/>
          <a:sp3d/>
        </c:spPr>
        <c:marker>
          <c:symbol val="none"/>
        </c:marker>
      </c:pivotFmt>
      <c:pivotFmt>
        <c:idx val="16"/>
        <c:spPr>
          <a:solidFill>
            <a:schemeClr val="accent1"/>
          </a:solidFill>
          <a:ln>
            <a:noFill/>
          </a:ln>
          <a:effectLst/>
          <a:sp3d/>
        </c:spPr>
        <c:marker>
          <c:symbol val="none"/>
        </c:marker>
      </c:pivotFmt>
      <c:pivotFmt>
        <c:idx val="17"/>
        <c:spPr>
          <a:solidFill>
            <a:schemeClr val="accent1"/>
          </a:solidFill>
          <a:ln>
            <a:noFill/>
          </a:ln>
          <a:effectLst/>
          <a:sp3d/>
        </c:spPr>
        <c:marker>
          <c:symbol val="none"/>
        </c:marker>
      </c:pivotFmt>
      <c:pivotFmt>
        <c:idx val="18"/>
        <c:spPr>
          <a:solidFill>
            <a:schemeClr val="accent1"/>
          </a:solidFill>
          <a:ln>
            <a:noFill/>
          </a:ln>
          <a:effectLst/>
          <a:sp3d/>
        </c:spPr>
        <c:marker>
          <c:symbol val="none"/>
        </c:marker>
      </c:pivotFmt>
      <c:pivotFmt>
        <c:idx val="19"/>
        <c:spPr>
          <a:solidFill>
            <a:schemeClr val="accent1"/>
          </a:solidFill>
          <a:ln>
            <a:noFill/>
          </a:ln>
          <a:effectLst/>
          <a:sp3d/>
        </c:spPr>
        <c:marker>
          <c:symbol val="none"/>
        </c:marker>
      </c:pivotFmt>
      <c:pivotFmt>
        <c:idx val="20"/>
        <c:spPr>
          <a:solidFill>
            <a:schemeClr val="accent1"/>
          </a:solidFill>
          <a:ln>
            <a:noFill/>
          </a:ln>
          <a:effectLst/>
          <a:sp3d/>
        </c:spPr>
        <c:marker>
          <c:symbol val="none"/>
        </c:marker>
      </c:pivotFmt>
      <c:pivotFmt>
        <c:idx val="21"/>
        <c:spPr>
          <a:solidFill>
            <a:schemeClr val="accent1"/>
          </a:solidFill>
          <a:ln>
            <a:noFill/>
          </a:ln>
          <a:effectLst/>
          <a:sp3d/>
        </c:spPr>
        <c:marker>
          <c:symbol val="none"/>
        </c:marker>
      </c:pivotFmt>
      <c:pivotFmt>
        <c:idx val="2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'pivot tables area'!$AM$148:$AM$149</c:f>
              <c:strCache>
                <c:ptCount val="1"/>
                <c:pt idx="0">
                  <c:v>Berlin</c:v>
                </c:pt>
              </c:strCache>
            </c:strRef>
          </c:tx>
          <c:spPr>
            <a:solidFill>
              <a:schemeClr val="accent1"/>
            </a:solidFill>
            <a:ln>
              <a:noFill/>
            </a:ln>
            <a:effectLst/>
            <a:sp3d/>
          </c:spPr>
          <c:invertIfNegative val="0"/>
          <c:cat>
            <c:strRef>
              <c:f>'pivot tables area'!$AL$150:$AL$155</c:f>
              <c:strCache>
                <c:ptCount val="5"/>
                <c:pt idx="0">
                  <c:v>Cash on Delivery</c:v>
                </c:pt>
                <c:pt idx="1">
                  <c:v>Credit Card</c:v>
                </c:pt>
                <c:pt idx="2">
                  <c:v>Debit Card</c:v>
                </c:pt>
                <c:pt idx="3">
                  <c:v>Net Banking</c:v>
                </c:pt>
                <c:pt idx="4">
                  <c:v>UPI</c:v>
                </c:pt>
              </c:strCache>
            </c:strRef>
          </c:cat>
          <c:val>
            <c:numRef>
              <c:f>'pivot tables area'!$AM$150:$AM$155</c:f>
              <c:numCache>
                <c:formatCode>General</c:formatCode>
                <c:ptCount val="5"/>
                <c:pt idx="0">
                  <c:v>24</c:v>
                </c:pt>
                <c:pt idx="1">
                  <c:v>33</c:v>
                </c:pt>
                <c:pt idx="2">
                  <c:v>25</c:v>
                </c:pt>
                <c:pt idx="3">
                  <c:v>27</c:v>
                </c:pt>
                <c:pt idx="4">
                  <c:v>33</c:v>
                </c:pt>
              </c:numCache>
            </c:numRef>
          </c:val>
          <c:extLst>
            <c:ext xmlns:c16="http://schemas.microsoft.com/office/drawing/2014/chart" uri="{C3380CC4-5D6E-409C-BE32-E72D297353CC}">
              <c16:uniqueId val="{00000000-2C28-4D7D-A625-A361356558E5}"/>
            </c:ext>
          </c:extLst>
        </c:ser>
        <c:ser>
          <c:idx val="1"/>
          <c:order val="1"/>
          <c:tx>
            <c:strRef>
              <c:f>'pivot tables area'!$AN$148:$AN$149</c:f>
              <c:strCache>
                <c:ptCount val="1"/>
                <c:pt idx="0">
                  <c:v>Delhi</c:v>
                </c:pt>
              </c:strCache>
            </c:strRef>
          </c:tx>
          <c:spPr>
            <a:solidFill>
              <a:schemeClr val="accent2"/>
            </a:solidFill>
            <a:ln>
              <a:noFill/>
            </a:ln>
            <a:effectLst/>
            <a:sp3d/>
          </c:spPr>
          <c:invertIfNegative val="0"/>
          <c:cat>
            <c:strRef>
              <c:f>'pivot tables area'!$AL$150:$AL$155</c:f>
              <c:strCache>
                <c:ptCount val="5"/>
                <c:pt idx="0">
                  <c:v>Cash on Delivery</c:v>
                </c:pt>
                <c:pt idx="1">
                  <c:v>Credit Card</c:v>
                </c:pt>
                <c:pt idx="2">
                  <c:v>Debit Card</c:v>
                </c:pt>
                <c:pt idx="3">
                  <c:v>Net Banking</c:v>
                </c:pt>
                <c:pt idx="4">
                  <c:v>UPI</c:v>
                </c:pt>
              </c:strCache>
            </c:strRef>
          </c:cat>
          <c:val>
            <c:numRef>
              <c:f>'pivot tables area'!$AN$150:$AN$155</c:f>
              <c:numCache>
                <c:formatCode>General</c:formatCode>
                <c:ptCount val="5"/>
                <c:pt idx="0">
                  <c:v>15</c:v>
                </c:pt>
                <c:pt idx="1">
                  <c:v>34</c:v>
                </c:pt>
                <c:pt idx="2">
                  <c:v>19</c:v>
                </c:pt>
                <c:pt idx="3">
                  <c:v>29</c:v>
                </c:pt>
                <c:pt idx="4">
                  <c:v>33</c:v>
                </c:pt>
              </c:numCache>
            </c:numRef>
          </c:val>
          <c:extLst>
            <c:ext xmlns:c16="http://schemas.microsoft.com/office/drawing/2014/chart" uri="{C3380CC4-5D6E-409C-BE32-E72D297353CC}">
              <c16:uniqueId val="{00000000-AB7E-4957-A33D-4BF3633679AF}"/>
            </c:ext>
          </c:extLst>
        </c:ser>
        <c:ser>
          <c:idx val="2"/>
          <c:order val="2"/>
          <c:tx>
            <c:strRef>
              <c:f>'pivot tables area'!$AO$148:$AO$149</c:f>
              <c:strCache>
                <c:ptCount val="1"/>
                <c:pt idx="0">
                  <c:v>Dubai</c:v>
                </c:pt>
              </c:strCache>
            </c:strRef>
          </c:tx>
          <c:spPr>
            <a:solidFill>
              <a:schemeClr val="accent3"/>
            </a:solidFill>
            <a:ln>
              <a:noFill/>
            </a:ln>
            <a:effectLst/>
            <a:sp3d/>
          </c:spPr>
          <c:invertIfNegative val="0"/>
          <c:cat>
            <c:strRef>
              <c:f>'pivot tables area'!$AL$150:$AL$155</c:f>
              <c:strCache>
                <c:ptCount val="5"/>
                <c:pt idx="0">
                  <c:v>Cash on Delivery</c:v>
                </c:pt>
                <c:pt idx="1">
                  <c:v>Credit Card</c:v>
                </c:pt>
                <c:pt idx="2">
                  <c:v>Debit Card</c:v>
                </c:pt>
                <c:pt idx="3">
                  <c:v>Net Banking</c:v>
                </c:pt>
                <c:pt idx="4">
                  <c:v>UPI</c:v>
                </c:pt>
              </c:strCache>
            </c:strRef>
          </c:cat>
          <c:val>
            <c:numRef>
              <c:f>'pivot tables area'!$AO$150:$AO$155</c:f>
              <c:numCache>
                <c:formatCode>General</c:formatCode>
                <c:ptCount val="5"/>
                <c:pt idx="0">
                  <c:v>34</c:v>
                </c:pt>
                <c:pt idx="1">
                  <c:v>31</c:v>
                </c:pt>
                <c:pt idx="2">
                  <c:v>25</c:v>
                </c:pt>
                <c:pt idx="3">
                  <c:v>17</c:v>
                </c:pt>
                <c:pt idx="4">
                  <c:v>25</c:v>
                </c:pt>
              </c:numCache>
            </c:numRef>
          </c:val>
          <c:extLst>
            <c:ext xmlns:c16="http://schemas.microsoft.com/office/drawing/2014/chart" uri="{C3380CC4-5D6E-409C-BE32-E72D297353CC}">
              <c16:uniqueId val="{00000001-AB7E-4957-A33D-4BF3633679AF}"/>
            </c:ext>
          </c:extLst>
        </c:ser>
        <c:ser>
          <c:idx val="3"/>
          <c:order val="3"/>
          <c:tx>
            <c:strRef>
              <c:f>'pivot tables area'!$AP$148:$AP$149</c:f>
              <c:strCache>
                <c:ptCount val="1"/>
                <c:pt idx="0">
                  <c:v>London</c:v>
                </c:pt>
              </c:strCache>
            </c:strRef>
          </c:tx>
          <c:spPr>
            <a:solidFill>
              <a:schemeClr val="accent4"/>
            </a:solidFill>
            <a:ln>
              <a:noFill/>
            </a:ln>
            <a:effectLst/>
            <a:sp3d/>
          </c:spPr>
          <c:invertIfNegative val="0"/>
          <c:cat>
            <c:strRef>
              <c:f>'pivot tables area'!$AL$150:$AL$155</c:f>
              <c:strCache>
                <c:ptCount val="5"/>
                <c:pt idx="0">
                  <c:v>Cash on Delivery</c:v>
                </c:pt>
                <c:pt idx="1">
                  <c:v>Credit Card</c:v>
                </c:pt>
                <c:pt idx="2">
                  <c:v>Debit Card</c:v>
                </c:pt>
                <c:pt idx="3">
                  <c:v>Net Banking</c:v>
                </c:pt>
                <c:pt idx="4">
                  <c:v>UPI</c:v>
                </c:pt>
              </c:strCache>
            </c:strRef>
          </c:cat>
          <c:val>
            <c:numRef>
              <c:f>'pivot tables area'!$AP$150:$AP$155</c:f>
              <c:numCache>
                <c:formatCode>General</c:formatCode>
                <c:ptCount val="5"/>
                <c:pt idx="0">
                  <c:v>18</c:v>
                </c:pt>
                <c:pt idx="1">
                  <c:v>21</c:v>
                </c:pt>
                <c:pt idx="2">
                  <c:v>28</c:v>
                </c:pt>
                <c:pt idx="3">
                  <c:v>24</c:v>
                </c:pt>
                <c:pt idx="4">
                  <c:v>28</c:v>
                </c:pt>
              </c:numCache>
            </c:numRef>
          </c:val>
          <c:extLst>
            <c:ext xmlns:c16="http://schemas.microsoft.com/office/drawing/2014/chart" uri="{C3380CC4-5D6E-409C-BE32-E72D297353CC}">
              <c16:uniqueId val="{00000002-AB7E-4957-A33D-4BF3633679AF}"/>
            </c:ext>
          </c:extLst>
        </c:ser>
        <c:ser>
          <c:idx val="4"/>
          <c:order val="4"/>
          <c:tx>
            <c:strRef>
              <c:f>'pivot tables area'!$AQ$148:$AQ$149</c:f>
              <c:strCache>
                <c:ptCount val="1"/>
                <c:pt idx="0">
                  <c:v>Mumbai</c:v>
                </c:pt>
              </c:strCache>
            </c:strRef>
          </c:tx>
          <c:spPr>
            <a:solidFill>
              <a:schemeClr val="accent5"/>
            </a:solidFill>
            <a:ln>
              <a:noFill/>
            </a:ln>
            <a:effectLst/>
            <a:sp3d/>
          </c:spPr>
          <c:invertIfNegative val="0"/>
          <c:cat>
            <c:strRef>
              <c:f>'pivot tables area'!$AL$150:$AL$155</c:f>
              <c:strCache>
                <c:ptCount val="5"/>
                <c:pt idx="0">
                  <c:v>Cash on Delivery</c:v>
                </c:pt>
                <c:pt idx="1">
                  <c:v>Credit Card</c:v>
                </c:pt>
                <c:pt idx="2">
                  <c:v>Debit Card</c:v>
                </c:pt>
                <c:pt idx="3">
                  <c:v>Net Banking</c:v>
                </c:pt>
                <c:pt idx="4">
                  <c:v>UPI</c:v>
                </c:pt>
              </c:strCache>
            </c:strRef>
          </c:cat>
          <c:val>
            <c:numRef>
              <c:f>'pivot tables area'!$AQ$150:$AQ$155</c:f>
              <c:numCache>
                <c:formatCode>General</c:formatCode>
                <c:ptCount val="5"/>
                <c:pt idx="0">
                  <c:v>19</c:v>
                </c:pt>
                <c:pt idx="1">
                  <c:v>20</c:v>
                </c:pt>
                <c:pt idx="2">
                  <c:v>28</c:v>
                </c:pt>
                <c:pt idx="3">
                  <c:v>24</c:v>
                </c:pt>
                <c:pt idx="4">
                  <c:v>20</c:v>
                </c:pt>
              </c:numCache>
            </c:numRef>
          </c:val>
          <c:extLst>
            <c:ext xmlns:c16="http://schemas.microsoft.com/office/drawing/2014/chart" uri="{C3380CC4-5D6E-409C-BE32-E72D297353CC}">
              <c16:uniqueId val="{00000003-AB7E-4957-A33D-4BF3633679AF}"/>
            </c:ext>
          </c:extLst>
        </c:ser>
        <c:ser>
          <c:idx val="5"/>
          <c:order val="5"/>
          <c:tx>
            <c:strRef>
              <c:f>'pivot tables area'!$AR$148:$AR$149</c:f>
              <c:strCache>
                <c:ptCount val="1"/>
                <c:pt idx="0">
                  <c:v>New York</c:v>
                </c:pt>
              </c:strCache>
            </c:strRef>
          </c:tx>
          <c:spPr>
            <a:solidFill>
              <a:schemeClr val="accent6"/>
            </a:solidFill>
            <a:ln>
              <a:noFill/>
            </a:ln>
            <a:effectLst/>
            <a:sp3d/>
          </c:spPr>
          <c:invertIfNegative val="0"/>
          <c:cat>
            <c:strRef>
              <c:f>'pivot tables area'!$AL$150:$AL$155</c:f>
              <c:strCache>
                <c:ptCount val="5"/>
                <c:pt idx="0">
                  <c:v>Cash on Delivery</c:v>
                </c:pt>
                <c:pt idx="1">
                  <c:v>Credit Card</c:v>
                </c:pt>
                <c:pt idx="2">
                  <c:v>Debit Card</c:v>
                </c:pt>
                <c:pt idx="3">
                  <c:v>Net Banking</c:v>
                </c:pt>
                <c:pt idx="4">
                  <c:v>UPI</c:v>
                </c:pt>
              </c:strCache>
            </c:strRef>
          </c:cat>
          <c:val>
            <c:numRef>
              <c:f>'pivot tables area'!$AR$150:$AR$155</c:f>
              <c:numCache>
                <c:formatCode>General</c:formatCode>
                <c:ptCount val="5"/>
                <c:pt idx="0">
                  <c:v>28</c:v>
                </c:pt>
                <c:pt idx="1">
                  <c:v>27</c:v>
                </c:pt>
                <c:pt idx="2">
                  <c:v>19</c:v>
                </c:pt>
                <c:pt idx="3">
                  <c:v>28</c:v>
                </c:pt>
                <c:pt idx="4">
                  <c:v>32</c:v>
                </c:pt>
              </c:numCache>
            </c:numRef>
          </c:val>
          <c:extLst>
            <c:ext xmlns:c16="http://schemas.microsoft.com/office/drawing/2014/chart" uri="{C3380CC4-5D6E-409C-BE32-E72D297353CC}">
              <c16:uniqueId val="{00000004-AB7E-4957-A33D-4BF3633679AF}"/>
            </c:ext>
          </c:extLst>
        </c:ser>
        <c:ser>
          <c:idx val="6"/>
          <c:order val="6"/>
          <c:tx>
            <c:strRef>
              <c:f>'pivot tables area'!$AS$148:$AS$149</c:f>
              <c:strCache>
                <c:ptCount val="1"/>
                <c:pt idx="0">
                  <c:v>Paris</c:v>
                </c:pt>
              </c:strCache>
            </c:strRef>
          </c:tx>
          <c:spPr>
            <a:solidFill>
              <a:schemeClr val="accent1">
                <a:lumMod val="60000"/>
              </a:schemeClr>
            </a:solidFill>
            <a:ln>
              <a:noFill/>
            </a:ln>
            <a:effectLst/>
            <a:sp3d/>
          </c:spPr>
          <c:invertIfNegative val="0"/>
          <c:cat>
            <c:strRef>
              <c:f>'pivot tables area'!$AL$150:$AL$155</c:f>
              <c:strCache>
                <c:ptCount val="5"/>
                <c:pt idx="0">
                  <c:v>Cash on Delivery</c:v>
                </c:pt>
                <c:pt idx="1">
                  <c:v>Credit Card</c:v>
                </c:pt>
                <c:pt idx="2">
                  <c:v>Debit Card</c:v>
                </c:pt>
                <c:pt idx="3">
                  <c:v>Net Banking</c:v>
                </c:pt>
                <c:pt idx="4">
                  <c:v>UPI</c:v>
                </c:pt>
              </c:strCache>
            </c:strRef>
          </c:cat>
          <c:val>
            <c:numRef>
              <c:f>'pivot tables area'!$AS$150:$AS$155</c:f>
              <c:numCache>
                <c:formatCode>General</c:formatCode>
                <c:ptCount val="5"/>
                <c:pt idx="0">
                  <c:v>23</c:v>
                </c:pt>
                <c:pt idx="1">
                  <c:v>26</c:v>
                </c:pt>
                <c:pt idx="2">
                  <c:v>35</c:v>
                </c:pt>
                <c:pt idx="3">
                  <c:v>16</c:v>
                </c:pt>
                <c:pt idx="4">
                  <c:v>15</c:v>
                </c:pt>
              </c:numCache>
            </c:numRef>
          </c:val>
          <c:extLst>
            <c:ext xmlns:c16="http://schemas.microsoft.com/office/drawing/2014/chart" uri="{C3380CC4-5D6E-409C-BE32-E72D297353CC}">
              <c16:uniqueId val="{00000005-AB7E-4957-A33D-4BF3633679AF}"/>
            </c:ext>
          </c:extLst>
        </c:ser>
        <c:ser>
          <c:idx val="7"/>
          <c:order val="7"/>
          <c:tx>
            <c:strRef>
              <c:f>'pivot tables area'!$AT$148:$AT$149</c:f>
              <c:strCache>
                <c:ptCount val="1"/>
                <c:pt idx="0">
                  <c:v>Toronto</c:v>
                </c:pt>
              </c:strCache>
            </c:strRef>
          </c:tx>
          <c:spPr>
            <a:solidFill>
              <a:schemeClr val="accent2">
                <a:lumMod val="60000"/>
              </a:schemeClr>
            </a:solidFill>
            <a:ln>
              <a:noFill/>
            </a:ln>
            <a:effectLst/>
            <a:sp3d/>
          </c:spPr>
          <c:invertIfNegative val="0"/>
          <c:cat>
            <c:strRef>
              <c:f>'pivot tables area'!$AL$150:$AL$155</c:f>
              <c:strCache>
                <c:ptCount val="5"/>
                <c:pt idx="0">
                  <c:v>Cash on Delivery</c:v>
                </c:pt>
                <c:pt idx="1">
                  <c:v>Credit Card</c:v>
                </c:pt>
                <c:pt idx="2">
                  <c:v>Debit Card</c:v>
                </c:pt>
                <c:pt idx="3">
                  <c:v>Net Banking</c:v>
                </c:pt>
                <c:pt idx="4">
                  <c:v>UPI</c:v>
                </c:pt>
              </c:strCache>
            </c:strRef>
          </c:cat>
          <c:val>
            <c:numRef>
              <c:f>'pivot tables area'!$AT$150:$AT$155</c:f>
              <c:numCache>
                <c:formatCode>General</c:formatCode>
                <c:ptCount val="5"/>
                <c:pt idx="0">
                  <c:v>23</c:v>
                </c:pt>
                <c:pt idx="1">
                  <c:v>21</c:v>
                </c:pt>
                <c:pt idx="2">
                  <c:v>27</c:v>
                </c:pt>
                <c:pt idx="3">
                  <c:v>23</c:v>
                </c:pt>
                <c:pt idx="4">
                  <c:v>23</c:v>
                </c:pt>
              </c:numCache>
            </c:numRef>
          </c:val>
          <c:extLst>
            <c:ext xmlns:c16="http://schemas.microsoft.com/office/drawing/2014/chart" uri="{C3380CC4-5D6E-409C-BE32-E72D297353CC}">
              <c16:uniqueId val="{00000006-AB7E-4957-A33D-4BF3633679AF}"/>
            </c:ext>
          </c:extLst>
        </c:ser>
        <c:dLbls>
          <c:showLegendKey val="0"/>
          <c:showVal val="0"/>
          <c:showCatName val="0"/>
          <c:showSerName val="0"/>
          <c:showPercent val="0"/>
          <c:showBubbleSize val="0"/>
        </c:dLbls>
        <c:gapWidth val="150"/>
        <c:shape val="box"/>
        <c:axId val="1783849775"/>
        <c:axId val="1783855599"/>
        <c:axId val="0"/>
      </c:bar3DChart>
      <c:catAx>
        <c:axId val="17838497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855599"/>
        <c:crosses val="autoZero"/>
        <c:auto val="1"/>
        <c:lblAlgn val="ctr"/>
        <c:lblOffset val="100"/>
        <c:noMultiLvlLbl val="0"/>
      </c:catAx>
      <c:valAx>
        <c:axId val="178385559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84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project.xlsx]pivot tables area!city category wise quantity</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 tables area'!$AQ$202</c:f>
              <c:strCache>
                <c:ptCount val="1"/>
                <c:pt idx="0">
                  <c:v>Total</c:v>
                </c:pt>
              </c:strCache>
            </c:strRef>
          </c:tx>
          <c:spPr>
            <a:solidFill>
              <a:schemeClr val="accent1"/>
            </a:solidFill>
            <a:ln>
              <a:noFill/>
            </a:ln>
            <a:effectLst/>
          </c:spPr>
          <c:invertIfNegative val="0"/>
          <c:cat>
            <c:strRef>
              <c:f>'pivot tables area'!$AP$203:$AP$208</c:f>
              <c:strCache>
                <c:ptCount val="5"/>
                <c:pt idx="0">
                  <c:v>Beauty</c:v>
                </c:pt>
                <c:pt idx="1">
                  <c:v>Electronics</c:v>
                </c:pt>
                <c:pt idx="2">
                  <c:v>Fashion</c:v>
                </c:pt>
                <c:pt idx="3">
                  <c:v>Home</c:v>
                </c:pt>
                <c:pt idx="4">
                  <c:v>Sports</c:v>
                </c:pt>
              </c:strCache>
            </c:strRef>
          </c:cat>
          <c:val>
            <c:numRef>
              <c:f>'pivot tables area'!$AQ$203:$AQ$208</c:f>
              <c:numCache>
                <c:formatCode>General</c:formatCode>
                <c:ptCount val="5"/>
                <c:pt idx="0">
                  <c:v>586</c:v>
                </c:pt>
                <c:pt idx="1">
                  <c:v>560</c:v>
                </c:pt>
                <c:pt idx="2">
                  <c:v>644</c:v>
                </c:pt>
                <c:pt idx="3">
                  <c:v>576</c:v>
                </c:pt>
                <c:pt idx="4">
                  <c:v>597</c:v>
                </c:pt>
              </c:numCache>
            </c:numRef>
          </c:val>
          <c:extLst>
            <c:ext xmlns:c16="http://schemas.microsoft.com/office/drawing/2014/chart" uri="{C3380CC4-5D6E-409C-BE32-E72D297353CC}">
              <c16:uniqueId val="{00000000-C923-406B-A757-EA59DFD33425}"/>
            </c:ext>
          </c:extLst>
        </c:ser>
        <c:dLbls>
          <c:showLegendKey val="0"/>
          <c:showVal val="0"/>
          <c:showCatName val="0"/>
          <c:showSerName val="0"/>
          <c:showPercent val="0"/>
          <c:showBubbleSize val="0"/>
        </c:dLbls>
        <c:gapWidth val="150"/>
        <c:axId val="1604168111"/>
        <c:axId val="1604173519"/>
      </c:barChart>
      <c:catAx>
        <c:axId val="16041681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173519"/>
        <c:crosses val="autoZero"/>
        <c:auto val="1"/>
        <c:lblAlgn val="ctr"/>
        <c:lblOffset val="100"/>
        <c:noMultiLvlLbl val="0"/>
      </c:catAx>
      <c:valAx>
        <c:axId val="1604173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16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project.xlsx]pivot tables area!city channel wise category</c:name>
    <c:fmtId val="2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bar"/>
        <c:grouping val="percentStacked"/>
        <c:varyColors val="0"/>
        <c:ser>
          <c:idx val="0"/>
          <c:order val="0"/>
          <c:tx>
            <c:strRef>
              <c:f>'pivot tables area'!$AQ$220:$AQ$221</c:f>
              <c:strCache>
                <c:ptCount val="1"/>
                <c:pt idx="0">
                  <c:v>Marketplace</c:v>
                </c:pt>
              </c:strCache>
            </c:strRef>
          </c:tx>
          <c:spPr>
            <a:solidFill>
              <a:schemeClr val="accent1"/>
            </a:solidFill>
            <a:ln>
              <a:noFill/>
            </a:ln>
            <a:effectLst/>
          </c:spPr>
          <c:invertIfNegative val="0"/>
          <c:cat>
            <c:strRef>
              <c:f>'pivot tables area'!$AP$222:$AP$230</c:f>
              <c:strCache>
                <c:ptCount val="8"/>
                <c:pt idx="0">
                  <c:v>Berlin</c:v>
                </c:pt>
                <c:pt idx="1">
                  <c:v>Delhi</c:v>
                </c:pt>
                <c:pt idx="2">
                  <c:v>Dubai</c:v>
                </c:pt>
                <c:pt idx="3">
                  <c:v>London</c:v>
                </c:pt>
                <c:pt idx="4">
                  <c:v>Mumbai</c:v>
                </c:pt>
                <c:pt idx="5">
                  <c:v>New York</c:v>
                </c:pt>
                <c:pt idx="6">
                  <c:v>Paris</c:v>
                </c:pt>
                <c:pt idx="7">
                  <c:v>Toronto</c:v>
                </c:pt>
              </c:strCache>
            </c:strRef>
          </c:cat>
          <c:val>
            <c:numRef>
              <c:f>'pivot tables area'!$AQ$222:$AQ$230</c:f>
              <c:numCache>
                <c:formatCode>General</c:formatCode>
                <c:ptCount val="8"/>
                <c:pt idx="0">
                  <c:v>63615.07</c:v>
                </c:pt>
                <c:pt idx="1">
                  <c:v>60935.810000000012</c:v>
                </c:pt>
                <c:pt idx="2">
                  <c:v>61893.329999999987</c:v>
                </c:pt>
                <c:pt idx="3">
                  <c:v>54627.619999999988</c:v>
                </c:pt>
                <c:pt idx="4">
                  <c:v>57788.73000000001</c:v>
                </c:pt>
                <c:pt idx="5">
                  <c:v>69944.209999999992</c:v>
                </c:pt>
                <c:pt idx="6">
                  <c:v>58714.47</c:v>
                </c:pt>
                <c:pt idx="7">
                  <c:v>85647.889999999985</c:v>
                </c:pt>
              </c:numCache>
            </c:numRef>
          </c:val>
          <c:extLst>
            <c:ext xmlns:c16="http://schemas.microsoft.com/office/drawing/2014/chart" uri="{C3380CC4-5D6E-409C-BE32-E72D297353CC}">
              <c16:uniqueId val="{00000000-3663-45B7-9B23-C43A352458D3}"/>
            </c:ext>
          </c:extLst>
        </c:ser>
        <c:ser>
          <c:idx val="1"/>
          <c:order val="1"/>
          <c:tx>
            <c:strRef>
              <c:f>'pivot tables area'!$AR$220:$AR$221</c:f>
              <c:strCache>
                <c:ptCount val="1"/>
                <c:pt idx="0">
                  <c:v>Mobile App</c:v>
                </c:pt>
              </c:strCache>
            </c:strRef>
          </c:tx>
          <c:spPr>
            <a:solidFill>
              <a:schemeClr val="accent2"/>
            </a:solidFill>
            <a:ln>
              <a:noFill/>
            </a:ln>
            <a:effectLst/>
          </c:spPr>
          <c:invertIfNegative val="0"/>
          <c:cat>
            <c:strRef>
              <c:f>'pivot tables area'!$AP$222:$AP$230</c:f>
              <c:strCache>
                <c:ptCount val="8"/>
                <c:pt idx="0">
                  <c:v>Berlin</c:v>
                </c:pt>
                <c:pt idx="1">
                  <c:v>Delhi</c:v>
                </c:pt>
                <c:pt idx="2">
                  <c:v>Dubai</c:v>
                </c:pt>
                <c:pt idx="3">
                  <c:v>London</c:v>
                </c:pt>
                <c:pt idx="4">
                  <c:v>Mumbai</c:v>
                </c:pt>
                <c:pt idx="5">
                  <c:v>New York</c:v>
                </c:pt>
                <c:pt idx="6">
                  <c:v>Paris</c:v>
                </c:pt>
                <c:pt idx="7">
                  <c:v>Toronto</c:v>
                </c:pt>
              </c:strCache>
            </c:strRef>
          </c:cat>
          <c:val>
            <c:numRef>
              <c:f>'pivot tables area'!$AR$222:$AR$230</c:f>
              <c:numCache>
                <c:formatCode>General</c:formatCode>
                <c:ptCount val="8"/>
                <c:pt idx="0">
                  <c:v>74265.440000000002</c:v>
                </c:pt>
                <c:pt idx="1">
                  <c:v>77098.199999999983</c:v>
                </c:pt>
                <c:pt idx="2">
                  <c:v>56431.879999999983</c:v>
                </c:pt>
                <c:pt idx="3">
                  <c:v>73792.220000000016</c:v>
                </c:pt>
                <c:pt idx="4">
                  <c:v>48518.720000000008</c:v>
                </c:pt>
                <c:pt idx="5">
                  <c:v>65272.479999999981</c:v>
                </c:pt>
                <c:pt idx="6">
                  <c:v>59224.199999999983</c:v>
                </c:pt>
                <c:pt idx="7">
                  <c:v>45887.900000000009</c:v>
                </c:pt>
              </c:numCache>
            </c:numRef>
          </c:val>
          <c:extLst>
            <c:ext xmlns:c16="http://schemas.microsoft.com/office/drawing/2014/chart" uri="{C3380CC4-5D6E-409C-BE32-E72D297353CC}">
              <c16:uniqueId val="{00000000-09F5-40E4-B634-D0125201808E}"/>
            </c:ext>
          </c:extLst>
        </c:ser>
        <c:ser>
          <c:idx val="2"/>
          <c:order val="2"/>
          <c:tx>
            <c:strRef>
              <c:f>'pivot tables area'!$AS$220:$AS$221</c:f>
              <c:strCache>
                <c:ptCount val="1"/>
                <c:pt idx="0">
                  <c:v>Website</c:v>
                </c:pt>
              </c:strCache>
            </c:strRef>
          </c:tx>
          <c:spPr>
            <a:solidFill>
              <a:schemeClr val="accent3"/>
            </a:solidFill>
            <a:ln>
              <a:noFill/>
            </a:ln>
            <a:effectLst/>
          </c:spPr>
          <c:invertIfNegative val="0"/>
          <c:cat>
            <c:strRef>
              <c:f>'pivot tables area'!$AP$222:$AP$230</c:f>
              <c:strCache>
                <c:ptCount val="8"/>
                <c:pt idx="0">
                  <c:v>Berlin</c:v>
                </c:pt>
                <c:pt idx="1">
                  <c:v>Delhi</c:v>
                </c:pt>
                <c:pt idx="2">
                  <c:v>Dubai</c:v>
                </c:pt>
                <c:pt idx="3">
                  <c:v>London</c:v>
                </c:pt>
                <c:pt idx="4">
                  <c:v>Mumbai</c:v>
                </c:pt>
                <c:pt idx="5">
                  <c:v>New York</c:v>
                </c:pt>
                <c:pt idx="6">
                  <c:v>Paris</c:v>
                </c:pt>
                <c:pt idx="7">
                  <c:v>Toronto</c:v>
                </c:pt>
              </c:strCache>
            </c:strRef>
          </c:cat>
          <c:val>
            <c:numRef>
              <c:f>'pivot tables area'!$AS$222:$AS$230</c:f>
              <c:numCache>
                <c:formatCode>General</c:formatCode>
                <c:ptCount val="8"/>
                <c:pt idx="0">
                  <c:v>88638.450000000012</c:v>
                </c:pt>
                <c:pt idx="1">
                  <c:v>55000.31</c:v>
                </c:pt>
                <c:pt idx="2">
                  <c:v>76030.61</c:v>
                </c:pt>
                <c:pt idx="3">
                  <c:v>53105.120000000003</c:v>
                </c:pt>
                <c:pt idx="4">
                  <c:v>48785.250000000015</c:v>
                </c:pt>
                <c:pt idx="5">
                  <c:v>64121.81</c:v>
                </c:pt>
                <c:pt idx="6">
                  <c:v>61399.990000000005</c:v>
                </c:pt>
                <c:pt idx="7">
                  <c:v>66712.769999999975</c:v>
                </c:pt>
              </c:numCache>
            </c:numRef>
          </c:val>
          <c:extLst>
            <c:ext xmlns:c16="http://schemas.microsoft.com/office/drawing/2014/chart" uri="{C3380CC4-5D6E-409C-BE32-E72D297353CC}">
              <c16:uniqueId val="{00000001-09F5-40E4-B634-D0125201808E}"/>
            </c:ext>
          </c:extLst>
        </c:ser>
        <c:dLbls>
          <c:showLegendKey val="0"/>
          <c:showVal val="0"/>
          <c:showCatName val="0"/>
          <c:showSerName val="0"/>
          <c:showPercent val="0"/>
          <c:showBubbleSize val="0"/>
        </c:dLbls>
        <c:gapWidth val="150"/>
        <c:overlap val="100"/>
        <c:axId val="1604215535"/>
        <c:axId val="1604195983"/>
      </c:barChart>
      <c:catAx>
        <c:axId val="1604215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195983"/>
        <c:crosses val="autoZero"/>
        <c:auto val="1"/>
        <c:lblAlgn val="ctr"/>
        <c:lblOffset val="100"/>
        <c:noMultiLvlLbl val="0"/>
      </c:catAx>
      <c:valAx>
        <c:axId val="160419598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215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project.xlsx]pivot tables area!city avg shipping days</c:name>
    <c:fmtId val="35"/>
  </c:pivotSource>
  <c:chart>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barChart>
        <c:barDir val="col"/>
        <c:grouping val="clustered"/>
        <c:varyColors val="0"/>
        <c:ser>
          <c:idx val="0"/>
          <c:order val="0"/>
          <c:tx>
            <c:strRef>
              <c:f>'pivot tables area'!$AL$101</c:f>
              <c:strCache>
                <c:ptCount val="1"/>
                <c:pt idx="0">
                  <c:v>Average of ShippingDays</c:v>
                </c:pt>
              </c:strCache>
            </c:strRef>
          </c:tx>
          <c:spPr>
            <a:solidFill>
              <a:schemeClr val="accent1"/>
            </a:solidFill>
            <a:ln>
              <a:noFill/>
            </a:ln>
            <a:effectLst/>
          </c:spPr>
          <c:invertIfNegative val="0"/>
          <c:cat>
            <c:strRef>
              <c:f>'pivot tables area'!$AK$102:$AK$110</c:f>
              <c:strCache>
                <c:ptCount val="8"/>
                <c:pt idx="0">
                  <c:v>Berlin</c:v>
                </c:pt>
                <c:pt idx="1">
                  <c:v>Delhi</c:v>
                </c:pt>
                <c:pt idx="2">
                  <c:v>Dubai</c:v>
                </c:pt>
                <c:pt idx="3">
                  <c:v>London</c:v>
                </c:pt>
                <c:pt idx="4">
                  <c:v>Mumbai</c:v>
                </c:pt>
                <c:pt idx="5">
                  <c:v>New York</c:v>
                </c:pt>
                <c:pt idx="6">
                  <c:v>Paris</c:v>
                </c:pt>
                <c:pt idx="7">
                  <c:v>Toronto</c:v>
                </c:pt>
              </c:strCache>
            </c:strRef>
          </c:cat>
          <c:val>
            <c:numRef>
              <c:f>'pivot tables area'!$AL$102:$AL$110</c:f>
              <c:numCache>
                <c:formatCode>0.00</c:formatCode>
                <c:ptCount val="8"/>
                <c:pt idx="0">
                  <c:v>5.577464788732394</c:v>
                </c:pt>
                <c:pt idx="1">
                  <c:v>5.6461538461538465</c:v>
                </c:pt>
                <c:pt idx="2">
                  <c:v>5.4545454545454541</c:v>
                </c:pt>
                <c:pt idx="3">
                  <c:v>5.3613445378151257</c:v>
                </c:pt>
                <c:pt idx="4">
                  <c:v>5.5135135135135132</c:v>
                </c:pt>
                <c:pt idx="5">
                  <c:v>5.9701492537313436</c:v>
                </c:pt>
                <c:pt idx="6">
                  <c:v>5.3739130434782609</c:v>
                </c:pt>
                <c:pt idx="7">
                  <c:v>5.7094017094017095</c:v>
                </c:pt>
              </c:numCache>
            </c:numRef>
          </c:val>
          <c:extLst>
            <c:ext xmlns:c16="http://schemas.microsoft.com/office/drawing/2014/chart" uri="{C3380CC4-5D6E-409C-BE32-E72D297353CC}">
              <c16:uniqueId val="{00000000-803A-4F9C-BA0B-8DA96E3ADEF2}"/>
            </c:ext>
          </c:extLst>
        </c:ser>
        <c:dLbls>
          <c:showLegendKey val="0"/>
          <c:showVal val="0"/>
          <c:showCatName val="0"/>
          <c:showSerName val="0"/>
          <c:showPercent val="0"/>
          <c:showBubbleSize val="0"/>
        </c:dLbls>
        <c:gapWidth val="219"/>
        <c:overlap val="-27"/>
        <c:axId val="1115976159"/>
        <c:axId val="1115969919"/>
      </c:barChart>
      <c:lineChart>
        <c:grouping val="standard"/>
        <c:varyColors val="0"/>
        <c:ser>
          <c:idx val="1"/>
          <c:order val="1"/>
          <c:tx>
            <c:strRef>
              <c:f>'pivot tables area'!$AM$101</c:f>
              <c:strCache>
                <c:ptCount val="1"/>
                <c:pt idx="0">
                  <c:v>Sum of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 area'!$AK$102:$AK$110</c:f>
              <c:strCache>
                <c:ptCount val="8"/>
                <c:pt idx="0">
                  <c:v>Berlin</c:v>
                </c:pt>
                <c:pt idx="1">
                  <c:v>Delhi</c:v>
                </c:pt>
                <c:pt idx="2">
                  <c:v>Dubai</c:v>
                </c:pt>
                <c:pt idx="3">
                  <c:v>London</c:v>
                </c:pt>
                <c:pt idx="4">
                  <c:v>Mumbai</c:v>
                </c:pt>
                <c:pt idx="5">
                  <c:v>New York</c:v>
                </c:pt>
                <c:pt idx="6">
                  <c:v>Paris</c:v>
                </c:pt>
                <c:pt idx="7">
                  <c:v>Toronto</c:v>
                </c:pt>
              </c:strCache>
            </c:strRef>
          </c:cat>
          <c:val>
            <c:numRef>
              <c:f>'pivot tables area'!$AM$102:$AM$110</c:f>
              <c:numCache>
                <c:formatCode>0.00</c:formatCode>
                <c:ptCount val="8"/>
                <c:pt idx="0">
                  <c:v>226518.95999999993</c:v>
                </c:pt>
                <c:pt idx="1">
                  <c:v>193034.32000000004</c:v>
                </c:pt>
                <c:pt idx="2">
                  <c:v>194355.81999999983</c:v>
                </c:pt>
                <c:pt idx="3">
                  <c:v>181524.96000000002</c:v>
                </c:pt>
                <c:pt idx="4">
                  <c:v>155092.70000000004</c:v>
                </c:pt>
                <c:pt idx="5">
                  <c:v>199338.50000000009</c:v>
                </c:pt>
                <c:pt idx="6">
                  <c:v>179338.65999999997</c:v>
                </c:pt>
                <c:pt idx="7">
                  <c:v>198248.56000000008</c:v>
                </c:pt>
              </c:numCache>
            </c:numRef>
          </c:val>
          <c:smooth val="0"/>
          <c:extLst>
            <c:ext xmlns:c16="http://schemas.microsoft.com/office/drawing/2014/chart" uri="{C3380CC4-5D6E-409C-BE32-E72D297353CC}">
              <c16:uniqueId val="{00000001-803A-4F9C-BA0B-8DA96E3ADEF2}"/>
            </c:ext>
          </c:extLst>
        </c:ser>
        <c:dLbls>
          <c:showLegendKey val="0"/>
          <c:showVal val="0"/>
          <c:showCatName val="0"/>
          <c:showSerName val="0"/>
          <c:showPercent val="0"/>
          <c:showBubbleSize val="0"/>
        </c:dLbls>
        <c:marker val="1"/>
        <c:smooth val="0"/>
        <c:axId val="1115981983"/>
        <c:axId val="1115981567"/>
      </c:lineChart>
      <c:catAx>
        <c:axId val="1115976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969919"/>
        <c:crosses val="autoZero"/>
        <c:auto val="1"/>
        <c:lblAlgn val="ctr"/>
        <c:lblOffset val="100"/>
        <c:noMultiLvlLbl val="0"/>
      </c:catAx>
      <c:valAx>
        <c:axId val="11159699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976159"/>
        <c:crosses val="autoZero"/>
        <c:crossBetween val="between"/>
      </c:valAx>
      <c:valAx>
        <c:axId val="111598156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981983"/>
        <c:crosses val="max"/>
        <c:crossBetween val="between"/>
      </c:valAx>
      <c:catAx>
        <c:axId val="1115981983"/>
        <c:scaling>
          <c:orientation val="minMax"/>
        </c:scaling>
        <c:delete val="1"/>
        <c:axPos val="b"/>
        <c:numFmt formatCode="General" sourceLinked="1"/>
        <c:majorTickMark val="out"/>
        <c:minorTickMark val="none"/>
        <c:tickLblPos val="nextTo"/>
        <c:crossAx val="1115981567"/>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project.xlsx]KPIs!tot sales</c:name>
    <c:fmtId val="1"/>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manualLayout>
          <c:layoutTarget val="inner"/>
          <c:xMode val="edge"/>
          <c:yMode val="edge"/>
          <c:x val="7.3571439605765218E-2"/>
          <c:y val="0.21478993258380191"/>
          <c:w val="0.89209522191154433"/>
          <c:h val="0.63650934485818145"/>
        </c:manualLayout>
      </c:layout>
      <c:lineChart>
        <c:grouping val="standard"/>
        <c:varyColors val="0"/>
        <c:ser>
          <c:idx val="0"/>
          <c:order val="0"/>
          <c:tx>
            <c:strRef>
              <c:f>KPIs!$B$1</c:f>
              <c:strCache>
                <c:ptCount val="1"/>
                <c:pt idx="0">
                  <c:v>Total</c:v>
                </c:pt>
              </c:strCache>
            </c:strRef>
          </c:tx>
          <c:spPr>
            <a:ln w="28575" cap="rnd">
              <a:solidFill>
                <a:schemeClr val="accent1"/>
              </a:solidFill>
              <a:round/>
            </a:ln>
            <a:effectLst/>
          </c:spPr>
          <c:marker>
            <c:symbol val="none"/>
          </c:marker>
          <c:cat>
            <c:strRef>
              <c:f>KPIs!$A$2:$A$14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KPIs!$B$2:$B$14</c:f>
              <c:numCache>
                <c:formatCode>General</c:formatCode>
                <c:ptCount val="12"/>
                <c:pt idx="0">
                  <c:v>130235.7</c:v>
                </c:pt>
                <c:pt idx="1">
                  <c:v>123386.54999999999</c:v>
                </c:pt>
                <c:pt idx="2">
                  <c:v>109967.59</c:v>
                </c:pt>
                <c:pt idx="3">
                  <c:v>122940.36999999998</c:v>
                </c:pt>
                <c:pt idx="4">
                  <c:v>126507.20000000001</c:v>
                </c:pt>
                <c:pt idx="5">
                  <c:v>130764.56999999996</c:v>
                </c:pt>
                <c:pt idx="6">
                  <c:v>101473.74</c:v>
                </c:pt>
                <c:pt idx="7">
                  <c:v>144159.16000000003</c:v>
                </c:pt>
                <c:pt idx="8">
                  <c:v>134848.82</c:v>
                </c:pt>
                <c:pt idx="9">
                  <c:v>131816.47999999998</c:v>
                </c:pt>
                <c:pt idx="10">
                  <c:v>108358.24</c:v>
                </c:pt>
                <c:pt idx="11">
                  <c:v>162994.06000000003</c:v>
                </c:pt>
              </c:numCache>
            </c:numRef>
          </c:val>
          <c:smooth val="0"/>
          <c:extLst>
            <c:ext xmlns:c16="http://schemas.microsoft.com/office/drawing/2014/chart" uri="{C3380CC4-5D6E-409C-BE32-E72D297353CC}">
              <c16:uniqueId val="{00000000-9640-4621-98FA-F073B99BF8A2}"/>
            </c:ext>
          </c:extLst>
        </c:ser>
        <c:dLbls>
          <c:showLegendKey val="0"/>
          <c:showVal val="0"/>
          <c:showCatName val="0"/>
          <c:showSerName val="0"/>
          <c:showPercent val="0"/>
          <c:showBubbleSize val="0"/>
        </c:dLbls>
        <c:smooth val="0"/>
        <c:axId val="930049520"/>
        <c:axId val="930039952"/>
      </c:lineChart>
      <c:catAx>
        <c:axId val="930049520"/>
        <c:scaling>
          <c:orientation val="minMax"/>
        </c:scaling>
        <c:delete val="1"/>
        <c:axPos val="b"/>
        <c:numFmt formatCode="General" sourceLinked="1"/>
        <c:majorTickMark val="none"/>
        <c:minorTickMark val="none"/>
        <c:tickLblPos val="nextTo"/>
        <c:crossAx val="930039952"/>
        <c:crosses val="autoZero"/>
        <c:auto val="1"/>
        <c:lblAlgn val="ctr"/>
        <c:lblOffset val="100"/>
        <c:noMultiLvlLbl val="0"/>
      </c:catAx>
      <c:valAx>
        <c:axId val="930039952"/>
        <c:scaling>
          <c:orientation val="minMax"/>
        </c:scaling>
        <c:delete val="1"/>
        <c:axPos val="l"/>
        <c:numFmt formatCode="General" sourceLinked="1"/>
        <c:majorTickMark val="none"/>
        <c:minorTickMark val="none"/>
        <c:tickLblPos val="nextTo"/>
        <c:crossAx val="9300495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project.xlsx]KPIs!tot profit</c:name>
    <c:fmtId val="2"/>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manualLayout>
          <c:layoutTarget val="inner"/>
          <c:xMode val="edge"/>
          <c:yMode val="edge"/>
          <c:x val="4.270005774212365E-4"/>
          <c:y val="0.22628274554931294"/>
          <c:w val="0.93888888888888888"/>
          <c:h val="0.77371681071905252"/>
        </c:manualLayout>
      </c:layout>
      <c:lineChart>
        <c:grouping val="standard"/>
        <c:varyColors val="0"/>
        <c:ser>
          <c:idx val="0"/>
          <c:order val="0"/>
          <c:tx>
            <c:strRef>
              <c:f>KPIs!$E$1</c:f>
              <c:strCache>
                <c:ptCount val="1"/>
                <c:pt idx="0">
                  <c:v>Total</c:v>
                </c:pt>
              </c:strCache>
            </c:strRef>
          </c:tx>
          <c:spPr>
            <a:ln w="28575" cap="rnd">
              <a:solidFill>
                <a:schemeClr val="accent1"/>
              </a:solidFill>
              <a:round/>
            </a:ln>
            <a:effectLst/>
          </c:spPr>
          <c:marker>
            <c:symbol val="none"/>
          </c:marker>
          <c:cat>
            <c:strRef>
              <c:f>KPIs!$D$2:$D$14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KPIs!$E$2:$E$14</c:f>
              <c:numCache>
                <c:formatCode>General</c:formatCode>
                <c:ptCount val="12"/>
                <c:pt idx="0">
                  <c:v>30775.80999999999</c:v>
                </c:pt>
                <c:pt idx="1">
                  <c:v>26446.85999999999</c:v>
                </c:pt>
                <c:pt idx="2">
                  <c:v>26292.469999999994</c:v>
                </c:pt>
                <c:pt idx="3">
                  <c:v>29191.89000000001</c:v>
                </c:pt>
                <c:pt idx="4">
                  <c:v>28306.76999999999</c:v>
                </c:pt>
                <c:pt idx="5">
                  <c:v>28542.190000000002</c:v>
                </c:pt>
                <c:pt idx="6">
                  <c:v>25104.22</c:v>
                </c:pt>
                <c:pt idx="7">
                  <c:v>32803.589999999997</c:v>
                </c:pt>
                <c:pt idx="8">
                  <c:v>30069.350000000002</c:v>
                </c:pt>
                <c:pt idx="9">
                  <c:v>26467.579999999998</c:v>
                </c:pt>
                <c:pt idx="10">
                  <c:v>25108.149999999998</c:v>
                </c:pt>
                <c:pt idx="11">
                  <c:v>35893.79</c:v>
                </c:pt>
              </c:numCache>
            </c:numRef>
          </c:val>
          <c:smooth val="0"/>
          <c:extLst>
            <c:ext xmlns:c16="http://schemas.microsoft.com/office/drawing/2014/chart" uri="{C3380CC4-5D6E-409C-BE32-E72D297353CC}">
              <c16:uniqueId val="{00000000-50B3-485B-BAAE-D56D4F6F8A0B}"/>
            </c:ext>
          </c:extLst>
        </c:ser>
        <c:dLbls>
          <c:showLegendKey val="0"/>
          <c:showVal val="0"/>
          <c:showCatName val="0"/>
          <c:showSerName val="0"/>
          <c:showPercent val="0"/>
          <c:showBubbleSize val="0"/>
        </c:dLbls>
        <c:smooth val="0"/>
        <c:axId val="826318848"/>
        <c:axId val="826323840"/>
      </c:lineChart>
      <c:catAx>
        <c:axId val="826318848"/>
        <c:scaling>
          <c:orientation val="minMax"/>
        </c:scaling>
        <c:delete val="1"/>
        <c:axPos val="b"/>
        <c:numFmt formatCode="General" sourceLinked="1"/>
        <c:majorTickMark val="none"/>
        <c:minorTickMark val="none"/>
        <c:tickLblPos val="nextTo"/>
        <c:crossAx val="826323840"/>
        <c:crosses val="autoZero"/>
        <c:auto val="1"/>
        <c:lblAlgn val="ctr"/>
        <c:lblOffset val="100"/>
        <c:noMultiLvlLbl val="0"/>
      </c:catAx>
      <c:valAx>
        <c:axId val="826323840"/>
        <c:scaling>
          <c:orientation val="minMax"/>
        </c:scaling>
        <c:delete val="1"/>
        <c:axPos val="l"/>
        <c:numFmt formatCode="General" sourceLinked="1"/>
        <c:majorTickMark val="none"/>
        <c:minorTickMark val="none"/>
        <c:tickLblPos val="nextTo"/>
        <c:crossAx val="8263188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project.xlsx]KPIs!tot quantity</c:name>
    <c:fmtId val="3"/>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KPIs!$H$1</c:f>
              <c:strCache>
                <c:ptCount val="1"/>
                <c:pt idx="0">
                  <c:v>Total</c:v>
                </c:pt>
              </c:strCache>
            </c:strRef>
          </c:tx>
          <c:spPr>
            <a:ln w="28575" cap="rnd">
              <a:solidFill>
                <a:schemeClr val="accent1"/>
              </a:solidFill>
              <a:round/>
            </a:ln>
            <a:effectLst/>
          </c:spPr>
          <c:marker>
            <c:symbol val="none"/>
          </c:marker>
          <c:cat>
            <c:strRef>
              <c:f>KPIs!$G$2:$G$14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KPIs!$H$2:$H$14</c:f>
              <c:numCache>
                <c:formatCode>General</c:formatCode>
                <c:ptCount val="12"/>
                <c:pt idx="0">
                  <c:v>241</c:v>
                </c:pt>
                <c:pt idx="1">
                  <c:v>250</c:v>
                </c:pt>
                <c:pt idx="2">
                  <c:v>217</c:v>
                </c:pt>
                <c:pt idx="3">
                  <c:v>249</c:v>
                </c:pt>
                <c:pt idx="4">
                  <c:v>270</c:v>
                </c:pt>
                <c:pt idx="5">
                  <c:v>223</c:v>
                </c:pt>
                <c:pt idx="6">
                  <c:v>219</c:v>
                </c:pt>
                <c:pt idx="7">
                  <c:v>267</c:v>
                </c:pt>
                <c:pt idx="8">
                  <c:v>221</c:v>
                </c:pt>
                <c:pt idx="9">
                  <c:v>250</c:v>
                </c:pt>
                <c:pt idx="10">
                  <c:v>231</c:v>
                </c:pt>
                <c:pt idx="11">
                  <c:v>325</c:v>
                </c:pt>
              </c:numCache>
            </c:numRef>
          </c:val>
          <c:smooth val="0"/>
          <c:extLst>
            <c:ext xmlns:c16="http://schemas.microsoft.com/office/drawing/2014/chart" uri="{C3380CC4-5D6E-409C-BE32-E72D297353CC}">
              <c16:uniqueId val="{00000000-0473-4B9C-B20A-E3E433B9601E}"/>
            </c:ext>
          </c:extLst>
        </c:ser>
        <c:dLbls>
          <c:showLegendKey val="0"/>
          <c:showVal val="0"/>
          <c:showCatName val="0"/>
          <c:showSerName val="0"/>
          <c:showPercent val="0"/>
          <c:showBubbleSize val="0"/>
        </c:dLbls>
        <c:smooth val="0"/>
        <c:axId val="930794448"/>
        <c:axId val="930789872"/>
      </c:lineChart>
      <c:catAx>
        <c:axId val="930794448"/>
        <c:scaling>
          <c:orientation val="minMax"/>
        </c:scaling>
        <c:delete val="1"/>
        <c:axPos val="b"/>
        <c:numFmt formatCode="General" sourceLinked="1"/>
        <c:majorTickMark val="none"/>
        <c:minorTickMark val="none"/>
        <c:tickLblPos val="nextTo"/>
        <c:crossAx val="930789872"/>
        <c:crosses val="autoZero"/>
        <c:auto val="1"/>
        <c:lblAlgn val="ctr"/>
        <c:lblOffset val="100"/>
        <c:noMultiLvlLbl val="0"/>
      </c:catAx>
      <c:valAx>
        <c:axId val="930789872"/>
        <c:scaling>
          <c:orientation val="minMax"/>
        </c:scaling>
        <c:delete val="1"/>
        <c:axPos val="l"/>
        <c:numFmt formatCode="General" sourceLinked="1"/>
        <c:majorTickMark val="none"/>
        <c:minorTickMark val="none"/>
        <c:tickLblPos val="nextTo"/>
        <c:crossAx val="9307944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project.xlsx]KPIs!tot order ids</c:name>
    <c:fmtId val="4"/>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manualLayout>
          <c:layoutTarget val="inner"/>
          <c:xMode val="edge"/>
          <c:yMode val="edge"/>
          <c:x val="0.1285204891874368"/>
          <c:y val="0.38218860656642156"/>
          <c:w val="0.79803923127688503"/>
          <c:h val="0.29932088796156048"/>
        </c:manualLayout>
      </c:layout>
      <c:lineChart>
        <c:grouping val="standard"/>
        <c:varyColors val="0"/>
        <c:ser>
          <c:idx val="0"/>
          <c:order val="0"/>
          <c:tx>
            <c:strRef>
              <c:f>KPIs!$K$1</c:f>
              <c:strCache>
                <c:ptCount val="1"/>
                <c:pt idx="0">
                  <c:v>Total</c:v>
                </c:pt>
              </c:strCache>
            </c:strRef>
          </c:tx>
          <c:spPr>
            <a:ln w="28575" cap="rnd">
              <a:solidFill>
                <a:schemeClr val="accent1"/>
              </a:solidFill>
              <a:round/>
            </a:ln>
            <a:effectLst/>
          </c:spPr>
          <c:marker>
            <c:symbol val="none"/>
          </c:marker>
          <c:cat>
            <c:strRef>
              <c:f>KPIs!$J$2:$J$14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KPIs!$K$2:$K$14</c:f>
              <c:numCache>
                <c:formatCode>General</c:formatCode>
                <c:ptCount val="12"/>
                <c:pt idx="0">
                  <c:v>85</c:v>
                </c:pt>
                <c:pt idx="1">
                  <c:v>75</c:v>
                </c:pt>
                <c:pt idx="2">
                  <c:v>81</c:v>
                </c:pt>
                <c:pt idx="3">
                  <c:v>79</c:v>
                </c:pt>
                <c:pt idx="4">
                  <c:v>92</c:v>
                </c:pt>
                <c:pt idx="5">
                  <c:v>81</c:v>
                </c:pt>
                <c:pt idx="6">
                  <c:v>72</c:v>
                </c:pt>
                <c:pt idx="7">
                  <c:v>93</c:v>
                </c:pt>
                <c:pt idx="8">
                  <c:v>76</c:v>
                </c:pt>
                <c:pt idx="9">
                  <c:v>79</c:v>
                </c:pt>
                <c:pt idx="10">
                  <c:v>82</c:v>
                </c:pt>
                <c:pt idx="11">
                  <c:v>105</c:v>
                </c:pt>
              </c:numCache>
            </c:numRef>
          </c:val>
          <c:smooth val="0"/>
          <c:extLst>
            <c:ext xmlns:c16="http://schemas.microsoft.com/office/drawing/2014/chart" uri="{C3380CC4-5D6E-409C-BE32-E72D297353CC}">
              <c16:uniqueId val="{00000000-A6C7-4EB9-95C4-1A9DDCAEB4D6}"/>
            </c:ext>
          </c:extLst>
        </c:ser>
        <c:dLbls>
          <c:showLegendKey val="0"/>
          <c:showVal val="0"/>
          <c:showCatName val="0"/>
          <c:showSerName val="0"/>
          <c:showPercent val="0"/>
          <c:showBubbleSize val="0"/>
        </c:dLbls>
        <c:smooth val="0"/>
        <c:axId val="930790704"/>
        <c:axId val="930792784"/>
      </c:lineChart>
      <c:catAx>
        <c:axId val="930790704"/>
        <c:scaling>
          <c:orientation val="minMax"/>
        </c:scaling>
        <c:delete val="1"/>
        <c:axPos val="b"/>
        <c:numFmt formatCode="General" sourceLinked="1"/>
        <c:majorTickMark val="none"/>
        <c:minorTickMark val="none"/>
        <c:tickLblPos val="nextTo"/>
        <c:crossAx val="930792784"/>
        <c:crosses val="autoZero"/>
        <c:auto val="1"/>
        <c:lblAlgn val="ctr"/>
        <c:lblOffset val="100"/>
        <c:noMultiLvlLbl val="0"/>
      </c:catAx>
      <c:valAx>
        <c:axId val="930792784"/>
        <c:scaling>
          <c:orientation val="minMax"/>
        </c:scaling>
        <c:delete val="1"/>
        <c:axPos val="l"/>
        <c:numFmt formatCode="General" sourceLinked="1"/>
        <c:majorTickMark val="none"/>
        <c:minorTickMark val="none"/>
        <c:tickLblPos val="nextTo"/>
        <c:crossAx val="9307907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dashboard-excel project.xlsx]KPIs!tot profit margin</c:name>
    <c:fmtId val="5"/>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manualLayout>
          <c:layoutTarget val="inner"/>
          <c:xMode val="edge"/>
          <c:yMode val="edge"/>
          <c:x val="5.8969473623929534E-2"/>
          <c:y val="0.24283625687987034"/>
          <c:w val="0.85585239780817224"/>
          <c:h val="0.58904633451098865"/>
        </c:manualLayout>
      </c:layout>
      <c:lineChart>
        <c:grouping val="standard"/>
        <c:varyColors val="0"/>
        <c:ser>
          <c:idx val="0"/>
          <c:order val="0"/>
          <c:tx>
            <c:strRef>
              <c:f>KPIs!$N$1</c:f>
              <c:strCache>
                <c:ptCount val="1"/>
                <c:pt idx="0">
                  <c:v>Total</c:v>
                </c:pt>
              </c:strCache>
            </c:strRef>
          </c:tx>
          <c:spPr>
            <a:ln w="28575" cap="rnd">
              <a:solidFill>
                <a:schemeClr val="accent1"/>
              </a:solidFill>
              <a:round/>
            </a:ln>
            <a:effectLst/>
          </c:spPr>
          <c:marker>
            <c:symbol val="none"/>
          </c:marker>
          <c:cat>
            <c:strRef>
              <c:f>KPIs!$M$2:$M$14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KPIs!$N$2:$N$14</c:f>
              <c:numCache>
                <c:formatCode>General</c:formatCode>
                <c:ptCount val="12"/>
                <c:pt idx="0">
                  <c:v>0.23630855441326756</c:v>
                </c:pt>
                <c:pt idx="1">
                  <c:v>0.21434151453298592</c:v>
                </c:pt>
                <c:pt idx="2">
                  <c:v>0.23909290000808414</c:v>
                </c:pt>
                <c:pt idx="3">
                  <c:v>0.23744755282581315</c:v>
                </c:pt>
                <c:pt idx="4">
                  <c:v>0.22375619727572807</c:v>
                </c:pt>
                <c:pt idx="5">
                  <c:v>0.2182715853384446</c:v>
                </c:pt>
                <c:pt idx="6">
                  <c:v>0.24739622290456625</c:v>
                </c:pt>
                <c:pt idx="7">
                  <c:v>0.22755120104750881</c:v>
                </c:pt>
                <c:pt idx="8">
                  <c:v>0.22298563680423752</c:v>
                </c:pt>
                <c:pt idx="9">
                  <c:v>0.20079113021376388</c:v>
                </c:pt>
                <c:pt idx="10">
                  <c:v>0.23171426556946659</c:v>
                </c:pt>
                <c:pt idx="11">
                  <c:v>0.22021532563824717</c:v>
                </c:pt>
              </c:numCache>
            </c:numRef>
          </c:val>
          <c:smooth val="0"/>
          <c:extLst>
            <c:ext xmlns:c16="http://schemas.microsoft.com/office/drawing/2014/chart" uri="{C3380CC4-5D6E-409C-BE32-E72D297353CC}">
              <c16:uniqueId val="{00000000-62B5-49F1-B61E-9F0DA85647B5}"/>
            </c:ext>
          </c:extLst>
        </c:ser>
        <c:dLbls>
          <c:showLegendKey val="0"/>
          <c:showVal val="0"/>
          <c:showCatName val="0"/>
          <c:showSerName val="0"/>
          <c:showPercent val="0"/>
          <c:showBubbleSize val="0"/>
        </c:dLbls>
        <c:smooth val="0"/>
        <c:axId val="826321344"/>
        <c:axId val="826322592"/>
      </c:lineChart>
      <c:catAx>
        <c:axId val="826321344"/>
        <c:scaling>
          <c:orientation val="minMax"/>
        </c:scaling>
        <c:delete val="1"/>
        <c:axPos val="b"/>
        <c:numFmt formatCode="General" sourceLinked="1"/>
        <c:majorTickMark val="none"/>
        <c:minorTickMark val="none"/>
        <c:tickLblPos val="nextTo"/>
        <c:crossAx val="826322592"/>
        <c:crosses val="autoZero"/>
        <c:auto val="1"/>
        <c:lblAlgn val="ctr"/>
        <c:lblOffset val="100"/>
        <c:noMultiLvlLbl val="0"/>
      </c:catAx>
      <c:valAx>
        <c:axId val="826322592"/>
        <c:scaling>
          <c:orientation val="minMax"/>
        </c:scaling>
        <c:delete val="1"/>
        <c:axPos val="l"/>
        <c:numFmt formatCode="General" sourceLinked="1"/>
        <c:majorTickMark val="none"/>
        <c:minorTickMark val="none"/>
        <c:tickLblPos val="nextTo"/>
        <c:crossAx val="8263213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withinLinearReversed" id="25">
  <a:schemeClr val="accent5"/>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bodyP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bodyPr wrap="square" lIns="38100" tIns="19050" rIns="38100" bIns="19050" anchor="ctr">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bodyPr/>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bodyPr/>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bodyP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bodyPr wrap="square" lIns="38100" tIns="19050" rIns="38100" bIns="19050" anchor="ctr">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bodyPr/>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bodyPr/>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bodyP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bodyPr wrap="square" lIns="38100" tIns="19050" rIns="38100" bIns="19050" anchor="ctr">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bodyPr/>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bodyPr/>
  </cs:valueAxis>
  <cs:wall>
    <cs:lnRef idx="0"/>
    <cs:fillRef idx="0"/>
    <cs:effectRef idx="0"/>
    <cs:fontRef idx="minor">
      <a:schemeClr val="tx1"/>
    </cs:fontRef>
  </cs:wall>
</cs:chartStyle>
</file>

<file path=xl/charts/style3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bodyP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bodyPr wrap="square" lIns="38100" tIns="19050" rIns="38100" bIns="19050" anchor="ctr">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bodyPr/>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bodyPr/>
  </cs:valueAxis>
  <cs:wall>
    <cs:lnRef idx="0"/>
    <cs:fillRef idx="0"/>
    <cs:effectRef idx="0"/>
    <cs:fontRef idx="minor">
      <a:schemeClr val="tx1"/>
    </cs:fontRef>
  </cs:wall>
</cs:chartStyle>
</file>

<file path=xl/charts/style3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bodyP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bodyPr wrap="square" lIns="38100" tIns="19050" rIns="38100" bIns="19050" anchor="ctr">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bodyPr/>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bodyPr/>
  </cs:valueAxis>
  <cs:wall>
    <cs:lnRef idx="0"/>
    <cs:fillRef idx="0"/>
    <cs:effectRef idx="0"/>
    <cs:fontRef idx="minor">
      <a:schemeClr val="tx1"/>
    </cs:fontRef>
  </cs:wall>
</cs:chartStyle>
</file>

<file path=xl/charts/style4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bodyP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bodyPr wrap="square" lIns="38100" tIns="19050" rIns="38100" bIns="19050" anchor="ctr">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bodyPr/>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bodyPr/>
  </cs:valueAxis>
  <cs:wall>
    <cs:lnRef idx="0"/>
    <cs:fillRef idx="0"/>
    <cs:effectRef idx="0"/>
    <cs:fontRef idx="minor">
      <a:schemeClr val="tx1"/>
    </cs:fontRef>
  </cs:wall>
</cs:chartStyle>
</file>

<file path=xl/charts/style5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emf"/><Relationship Id="rId13" Type="http://schemas.openxmlformats.org/officeDocument/2006/relationships/chart" Target="../charts/chart7.xml"/><Relationship Id="rId18" Type="http://schemas.openxmlformats.org/officeDocument/2006/relationships/hyperlink" Target="#'REGION BASED DASHBOARD'!A1"/><Relationship Id="rId26" Type="http://schemas.openxmlformats.org/officeDocument/2006/relationships/image" Target="../media/image11.png"/><Relationship Id="rId3" Type="http://schemas.openxmlformats.org/officeDocument/2006/relationships/image" Target="../media/image2.emf"/><Relationship Id="rId21" Type="http://schemas.openxmlformats.org/officeDocument/2006/relationships/hyperlink" Target="#'sales data set'!A1"/><Relationship Id="rId7" Type="http://schemas.openxmlformats.org/officeDocument/2006/relationships/chart" Target="../charts/chart3.xml"/><Relationship Id="rId12" Type="http://schemas.openxmlformats.org/officeDocument/2006/relationships/chart" Target="../charts/chart6.xml"/><Relationship Id="rId17" Type="http://schemas.openxmlformats.org/officeDocument/2006/relationships/chart" Target="../charts/chart11.xml"/><Relationship Id="rId25" Type="http://schemas.openxmlformats.org/officeDocument/2006/relationships/image" Target="../media/image10.png"/><Relationship Id="rId2" Type="http://schemas.openxmlformats.org/officeDocument/2006/relationships/chart" Target="../charts/chart1.xml"/><Relationship Id="rId16" Type="http://schemas.openxmlformats.org/officeDocument/2006/relationships/chart" Target="../charts/chart10.xml"/><Relationship Id="rId20" Type="http://schemas.openxmlformats.org/officeDocument/2006/relationships/hyperlink" Target="#'COUNTRY BASED DASHBOARD'!A1"/><Relationship Id="rId1" Type="http://schemas.openxmlformats.org/officeDocument/2006/relationships/image" Target="../media/image1.jpg"/><Relationship Id="rId6" Type="http://schemas.openxmlformats.org/officeDocument/2006/relationships/image" Target="../media/image4.emf"/><Relationship Id="rId11" Type="http://schemas.openxmlformats.org/officeDocument/2006/relationships/chart" Target="../charts/chart5.xml"/><Relationship Id="rId24" Type="http://schemas.openxmlformats.org/officeDocument/2006/relationships/image" Target="../media/image9.png"/><Relationship Id="rId5" Type="http://schemas.openxmlformats.org/officeDocument/2006/relationships/chart" Target="../charts/chart2.xml"/><Relationship Id="rId15" Type="http://schemas.openxmlformats.org/officeDocument/2006/relationships/chart" Target="../charts/chart9.xml"/><Relationship Id="rId23" Type="http://schemas.openxmlformats.org/officeDocument/2006/relationships/image" Target="../media/image8.png"/><Relationship Id="rId10" Type="http://schemas.openxmlformats.org/officeDocument/2006/relationships/image" Target="../media/image6.emf"/><Relationship Id="rId19" Type="http://schemas.openxmlformats.org/officeDocument/2006/relationships/hyperlink" Target="#'CITY BASED DASHBOARD'!A1"/><Relationship Id="rId4" Type="http://schemas.openxmlformats.org/officeDocument/2006/relationships/image" Target="../media/image3.emf"/><Relationship Id="rId9" Type="http://schemas.openxmlformats.org/officeDocument/2006/relationships/chart" Target="../charts/chart4.xml"/><Relationship Id="rId14" Type="http://schemas.openxmlformats.org/officeDocument/2006/relationships/chart" Target="../charts/chart8.xml"/><Relationship Id="rId22" Type="http://schemas.openxmlformats.org/officeDocument/2006/relationships/image" Target="../media/image7.png"/><Relationship Id="rId27" Type="http://schemas.openxmlformats.org/officeDocument/2006/relationships/image" Target="../media/image12.png"/></Relationships>
</file>

<file path=xl/drawings/_rels/drawing2.xml.rels><?xml version="1.0" encoding="UTF-8" standalone="yes"?>
<Relationships xmlns="http://schemas.openxmlformats.org/package/2006/relationships"><Relationship Id="rId8" Type="http://schemas.openxmlformats.org/officeDocument/2006/relationships/image" Target="../media/image21.emf"/><Relationship Id="rId13" Type="http://schemas.openxmlformats.org/officeDocument/2006/relationships/hyperlink" Target="#'CITY BASED DASHBOARD'!A1"/><Relationship Id="rId18" Type="http://schemas.openxmlformats.org/officeDocument/2006/relationships/image" Target="../media/image9.png"/><Relationship Id="rId26" Type="http://schemas.openxmlformats.org/officeDocument/2006/relationships/chart" Target="../charts/chart21.xml"/><Relationship Id="rId3" Type="http://schemas.openxmlformats.org/officeDocument/2006/relationships/image" Target="../media/image18.emf"/><Relationship Id="rId21" Type="http://schemas.openxmlformats.org/officeDocument/2006/relationships/image" Target="../media/image12.png"/><Relationship Id="rId7" Type="http://schemas.openxmlformats.org/officeDocument/2006/relationships/chart" Target="../charts/chart14.xml"/><Relationship Id="rId12" Type="http://schemas.openxmlformats.org/officeDocument/2006/relationships/hyperlink" Target="#'REGION BASED DASHBOARD'!A1"/><Relationship Id="rId17" Type="http://schemas.openxmlformats.org/officeDocument/2006/relationships/image" Target="../media/image8.png"/><Relationship Id="rId25" Type="http://schemas.openxmlformats.org/officeDocument/2006/relationships/chart" Target="../charts/chart20.xml"/><Relationship Id="rId2" Type="http://schemas.openxmlformats.org/officeDocument/2006/relationships/chart" Target="../charts/chart12.xml"/><Relationship Id="rId16" Type="http://schemas.openxmlformats.org/officeDocument/2006/relationships/image" Target="../media/image7.png"/><Relationship Id="rId20" Type="http://schemas.openxmlformats.org/officeDocument/2006/relationships/image" Target="../media/image11.png"/><Relationship Id="rId1" Type="http://schemas.openxmlformats.org/officeDocument/2006/relationships/image" Target="../media/image1.jpg"/><Relationship Id="rId6" Type="http://schemas.openxmlformats.org/officeDocument/2006/relationships/image" Target="../media/image20.emf"/><Relationship Id="rId11" Type="http://schemas.openxmlformats.org/officeDocument/2006/relationships/chart" Target="../charts/chart16.xml"/><Relationship Id="rId24" Type="http://schemas.openxmlformats.org/officeDocument/2006/relationships/chart" Target="../charts/chart19.xml"/><Relationship Id="rId5" Type="http://schemas.openxmlformats.org/officeDocument/2006/relationships/chart" Target="../charts/chart13.xml"/><Relationship Id="rId15" Type="http://schemas.openxmlformats.org/officeDocument/2006/relationships/hyperlink" Target="#'sales data set'!A1"/><Relationship Id="rId23" Type="http://schemas.openxmlformats.org/officeDocument/2006/relationships/chart" Target="../charts/chart18.xml"/><Relationship Id="rId10" Type="http://schemas.openxmlformats.org/officeDocument/2006/relationships/image" Target="../media/image22.emf"/><Relationship Id="rId19" Type="http://schemas.openxmlformats.org/officeDocument/2006/relationships/image" Target="../media/image10.png"/><Relationship Id="rId4" Type="http://schemas.openxmlformats.org/officeDocument/2006/relationships/image" Target="../media/image19.emf"/><Relationship Id="rId9" Type="http://schemas.openxmlformats.org/officeDocument/2006/relationships/chart" Target="../charts/chart15.xml"/><Relationship Id="rId14" Type="http://schemas.openxmlformats.org/officeDocument/2006/relationships/hyperlink" Target="#'COUNTRY BASED DASHBOARD'!A1"/><Relationship Id="rId22" Type="http://schemas.openxmlformats.org/officeDocument/2006/relationships/chart" Target="../charts/chart17.xml"/><Relationship Id="rId27" Type="http://schemas.openxmlformats.org/officeDocument/2006/relationships/chart" Target="../charts/chart22.xml"/></Relationships>
</file>

<file path=xl/drawings/_rels/drawing3.xml.rels><?xml version="1.0" encoding="UTF-8" standalone="yes"?>
<Relationships xmlns="http://schemas.openxmlformats.org/package/2006/relationships"><Relationship Id="rId8" Type="http://schemas.openxmlformats.org/officeDocument/2006/relationships/image" Target="../media/image5.emf"/><Relationship Id="rId13" Type="http://schemas.openxmlformats.org/officeDocument/2006/relationships/hyperlink" Target="#'CITY BASED DASHBOARD'!A1"/><Relationship Id="rId18" Type="http://schemas.openxmlformats.org/officeDocument/2006/relationships/image" Target="../media/image9.png"/><Relationship Id="rId26" Type="http://schemas.openxmlformats.org/officeDocument/2006/relationships/chart" Target="../charts/chart32.xml"/><Relationship Id="rId3" Type="http://schemas.openxmlformats.org/officeDocument/2006/relationships/image" Target="../media/image18.emf"/><Relationship Id="rId21" Type="http://schemas.openxmlformats.org/officeDocument/2006/relationships/image" Target="../media/image12.png"/><Relationship Id="rId7" Type="http://schemas.openxmlformats.org/officeDocument/2006/relationships/chart" Target="../charts/chart25.xml"/><Relationship Id="rId12" Type="http://schemas.openxmlformats.org/officeDocument/2006/relationships/hyperlink" Target="#'REGION BASED DASHBOARD'!A1"/><Relationship Id="rId17" Type="http://schemas.openxmlformats.org/officeDocument/2006/relationships/image" Target="../media/image8.png"/><Relationship Id="rId25" Type="http://schemas.openxmlformats.org/officeDocument/2006/relationships/chart" Target="../charts/chart31.xml"/><Relationship Id="rId2" Type="http://schemas.openxmlformats.org/officeDocument/2006/relationships/chart" Target="../charts/chart23.xml"/><Relationship Id="rId16" Type="http://schemas.openxmlformats.org/officeDocument/2006/relationships/image" Target="../media/image7.png"/><Relationship Id="rId20" Type="http://schemas.openxmlformats.org/officeDocument/2006/relationships/image" Target="../media/image11.png"/><Relationship Id="rId1" Type="http://schemas.openxmlformats.org/officeDocument/2006/relationships/image" Target="../media/image1.jpg"/><Relationship Id="rId6" Type="http://schemas.openxmlformats.org/officeDocument/2006/relationships/image" Target="../media/image29.emf"/><Relationship Id="rId11" Type="http://schemas.openxmlformats.org/officeDocument/2006/relationships/chart" Target="../charts/chart27.xml"/><Relationship Id="rId24" Type="http://schemas.openxmlformats.org/officeDocument/2006/relationships/chart" Target="../charts/chart30.xml"/><Relationship Id="rId5" Type="http://schemas.openxmlformats.org/officeDocument/2006/relationships/chart" Target="../charts/chart24.xml"/><Relationship Id="rId15" Type="http://schemas.openxmlformats.org/officeDocument/2006/relationships/hyperlink" Target="#'sales data set'!A1"/><Relationship Id="rId23" Type="http://schemas.openxmlformats.org/officeDocument/2006/relationships/chart" Target="../charts/chart29.xml"/><Relationship Id="rId28" Type="http://schemas.openxmlformats.org/officeDocument/2006/relationships/chart" Target="../charts/chart34.xml"/><Relationship Id="rId10" Type="http://schemas.openxmlformats.org/officeDocument/2006/relationships/image" Target="../media/image22.emf"/><Relationship Id="rId19" Type="http://schemas.openxmlformats.org/officeDocument/2006/relationships/image" Target="../media/image10.png"/><Relationship Id="rId4" Type="http://schemas.openxmlformats.org/officeDocument/2006/relationships/image" Target="../media/image19.emf"/><Relationship Id="rId9" Type="http://schemas.openxmlformats.org/officeDocument/2006/relationships/chart" Target="../charts/chart26.xml"/><Relationship Id="rId14" Type="http://schemas.openxmlformats.org/officeDocument/2006/relationships/hyperlink" Target="#'COUNTRY BASED DASHBOARD'!A1"/><Relationship Id="rId22" Type="http://schemas.openxmlformats.org/officeDocument/2006/relationships/chart" Target="../charts/chart28.xml"/><Relationship Id="rId27" Type="http://schemas.openxmlformats.org/officeDocument/2006/relationships/chart" Target="../charts/chart33.xml"/></Relationships>
</file>

<file path=xl/drawings/_rels/drawing4.xml.rels><?xml version="1.0" encoding="UTF-8" standalone="yes"?>
<Relationships xmlns="http://schemas.openxmlformats.org/package/2006/relationships"><Relationship Id="rId8" Type="http://schemas.openxmlformats.org/officeDocument/2006/relationships/chart" Target="../charts/chart42.xml"/><Relationship Id="rId13" Type="http://schemas.openxmlformats.org/officeDocument/2006/relationships/chart" Target="../charts/chart47.xml"/><Relationship Id="rId18" Type="http://schemas.openxmlformats.org/officeDocument/2006/relationships/chart" Target="../charts/chart52.xml"/><Relationship Id="rId3" Type="http://schemas.openxmlformats.org/officeDocument/2006/relationships/chart" Target="../charts/chart37.xml"/><Relationship Id="rId7" Type="http://schemas.openxmlformats.org/officeDocument/2006/relationships/chart" Target="../charts/chart41.xml"/><Relationship Id="rId12" Type="http://schemas.openxmlformats.org/officeDocument/2006/relationships/chart" Target="../charts/chart46.xml"/><Relationship Id="rId17" Type="http://schemas.openxmlformats.org/officeDocument/2006/relationships/chart" Target="../charts/chart51.xml"/><Relationship Id="rId2" Type="http://schemas.openxmlformats.org/officeDocument/2006/relationships/chart" Target="../charts/chart36.xml"/><Relationship Id="rId16" Type="http://schemas.openxmlformats.org/officeDocument/2006/relationships/chart" Target="../charts/chart50.xml"/><Relationship Id="rId1" Type="http://schemas.openxmlformats.org/officeDocument/2006/relationships/chart" Target="../charts/chart35.xml"/><Relationship Id="rId6" Type="http://schemas.openxmlformats.org/officeDocument/2006/relationships/chart" Target="../charts/chart40.xml"/><Relationship Id="rId11" Type="http://schemas.openxmlformats.org/officeDocument/2006/relationships/chart" Target="../charts/chart45.xml"/><Relationship Id="rId5" Type="http://schemas.openxmlformats.org/officeDocument/2006/relationships/chart" Target="../charts/chart39.xml"/><Relationship Id="rId15" Type="http://schemas.openxmlformats.org/officeDocument/2006/relationships/chart" Target="../charts/chart49.xml"/><Relationship Id="rId10" Type="http://schemas.openxmlformats.org/officeDocument/2006/relationships/chart" Target="../charts/chart44.xml"/><Relationship Id="rId19" Type="http://schemas.openxmlformats.org/officeDocument/2006/relationships/chart" Target="../charts/chart53.xml"/><Relationship Id="rId4" Type="http://schemas.openxmlformats.org/officeDocument/2006/relationships/chart" Target="../charts/chart38.xml"/><Relationship Id="rId9" Type="http://schemas.openxmlformats.org/officeDocument/2006/relationships/chart" Target="../charts/chart43.xml"/><Relationship Id="rId14" Type="http://schemas.openxmlformats.org/officeDocument/2006/relationships/chart" Target="../charts/chart48.xml"/></Relationships>
</file>

<file path=xl/drawings/_rels/drawing5.xml.rels><?xml version="1.0" encoding="UTF-8" standalone="yes"?>
<Relationships xmlns="http://schemas.openxmlformats.org/package/2006/relationships"><Relationship Id="rId3" Type="http://schemas.openxmlformats.org/officeDocument/2006/relationships/hyperlink" Target="#'COUNTRY BASED DASHBOARD'!A1"/><Relationship Id="rId2" Type="http://schemas.openxmlformats.org/officeDocument/2006/relationships/hyperlink" Target="#'CITY BASED DASHBOARD'!A1"/><Relationship Id="rId1" Type="http://schemas.openxmlformats.org/officeDocument/2006/relationships/hyperlink" Target="#'REGION BASED DASHBOARD'!A1"/><Relationship Id="rId4" Type="http://schemas.openxmlformats.org/officeDocument/2006/relationships/hyperlink" Target="#'sales data set'!A1"/></Relationships>
</file>

<file path=xl/drawings/_rels/drawing6.xml.rels><?xml version="1.0" encoding="UTF-8" standalone="yes"?>
<Relationships xmlns="http://schemas.openxmlformats.org/package/2006/relationships"><Relationship Id="rId3" Type="http://schemas.openxmlformats.org/officeDocument/2006/relationships/chart" Target="../charts/chart56.xml"/><Relationship Id="rId2" Type="http://schemas.openxmlformats.org/officeDocument/2006/relationships/chart" Target="../charts/chart55.xml"/><Relationship Id="rId1" Type="http://schemas.openxmlformats.org/officeDocument/2006/relationships/chart" Target="../charts/chart54.xml"/><Relationship Id="rId5" Type="http://schemas.openxmlformats.org/officeDocument/2006/relationships/chart" Target="../charts/chart58.xml"/><Relationship Id="rId4" Type="http://schemas.openxmlformats.org/officeDocument/2006/relationships/chart" Target="../charts/chart57.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15.emf"/><Relationship Id="rId2" Type="http://schemas.openxmlformats.org/officeDocument/2006/relationships/image" Target="../media/image14.emf"/><Relationship Id="rId1" Type="http://schemas.openxmlformats.org/officeDocument/2006/relationships/image" Target="../media/image13.emf"/><Relationship Id="rId5" Type="http://schemas.openxmlformats.org/officeDocument/2006/relationships/image" Target="../media/image17.emf"/><Relationship Id="rId4" Type="http://schemas.openxmlformats.org/officeDocument/2006/relationships/image" Target="../media/image16.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26.emf"/><Relationship Id="rId2" Type="http://schemas.openxmlformats.org/officeDocument/2006/relationships/image" Target="../media/image25.emf"/><Relationship Id="rId1" Type="http://schemas.openxmlformats.org/officeDocument/2006/relationships/image" Target="../media/image24.emf"/><Relationship Id="rId5" Type="http://schemas.openxmlformats.org/officeDocument/2006/relationships/image" Target="../media/image28.emf"/><Relationship Id="rId4" Type="http://schemas.openxmlformats.org/officeDocument/2006/relationships/image" Target="../media/image27.emf"/></Relationships>
</file>

<file path=xl/drawings/_rels/vmlDrawing3.vml.rels><?xml version="1.0" encoding="UTF-8" standalone="yes"?>
<Relationships xmlns="http://schemas.openxmlformats.org/package/2006/relationships"><Relationship Id="rId3" Type="http://schemas.openxmlformats.org/officeDocument/2006/relationships/image" Target="../media/image30.emf"/><Relationship Id="rId2" Type="http://schemas.openxmlformats.org/officeDocument/2006/relationships/image" Target="../media/image25.emf"/><Relationship Id="rId1" Type="http://schemas.openxmlformats.org/officeDocument/2006/relationships/image" Target="../media/image24.emf"/><Relationship Id="rId5" Type="http://schemas.openxmlformats.org/officeDocument/2006/relationships/image" Target="../media/image28.emf"/><Relationship Id="rId4" Type="http://schemas.openxmlformats.org/officeDocument/2006/relationships/image" Target="../media/image16.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26</xdr:col>
      <xdr:colOff>511791</xdr:colOff>
      <xdr:row>41</xdr:row>
      <xdr:rowOff>43543</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361391" cy="7630886"/>
        </a:xfrm>
        <a:prstGeom prst="rect">
          <a:avLst/>
        </a:prstGeom>
      </xdr:spPr>
    </xdr:pic>
    <xdr:clientData/>
  </xdr:twoCellAnchor>
  <xdr:twoCellAnchor>
    <xdr:from>
      <xdr:col>0</xdr:col>
      <xdr:colOff>79337</xdr:colOff>
      <xdr:row>0</xdr:row>
      <xdr:rowOff>68580</xdr:rowOff>
    </xdr:from>
    <xdr:to>
      <xdr:col>21</xdr:col>
      <xdr:colOff>286870</xdr:colOff>
      <xdr:row>2</xdr:row>
      <xdr:rowOff>106680</xdr:rowOff>
    </xdr:to>
    <xdr:sp macro="" textlink="">
      <xdr:nvSpPr>
        <xdr:cNvPr id="3" name="Rounded Rectangle 2"/>
        <xdr:cNvSpPr/>
      </xdr:nvSpPr>
      <xdr:spPr>
        <a:xfrm>
          <a:off x="79337" y="68580"/>
          <a:ext cx="13009133" cy="396688"/>
        </a:xfrm>
        <a:prstGeom prst="round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latin typeface="Arial Black" panose="020B0A04020102020204" pitchFamily="34" charset="0"/>
            </a:rPr>
            <a:t>E-COMMERCE SALES ANALYSIS DASHBOARD-REGION</a:t>
          </a:r>
          <a:r>
            <a:rPr lang="en-IN" sz="1600" b="1" baseline="0">
              <a:latin typeface="Arial Black" panose="020B0A04020102020204" pitchFamily="34" charset="0"/>
            </a:rPr>
            <a:t> BASED</a:t>
          </a:r>
          <a:endParaRPr lang="en-IN" sz="1600" b="1">
            <a:latin typeface="Arial Black" panose="020B0A04020102020204" pitchFamily="34" charset="0"/>
          </a:endParaRPr>
        </a:p>
      </xdr:txBody>
    </xdr:sp>
    <xdr:clientData/>
  </xdr:twoCellAnchor>
  <xdr:twoCellAnchor>
    <xdr:from>
      <xdr:col>0</xdr:col>
      <xdr:colOff>109369</xdr:colOff>
      <xdr:row>3</xdr:row>
      <xdr:rowOff>26894</xdr:rowOff>
    </xdr:from>
    <xdr:to>
      <xdr:col>4</xdr:col>
      <xdr:colOff>125505</xdr:colOff>
      <xdr:row>12</xdr:row>
      <xdr:rowOff>113731</xdr:rowOff>
    </xdr:to>
    <xdr:grpSp>
      <xdr:nvGrpSpPr>
        <xdr:cNvPr id="85" name="Group 84"/>
        <xdr:cNvGrpSpPr/>
      </xdr:nvGrpSpPr>
      <xdr:grpSpPr>
        <a:xfrm>
          <a:off x="109369" y="582948"/>
          <a:ext cx="2446298" cy="1754999"/>
          <a:chOff x="60960" y="556260"/>
          <a:chExt cx="2186940" cy="1600200"/>
        </a:xfrm>
      </xdr:grpSpPr>
      <xdr:grpSp>
        <xdr:nvGrpSpPr>
          <xdr:cNvPr id="20" name="Group 19"/>
          <xdr:cNvGrpSpPr/>
        </xdr:nvGrpSpPr>
        <xdr:grpSpPr>
          <a:xfrm>
            <a:off x="60960" y="556260"/>
            <a:ext cx="2186940" cy="1600200"/>
            <a:chOff x="60960" y="556260"/>
            <a:chExt cx="1973580" cy="1600200"/>
          </a:xfrm>
        </xdr:grpSpPr>
        <xdr:sp macro="" textlink="">
          <xdr:nvSpPr>
            <xdr:cNvPr id="4" name="Rounded Rectangle 3"/>
            <xdr:cNvSpPr/>
          </xdr:nvSpPr>
          <xdr:spPr>
            <a:xfrm>
              <a:off x="68580" y="556260"/>
              <a:ext cx="1965960" cy="426720"/>
            </a:xfrm>
            <a:prstGeom prst="roundRect">
              <a:avLst/>
            </a:prstGeom>
            <a:gradFill>
              <a:gsLst>
                <a:gs pos="0">
                  <a:schemeClr val="tx2">
                    <a:lumMod val="40000"/>
                    <a:lumOff val="60000"/>
                  </a:schemeClr>
                </a:gs>
                <a:gs pos="100000">
                  <a:schemeClr val="tx2">
                    <a:lumMod val="7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SALES</a:t>
              </a:r>
            </a:p>
          </xdr:txBody>
        </xdr:sp>
        <xdr:sp macro="" textlink="">
          <xdr:nvSpPr>
            <xdr:cNvPr id="5" name="Rounded Rectangle 4"/>
            <xdr:cNvSpPr/>
          </xdr:nvSpPr>
          <xdr:spPr>
            <a:xfrm>
              <a:off x="60960" y="1036320"/>
              <a:ext cx="1965960" cy="112014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s!B15">
          <xdr:nvSpPr>
            <xdr:cNvPr id="6" name="Rounded Rectangle 5"/>
            <xdr:cNvSpPr/>
          </xdr:nvSpPr>
          <xdr:spPr>
            <a:xfrm>
              <a:off x="106680" y="1089660"/>
              <a:ext cx="1905000" cy="33528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9741221-C848-47A9-8DD3-57AF61E66794}" type="TxLink">
                <a:rPr lang="en-US" sz="1400" b="1" i="0" u="none" strike="noStrike">
                  <a:solidFill>
                    <a:srgbClr val="000000"/>
                  </a:solidFill>
                  <a:latin typeface="Calibri"/>
                  <a:ea typeface="Calibri"/>
                  <a:cs typeface="Calibri"/>
                </a:rPr>
                <a:pPr algn="ctr"/>
                <a:t> $15,27,452.48 </a:t>
              </a:fld>
              <a:endParaRPr lang="en-IN" sz="1400" b="1"/>
            </a:p>
          </xdr:txBody>
        </xdr:sp>
        <xdr:sp macro="" textlink="">
          <xdr:nvSpPr>
            <xdr:cNvPr id="19" name="Rounded Rectangle 18"/>
            <xdr:cNvSpPr/>
          </xdr:nvSpPr>
          <xdr:spPr>
            <a:xfrm>
              <a:off x="121920" y="1775460"/>
              <a:ext cx="1905000" cy="33528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u="none" strike="noStrike">
                  <a:solidFill>
                    <a:srgbClr val="000000"/>
                  </a:solidFill>
                  <a:latin typeface="Calibri"/>
                  <a:ea typeface="Calibri"/>
                  <a:cs typeface="Calibri"/>
                </a:rPr>
                <a:t>YOY GROWTH</a:t>
              </a:r>
            </a:p>
          </xdr:txBody>
        </xdr:sp>
      </xdr:grpSp>
      <xdr:graphicFrame macro="">
        <xdr:nvGraphicFramePr>
          <xdr:cNvPr id="18" name="Chart 17"/>
          <xdr:cNvGraphicFramePr>
            <a:graphicFrameLocks/>
          </xdr:cNvGraphicFramePr>
        </xdr:nvGraphicFramePr>
        <xdr:xfrm>
          <a:off x="274321" y="1417320"/>
          <a:ext cx="1562100" cy="426720"/>
        </xdr:xfrm>
        <a:graphic>
          <a:graphicData uri="http://schemas.openxmlformats.org/drawingml/2006/chart">
            <c:chart xmlns:c="http://schemas.openxmlformats.org/drawingml/2006/chart" xmlns:r="http://schemas.openxmlformats.org/officeDocument/2006/relationships" r:id="rId2"/>
          </a:graphicData>
        </a:graphic>
      </xdr:graphicFrame>
      <mc:AlternateContent xmlns:mc="http://schemas.openxmlformats.org/markup-compatibility/2006" xmlns:a14="http://schemas.microsoft.com/office/drawing/2010/main">
        <mc:Choice Requires="a14">
          <xdr:pic>
            <xdr:nvPicPr>
              <xdr:cNvPr id="42" name="Picture 41"/>
              <xdr:cNvPicPr>
                <a:picLocks noChangeAspect="1" noChangeArrowheads="1"/>
                <a:extLst>
                  <a:ext uri="{84589F7E-364E-4C9E-8A38-B11213B215E9}">
                    <a14:cameraTool cellRange="'yoy growth'!$K$8" spid="_x0000_s4617"/>
                  </a:ext>
                </a:extLst>
              </xdr:cNvPicPr>
            </xdr:nvPicPr>
            <xdr:blipFill>
              <a:blip xmlns:r="http://schemas.openxmlformats.org/officeDocument/2006/relationships" r:embed="rId3"/>
              <a:srcRect/>
              <a:stretch>
                <a:fillRect/>
              </a:stretch>
            </xdr:blipFill>
            <xdr:spPr bwMode="auto">
              <a:xfrm>
                <a:off x="1394460" y="1813560"/>
                <a:ext cx="739648" cy="213360"/>
              </a:xfrm>
              <a:prstGeom prst="rect">
                <a:avLst/>
              </a:prstGeom>
              <a:gradFill>
                <a:gsLst>
                  <a:gs pos="0">
                    <a:schemeClr val="tx2">
                      <a:lumMod val="40000"/>
                      <a:lumOff val="60000"/>
                    </a:schemeClr>
                  </a:gs>
                  <a:gs pos="43000">
                    <a:schemeClr val="accent1">
                      <a:lumMod val="50000"/>
                    </a:schemeClr>
                  </a:gs>
                </a:gsLst>
                <a:lin ang="5400000" scaled="1"/>
              </a:gradFill>
            </xdr:spPr>
          </xdr:pic>
        </mc:Choice>
        <mc:Fallback xmlns=""/>
      </mc:AlternateContent>
    </xdr:grpSp>
    <xdr:clientData/>
  </xdr:twoCellAnchor>
  <xdr:twoCellAnchor>
    <xdr:from>
      <xdr:col>8</xdr:col>
      <xdr:colOff>310628</xdr:colOff>
      <xdr:row>3</xdr:row>
      <xdr:rowOff>17930</xdr:rowOff>
    </xdr:from>
    <xdr:to>
      <xdr:col>12</xdr:col>
      <xdr:colOff>457200</xdr:colOff>
      <xdr:row>12</xdr:row>
      <xdr:rowOff>159224</xdr:rowOff>
    </xdr:to>
    <xdr:grpSp>
      <xdr:nvGrpSpPr>
        <xdr:cNvPr id="88" name="Group 87"/>
        <xdr:cNvGrpSpPr/>
      </xdr:nvGrpSpPr>
      <xdr:grpSpPr>
        <a:xfrm>
          <a:off x="5170952" y="573984"/>
          <a:ext cx="2576734" cy="1809456"/>
          <a:chOff x="4640580" y="548640"/>
          <a:chExt cx="2186940" cy="1600200"/>
        </a:xfrm>
      </xdr:grpSpPr>
      <xdr:grpSp>
        <xdr:nvGrpSpPr>
          <xdr:cNvPr id="56" name="Group 55"/>
          <xdr:cNvGrpSpPr/>
        </xdr:nvGrpSpPr>
        <xdr:grpSpPr>
          <a:xfrm>
            <a:off x="4640580" y="548640"/>
            <a:ext cx="2186940" cy="1600200"/>
            <a:chOff x="60960" y="556260"/>
            <a:chExt cx="1973580" cy="1600200"/>
          </a:xfrm>
        </xdr:grpSpPr>
        <xdr:sp macro="" textlink="">
          <xdr:nvSpPr>
            <xdr:cNvPr id="57" name="Rounded Rectangle 56"/>
            <xdr:cNvSpPr/>
          </xdr:nvSpPr>
          <xdr:spPr>
            <a:xfrm>
              <a:off x="68580" y="556260"/>
              <a:ext cx="1965960" cy="426720"/>
            </a:xfrm>
            <a:prstGeom prst="roundRect">
              <a:avLst/>
            </a:prstGeom>
            <a:gradFill>
              <a:gsLst>
                <a:gs pos="0">
                  <a:schemeClr val="tx2">
                    <a:lumMod val="40000"/>
                    <a:lumOff val="60000"/>
                  </a:schemeClr>
                </a:gs>
                <a:gs pos="100000">
                  <a:schemeClr val="tx2">
                    <a:lumMod val="7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PROFIT</a:t>
              </a:r>
            </a:p>
          </xdr:txBody>
        </xdr:sp>
        <xdr:sp macro="" textlink="">
          <xdr:nvSpPr>
            <xdr:cNvPr id="58" name="Rounded Rectangle 57"/>
            <xdr:cNvSpPr/>
          </xdr:nvSpPr>
          <xdr:spPr>
            <a:xfrm>
              <a:off x="60960" y="1036320"/>
              <a:ext cx="1965960" cy="112014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s!H15">
          <xdr:nvSpPr>
            <xdr:cNvPr id="59" name="Rounded Rectangle 58"/>
            <xdr:cNvSpPr/>
          </xdr:nvSpPr>
          <xdr:spPr>
            <a:xfrm>
              <a:off x="106680" y="1089660"/>
              <a:ext cx="1905000" cy="33528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ADEEC3E-7B75-4AB5-9580-1A9E2CB42428}" type="TxLink">
                <a:rPr lang="en-US" sz="1400" b="1" i="0" u="none" strike="noStrike">
                  <a:solidFill>
                    <a:srgbClr val="000000"/>
                  </a:solidFill>
                  <a:latin typeface="Calibri"/>
                  <a:ea typeface="Calibri"/>
                  <a:cs typeface="Calibri"/>
                </a:rPr>
                <a:pPr algn="ctr"/>
                <a:t># 2963</a:t>
              </a:fld>
              <a:endParaRPr lang="en-IN" sz="1400" b="1"/>
            </a:p>
          </xdr:txBody>
        </xdr:sp>
        <xdr:sp macro="" textlink="">
          <xdr:nvSpPr>
            <xdr:cNvPr id="60" name="Rounded Rectangle 59"/>
            <xdr:cNvSpPr/>
          </xdr:nvSpPr>
          <xdr:spPr>
            <a:xfrm>
              <a:off x="121920" y="1775460"/>
              <a:ext cx="1905000" cy="33528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u="none" strike="noStrike">
                  <a:solidFill>
                    <a:srgbClr val="000000"/>
                  </a:solidFill>
                  <a:latin typeface="Calibri"/>
                  <a:ea typeface="Calibri"/>
                  <a:cs typeface="Calibri"/>
                </a:rPr>
                <a:t>YOY GROWTH</a:t>
              </a:r>
            </a:p>
          </xdr:txBody>
        </xdr:sp>
      </xdr:grpSp>
      <mc:AlternateContent xmlns:mc="http://schemas.openxmlformats.org/markup-compatibility/2006" xmlns:a14="http://schemas.microsoft.com/office/drawing/2010/main">
        <mc:Choice Requires="a14">
          <xdr:pic>
            <xdr:nvPicPr>
              <xdr:cNvPr id="74" name="Picture 73"/>
              <xdr:cNvPicPr>
                <a:picLocks noChangeAspect="1" noChangeArrowheads="1"/>
                <a:extLst>
                  <a:ext uri="{84589F7E-364E-4C9E-8A38-B11213B215E9}">
                    <a14:cameraTool cellRange="'yoy growth'!$M$8" spid="_x0000_s4618"/>
                  </a:ext>
                </a:extLst>
              </xdr:cNvPicPr>
            </xdr:nvPicPr>
            <xdr:blipFill>
              <a:blip xmlns:r="http://schemas.openxmlformats.org/officeDocument/2006/relationships" r:embed="rId4"/>
              <a:srcRect/>
              <a:stretch>
                <a:fillRect/>
              </a:stretch>
            </xdr:blipFill>
            <xdr:spPr bwMode="auto">
              <a:xfrm>
                <a:off x="6027420" y="1828800"/>
                <a:ext cx="716280" cy="228600"/>
              </a:xfrm>
              <a:prstGeom prst="rect">
                <a:avLst/>
              </a:prstGeom>
              <a:gradFill>
                <a:gsLst>
                  <a:gs pos="0">
                    <a:schemeClr val="tx2">
                      <a:lumMod val="40000"/>
                      <a:lumOff val="60000"/>
                    </a:schemeClr>
                  </a:gs>
                  <a:gs pos="43000">
                    <a:schemeClr val="accent1">
                      <a:lumMod val="50000"/>
                    </a:schemeClr>
                  </a:gs>
                </a:gsLst>
                <a:lin ang="5400000" scaled="1"/>
              </a:gradFill>
            </xdr:spPr>
          </xdr:pic>
        </mc:Choice>
        <mc:Fallback xmlns=""/>
      </mc:AlternateContent>
      <xdr:graphicFrame macro="">
        <xdr:nvGraphicFramePr>
          <xdr:cNvPr id="79" name="Chart 78"/>
          <xdr:cNvGraphicFramePr>
            <a:graphicFrameLocks/>
          </xdr:cNvGraphicFramePr>
        </xdr:nvGraphicFramePr>
        <xdr:xfrm>
          <a:off x="5074920" y="1386840"/>
          <a:ext cx="1348740" cy="411479"/>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13</xdr:col>
      <xdr:colOff>9862</xdr:colOff>
      <xdr:row>2</xdr:row>
      <xdr:rowOff>176603</xdr:rowOff>
    </xdr:from>
    <xdr:to>
      <xdr:col>17</xdr:col>
      <xdr:colOff>26895</xdr:colOff>
      <xdr:row>12</xdr:row>
      <xdr:rowOff>147851</xdr:rowOff>
    </xdr:to>
    <xdr:grpSp>
      <xdr:nvGrpSpPr>
        <xdr:cNvPr id="89" name="Group 88"/>
        <xdr:cNvGrpSpPr/>
      </xdr:nvGrpSpPr>
      <xdr:grpSpPr>
        <a:xfrm>
          <a:off x="7907889" y="547306"/>
          <a:ext cx="2447195" cy="1824761"/>
          <a:chOff x="6903720" y="525780"/>
          <a:chExt cx="2186940" cy="1600200"/>
        </a:xfrm>
      </xdr:grpSpPr>
      <xdr:grpSp>
        <xdr:nvGrpSpPr>
          <xdr:cNvPr id="61" name="Group 60"/>
          <xdr:cNvGrpSpPr/>
        </xdr:nvGrpSpPr>
        <xdr:grpSpPr>
          <a:xfrm>
            <a:off x="6903720" y="525780"/>
            <a:ext cx="2186940" cy="1600200"/>
            <a:chOff x="60960" y="556260"/>
            <a:chExt cx="1973580" cy="1600200"/>
          </a:xfrm>
        </xdr:grpSpPr>
        <xdr:sp macro="" textlink="">
          <xdr:nvSpPr>
            <xdr:cNvPr id="62" name="Rounded Rectangle 61"/>
            <xdr:cNvSpPr/>
          </xdr:nvSpPr>
          <xdr:spPr>
            <a:xfrm>
              <a:off x="68580" y="556260"/>
              <a:ext cx="1965960" cy="426720"/>
            </a:xfrm>
            <a:prstGeom prst="roundRect">
              <a:avLst/>
            </a:prstGeom>
            <a:gradFill>
              <a:gsLst>
                <a:gs pos="0">
                  <a:schemeClr val="tx2">
                    <a:lumMod val="40000"/>
                    <a:lumOff val="60000"/>
                  </a:schemeClr>
                </a:gs>
                <a:gs pos="100000">
                  <a:schemeClr val="tx2">
                    <a:lumMod val="7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NO.</a:t>
              </a:r>
              <a:r>
                <a:rPr lang="en-IN" sz="1400" b="1" baseline="0"/>
                <a:t> OF ORDERS</a:t>
              </a:r>
              <a:endParaRPr lang="en-IN" sz="1400" b="1"/>
            </a:p>
          </xdr:txBody>
        </xdr:sp>
        <xdr:sp macro="" textlink="">
          <xdr:nvSpPr>
            <xdr:cNvPr id="63" name="Rounded Rectangle 62"/>
            <xdr:cNvSpPr/>
          </xdr:nvSpPr>
          <xdr:spPr>
            <a:xfrm>
              <a:off x="60960" y="1036320"/>
              <a:ext cx="1965960" cy="112014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s!K15">
          <xdr:nvSpPr>
            <xdr:cNvPr id="64" name="Rounded Rectangle 63"/>
            <xdr:cNvSpPr/>
          </xdr:nvSpPr>
          <xdr:spPr>
            <a:xfrm>
              <a:off x="106680" y="1089660"/>
              <a:ext cx="1905000" cy="33528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C86C246-F140-44DD-97CF-23B9E9270B9F}" type="TxLink">
                <a:rPr lang="en-US" sz="1400" b="1" i="0" u="none" strike="noStrike">
                  <a:solidFill>
                    <a:srgbClr val="000000"/>
                  </a:solidFill>
                  <a:latin typeface="Calibri"/>
                  <a:ea typeface="Calibri"/>
                  <a:cs typeface="Calibri"/>
                </a:rPr>
                <a:pPr algn="ctr"/>
                <a:t># 1000</a:t>
              </a:fld>
              <a:endParaRPr lang="en-IN" sz="1400" b="1"/>
            </a:p>
          </xdr:txBody>
        </xdr:sp>
        <xdr:sp macro="" textlink="">
          <xdr:nvSpPr>
            <xdr:cNvPr id="65" name="Rounded Rectangle 64"/>
            <xdr:cNvSpPr/>
          </xdr:nvSpPr>
          <xdr:spPr>
            <a:xfrm>
              <a:off x="121920" y="1775460"/>
              <a:ext cx="1905000" cy="33528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u="none" strike="noStrike">
                  <a:solidFill>
                    <a:srgbClr val="000000"/>
                  </a:solidFill>
                  <a:latin typeface="Calibri"/>
                  <a:ea typeface="Calibri"/>
                  <a:cs typeface="Calibri"/>
                </a:rPr>
                <a:t>YOY GROWTH</a:t>
              </a:r>
            </a:p>
          </xdr:txBody>
        </xdr:sp>
      </xdr:grpSp>
      <mc:AlternateContent xmlns:mc="http://schemas.openxmlformats.org/markup-compatibility/2006" xmlns:a14="http://schemas.microsoft.com/office/drawing/2010/main">
        <mc:Choice Requires="a14">
          <xdr:pic>
            <xdr:nvPicPr>
              <xdr:cNvPr id="76" name="Picture 75"/>
              <xdr:cNvPicPr>
                <a:picLocks noChangeAspect="1" noChangeArrowheads="1"/>
                <a:extLst>
                  <a:ext uri="{84589F7E-364E-4C9E-8A38-B11213B215E9}">
                    <a14:cameraTool cellRange="'yoy growth'!$N$8" spid="_x0000_s4619"/>
                  </a:ext>
                </a:extLst>
              </xdr:cNvPicPr>
            </xdr:nvPicPr>
            <xdr:blipFill>
              <a:blip xmlns:r="http://schemas.openxmlformats.org/officeDocument/2006/relationships" r:embed="rId6"/>
              <a:srcRect/>
              <a:stretch>
                <a:fillRect/>
              </a:stretch>
            </xdr:blipFill>
            <xdr:spPr bwMode="auto">
              <a:xfrm>
                <a:off x="8275320" y="1783080"/>
                <a:ext cx="716280" cy="228600"/>
              </a:xfrm>
              <a:prstGeom prst="rect">
                <a:avLst/>
              </a:prstGeom>
              <a:gradFill>
                <a:gsLst>
                  <a:gs pos="0">
                    <a:schemeClr val="tx2">
                      <a:lumMod val="40000"/>
                      <a:lumOff val="60000"/>
                    </a:schemeClr>
                  </a:gs>
                  <a:gs pos="43000">
                    <a:schemeClr val="accent1">
                      <a:lumMod val="50000"/>
                    </a:schemeClr>
                  </a:gs>
                </a:gsLst>
                <a:lin ang="5400000" scaled="1"/>
              </a:gradFill>
            </xdr:spPr>
          </xdr:pic>
        </mc:Choice>
        <mc:Fallback xmlns=""/>
      </mc:AlternateContent>
      <xdr:graphicFrame macro="">
        <xdr:nvGraphicFramePr>
          <xdr:cNvPr id="80" name="Chart 79"/>
          <xdr:cNvGraphicFramePr>
            <a:graphicFrameLocks/>
          </xdr:cNvGraphicFramePr>
        </xdr:nvGraphicFramePr>
        <xdr:xfrm>
          <a:off x="7376160" y="1341120"/>
          <a:ext cx="1234440" cy="37338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4</xdr:col>
      <xdr:colOff>201707</xdr:colOff>
      <xdr:row>3</xdr:row>
      <xdr:rowOff>33170</xdr:rowOff>
    </xdr:from>
    <xdr:to>
      <xdr:col>8</xdr:col>
      <xdr:colOff>215154</xdr:colOff>
      <xdr:row>12</xdr:row>
      <xdr:rowOff>113731</xdr:rowOff>
    </xdr:to>
    <xdr:grpSp>
      <xdr:nvGrpSpPr>
        <xdr:cNvPr id="87" name="Group 86"/>
        <xdr:cNvGrpSpPr/>
      </xdr:nvGrpSpPr>
      <xdr:grpSpPr>
        <a:xfrm>
          <a:off x="2631869" y="589224"/>
          <a:ext cx="2443609" cy="1748723"/>
          <a:chOff x="2362200" y="533400"/>
          <a:chExt cx="2186940" cy="1600200"/>
        </a:xfrm>
      </xdr:grpSpPr>
      <xdr:grpSp>
        <xdr:nvGrpSpPr>
          <xdr:cNvPr id="51" name="Group 50"/>
          <xdr:cNvGrpSpPr/>
        </xdr:nvGrpSpPr>
        <xdr:grpSpPr>
          <a:xfrm>
            <a:off x="2362200" y="533400"/>
            <a:ext cx="2186940" cy="1600200"/>
            <a:chOff x="60960" y="556260"/>
            <a:chExt cx="1973580" cy="1600200"/>
          </a:xfrm>
        </xdr:grpSpPr>
        <xdr:sp macro="" textlink="">
          <xdr:nvSpPr>
            <xdr:cNvPr id="52" name="Rounded Rectangle 51"/>
            <xdr:cNvSpPr/>
          </xdr:nvSpPr>
          <xdr:spPr>
            <a:xfrm>
              <a:off x="68580" y="556260"/>
              <a:ext cx="1965960" cy="426720"/>
            </a:xfrm>
            <a:prstGeom prst="roundRect">
              <a:avLst/>
            </a:prstGeom>
            <a:gradFill>
              <a:gsLst>
                <a:gs pos="0">
                  <a:schemeClr val="tx2">
                    <a:lumMod val="40000"/>
                    <a:lumOff val="60000"/>
                  </a:schemeClr>
                </a:gs>
                <a:gs pos="100000">
                  <a:schemeClr val="tx2">
                    <a:lumMod val="7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QUANTITY</a:t>
              </a:r>
            </a:p>
          </xdr:txBody>
        </xdr:sp>
        <xdr:sp macro="" textlink="">
          <xdr:nvSpPr>
            <xdr:cNvPr id="53" name="Rounded Rectangle 52"/>
            <xdr:cNvSpPr/>
          </xdr:nvSpPr>
          <xdr:spPr>
            <a:xfrm>
              <a:off x="60960" y="1036320"/>
              <a:ext cx="1965960" cy="112014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5" name="Rounded Rectangle 54"/>
            <xdr:cNvSpPr/>
          </xdr:nvSpPr>
          <xdr:spPr>
            <a:xfrm>
              <a:off x="121920" y="1775460"/>
              <a:ext cx="1905000" cy="33528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u="none" strike="noStrike">
                  <a:solidFill>
                    <a:srgbClr val="000000"/>
                  </a:solidFill>
                  <a:latin typeface="Calibri"/>
                  <a:ea typeface="Calibri"/>
                  <a:cs typeface="Calibri"/>
                </a:rPr>
                <a:t>YOY GROWTH</a:t>
              </a:r>
            </a:p>
          </xdr:txBody>
        </xdr:sp>
        <xdr:sp macro="" textlink="KPIs!E15">
          <xdr:nvSpPr>
            <xdr:cNvPr id="54" name="Rounded Rectangle 53"/>
            <xdr:cNvSpPr/>
          </xdr:nvSpPr>
          <xdr:spPr>
            <a:xfrm>
              <a:off x="106680" y="1089660"/>
              <a:ext cx="1905000" cy="33528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4C3B88F-CA18-40B6-9204-BA417DDAD2BF}" type="TxLink">
                <a:rPr lang="en-US" sz="1400" b="1" i="0" u="none" strike="noStrike">
                  <a:solidFill>
                    <a:srgbClr val="000000"/>
                  </a:solidFill>
                  <a:latin typeface="Calibri"/>
                  <a:ea typeface="Calibri"/>
                  <a:cs typeface="Calibri"/>
                </a:rPr>
                <a:pPr algn="ctr"/>
                <a:t> $3,45,002.67 </a:t>
              </a:fld>
              <a:endParaRPr lang="en-IN" sz="1400" b="1"/>
            </a:p>
          </xdr:txBody>
        </xdr:sp>
      </xdr:grpSp>
      <mc:AlternateContent xmlns:mc="http://schemas.openxmlformats.org/markup-compatibility/2006" xmlns:a14="http://schemas.microsoft.com/office/drawing/2010/main">
        <mc:Choice Requires="a14">
          <xdr:pic>
            <xdr:nvPicPr>
              <xdr:cNvPr id="72" name="Picture 71"/>
              <xdr:cNvPicPr>
                <a:picLocks noChangeAspect="1" noChangeArrowheads="1"/>
                <a:extLst>
                  <a:ext uri="{84589F7E-364E-4C9E-8A38-B11213B215E9}">
                    <a14:cameraTool cellRange="'yoy growth'!$L$8" spid="_x0000_s4620"/>
                  </a:ext>
                </a:extLst>
              </xdr:cNvPicPr>
            </xdr:nvPicPr>
            <xdr:blipFill>
              <a:blip xmlns:r="http://schemas.openxmlformats.org/officeDocument/2006/relationships" r:embed="rId8"/>
              <a:srcRect/>
              <a:stretch>
                <a:fillRect/>
              </a:stretch>
            </xdr:blipFill>
            <xdr:spPr bwMode="auto">
              <a:xfrm>
                <a:off x="3718560" y="1790700"/>
                <a:ext cx="708660" cy="228600"/>
              </a:xfrm>
              <a:prstGeom prst="rect">
                <a:avLst/>
              </a:prstGeom>
              <a:gradFill>
                <a:gsLst>
                  <a:gs pos="0">
                    <a:schemeClr val="tx2">
                      <a:lumMod val="40000"/>
                      <a:lumOff val="60000"/>
                    </a:schemeClr>
                  </a:gs>
                  <a:gs pos="43000">
                    <a:schemeClr val="accent1">
                      <a:lumMod val="50000"/>
                    </a:schemeClr>
                  </a:gs>
                </a:gsLst>
                <a:lin ang="5400000" scaled="1"/>
              </a:gradFill>
            </xdr:spPr>
          </xdr:pic>
        </mc:Choice>
        <mc:Fallback xmlns=""/>
      </mc:AlternateContent>
      <xdr:graphicFrame macro="">
        <xdr:nvGraphicFramePr>
          <xdr:cNvPr id="81" name="Chart 80"/>
          <xdr:cNvGraphicFramePr>
            <a:graphicFrameLocks/>
          </xdr:cNvGraphicFramePr>
        </xdr:nvGraphicFramePr>
        <xdr:xfrm>
          <a:off x="2758440" y="1371600"/>
          <a:ext cx="1413029" cy="373380"/>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17</xdr:col>
      <xdr:colOff>155985</xdr:colOff>
      <xdr:row>3</xdr:row>
      <xdr:rowOff>22859</xdr:rowOff>
    </xdr:from>
    <xdr:to>
      <xdr:col>21</xdr:col>
      <xdr:colOff>188258</xdr:colOff>
      <xdr:row>13</xdr:row>
      <xdr:rowOff>0</xdr:rowOff>
    </xdr:to>
    <xdr:grpSp>
      <xdr:nvGrpSpPr>
        <xdr:cNvPr id="90" name="Group 89"/>
        <xdr:cNvGrpSpPr/>
      </xdr:nvGrpSpPr>
      <xdr:grpSpPr>
        <a:xfrm>
          <a:off x="10484174" y="578913"/>
          <a:ext cx="2462435" cy="1830655"/>
          <a:chOff x="9174480" y="510540"/>
          <a:chExt cx="2186940" cy="1600200"/>
        </a:xfrm>
      </xdr:grpSpPr>
      <xdr:grpSp>
        <xdr:nvGrpSpPr>
          <xdr:cNvPr id="66" name="Group 65"/>
          <xdr:cNvGrpSpPr/>
        </xdr:nvGrpSpPr>
        <xdr:grpSpPr>
          <a:xfrm>
            <a:off x="9174480" y="510540"/>
            <a:ext cx="2186940" cy="1600200"/>
            <a:chOff x="60960" y="556260"/>
            <a:chExt cx="1973580" cy="1600200"/>
          </a:xfrm>
        </xdr:grpSpPr>
        <xdr:sp macro="" textlink="">
          <xdr:nvSpPr>
            <xdr:cNvPr id="67" name="Rounded Rectangle 66"/>
            <xdr:cNvSpPr/>
          </xdr:nvSpPr>
          <xdr:spPr>
            <a:xfrm>
              <a:off x="68580" y="556260"/>
              <a:ext cx="1965960" cy="426720"/>
            </a:xfrm>
            <a:prstGeom prst="roundRect">
              <a:avLst/>
            </a:prstGeom>
            <a:gradFill>
              <a:gsLst>
                <a:gs pos="0">
                  <a:schemeClr val="tx2">
                    <a:lumMod val="40000"/>
                    <a:lumOff val="60000"/>
                  </a:schemeClr>
                </a:gs>
                <a:gs pos="100000">
                  <a:schemeClr val="tx2">
                    <a:lumMod val="7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PROFIT</a:t>
              </a:r>
              <a:r>
                <a:rPr lang="en-IN" sz="1400" b="1" baseline="0"/>
                <a:t> MARGIN</a:t>
              </a:r>
              <a:endParaRPr lang="en-IN" sz="1400" b="1"/>
            </a:p>
          </xdr:txBody>
        </xdr:sp>
        <xdr:sp macro="" textlink="">
          <xdr:nvSpPr>
            <xdr:cNvPr id="68" name="Rounded Rectangle 67"/>
            <xdr:cNvSpPr/>
          </xdr:nvSpPr>
          <xdr:spPr>
            <a:xfrm>
              <a:off x="60960" y="1036320"/>
              <a:ext cx="1965960" cy="112014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s!N15">
          <xdr:nvSpPr>
            <xdr:cNvPr id="69" name="Rounded Rectangle 68"/>
            <xdr:cNvSpPr/>
          </xdr:nvSpPr>
          <xdr:spPr>
            <a:xfrm>
              <a:off x="106680" y="1089660"/>
              <a:ext cx="1905000" cy="33528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B84C5B0-6F4C-4B58-AC35-C80103E4F4E3}" type="TxLink">
                <a:rPr lang="en-US" sz="1400" b="1" i="0" u="none" strike="noStrike">
                  <a:solidFill>
                    <a:srgbClr val="000000"/>
                  </a:solidFill>
                  <a:latin typeface="Calibri"/>
                  <a:ea typeface="Calibri"/>
                  <a:cs typeface="Calibri"/>
                </a:rPr>
                <a:pPr algn="ctr"/>
                <a:t>22.59%</a:t>
              </a:fld>
              <a:endParaRPr lang="en-IN" sz="1400" b="1"/>
            </a:p>
          </xdr:txBody>
        </xdr:sp>
        <xdr:sp macro="" textlink="">
          <xdr:nvSpPr>
            <xdr:cNvPr id="70" name="Rounded Rectangle 69"/>
            <xdr:cNvSpPr/>
          </xdr:nvSpPr>
          <xdr:spPr>
            <a:xfrm>
              <a:off x="121920" y="1775460"/>
              <a:ext cx="1905000" cy="33528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u="none" strike="noStrike">
                  <a:solidFill>
                    <a:srgbClr val="000000"/>
                  </a:solidFill>
                  <a:latin typeface="Calibri"/>
                  <a:ea typeface="Calibri"/>
                  <a:cs typeface="Calibri"/>
                </a:rPr>
                <a:t>YOY GROWTH</a:t>
              </a:r>
            </a:p>
          </xdr:txBody>
        </xdr:sp>
      </xdr:grpSp>
      <mc:AlternateContent xmlns:mc="http://schemas.openxmlformats.org/markup-compatibility/2006" xmlns:a14="http://schemas.microsoft.com/office/drawing/2010/main">
        <mc:Choice Requires="a14">
          <xdr:pic>
            <xdr:nvPicPr>
              <xdr:cNvPr id="78" name="Picture 77"/>
              <xdr:cNvPicPr>
                <a:picLocks noChangeAspect="1" noChangeArrowheads="1"/>
                <a:extLst>
                  <a:ext uri="{84589F7E-364E-4C9E-8A38-B11213B215E9}">
                    <a14:cameraTool cellRange="'yoy growth'!$O$8" spid="_x0000_s4621"/>
                  </a:ext>
                </a:extLst>
              </xdr:cNvPicPr>
            </xdr:nvPicPr>
            <xdr:blipFill>
              <a:blip xmlns:r="http://schemas.openxmlformats.org/officeDocument/2006/relationships" r:embed="rId10"/>
              <a:srcRect/>
              <a:stretch>
                <a:fillRect/>
              </a:stretch>
            </xdr:blipFill>
            <xdr:spPr bwMode="auto">
              <a:xfrm>
                <a:off x="10501019" y="1752599"/>
                <a:ext cx="700381" cy="259400"/>
              </a:xfrm>
              <a:prstGeom prst="rect">
                <a:avLst/>
              </a:prstGeom>
              <a:gradFill>
                <a:gsLst>
                  <a:gs pos="0">
                    <a:schemeClr val="tx2">
                      <a:lumMod val="40000"/>
                      <a:lumOff val="60000"/>
                    </a:schemeClr>
                  </a:gs>
                  <a:gs pos="43000">
                    <a:schemeClr val="accent1">
                      <a:lumMod val="50000"/>
                    </a:schemeClr>
                  </a:gs>
                </a:gsLst>
                <a:lin ang="5400000" scaled="1"/>
              </a:gradFill>
            </xdr:spPr>
          </xdr:pic>
        </mc:Choice>
        <mc:Fallback xmlns=""/>
      </mc:AlternateContent>
      <xdr:graphicFrame macro="">
        <xdr:nvGraphicFramePr>
          <xdr:cNvPr id="82" name="Chart 81"/>
          <xdr:cNvGraphicFramePr>
            <a:graphicFrameLocks/>
          </xdr:cNvGraphicFramePr>
        </xdr:nvGraphicFramePr>
        <xdr:xfrm>
          <a:off x="9479280" y="1341120"/>
          <a:ext cx="1575787" cy="389359"/>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6</xdr:col>
      <xdr:colOff>535140</xdr:colOff>
      <xdr:row>13</xdr:row>
      <xdr:rowOff>91491</xdr:rowOff>
    </xdr:from>
    <xdr:to>
      <xdr:col>14</xdr:col>
      <xdr:colOff>207480</xdr:colOff>
      <xdr:row>26</xdr:row>
      <xdr:rowOff>90985</xdr:rowOff>
    </xdr:to>
    <xdr:grpSp>
      <xdr:nvGrpSpPr>
        <xdr:cNvPr id="95" name="Group 94"/>
        <xdr:cNvGrpSpPr/>
      </xdr:nvGrpSpPr>
      <xdr:grpSpPr>
        <a:xfrm>
          <a:off x="4180383" y="2501059"/>
          <a:ext cx="4532665" cy="2409061"/>
          <a:chOff x="76200" y="2182009"/>
          <a:chExt cx="4549140" cy="2048436"/>
        </a:xfrm>
      </xdr:grpSpPr>
      <xdr:sp macro="" textlink="">
        <xdr:nvSpPr>
          <xdr:cNvPr id="83" name="Rounded Rectangle 82"/>
          <xdr:cNvSpPr/>
        </xdr:nvSpPr>
        <xdr:spPr>
          <a:xfrm>
            <a:off x="76200" y="2182009"/>
            <a:ext cx="4549140" cy="2048436"/>
          </a:xfrm>
          <a:prstGeom prst="roundRect">
            <a:avLst/>
          </a:prstGeom>
          <a:gradFill>
            <a:gsLst>
              <a:gs pos="82000">
                <a:schemeClr val="tx2">
                  <a:lumMod val="50000"/>
                </a:schemeClr>
              </a:gs>
              <a:gs pos="0">
                <a:schemeClr val="tx2">
                  <a:lumMod val="40000"/>
                  <a:lumOff val="60000"/>
                  <a:alpha val="4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84" name="Chart 83"/>
          <xdr:cNvGraphicFramePr>
            <a:graphicFrameLocks/>
          </xdr:cNvGraphicFramePr>
        </xdr:nvGraphicFramePr>
        <xdr:xfrm>
          <a:off x="205740" y="2525358"/>
          <a:ext cx="4358640" cy="1586753"/>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91" name="Rounded Rectangle 90"/>
          <xdr:cNvSpPr/>
        </xdr:nvSpPr>
        <xdr:spPr>
          <a:xfrm>
            <a:off x="312420" y="2235349"/>
            <a:ext cx="2606040" cy="240255"/>
          </a:xfrm>
          <a:prstGeom prst="roundRect">
            <a:avLst/>
          </a:prstGeom>
          <a:gradFill>
            <a:gsLst>
              <a:gs pos="0">
                <a:schemeClr val="tx2">
                  <a:lumMod val="40000"/>
                  <a:lumOff val="60000"/>
                  <a:alpha val="71000"/>
                </a:schemeClr>
              </a:gs>
              <a:gs pos="78000">
                <a:schemeClr val="tx2">
                  <a:lumMod val="7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SALES</a:t>
            </a:r>
            <a:r>
              <a:rPr lang="en-IN" sz="1200" b="1" baseline="0"/>
              <a:t> AND PROFIT ANALYSIS</a:t>
            </a:r>
            <a:endParaRPr lang="en-IN" sz="1200" b="1"/>
          </a:p>
        </xdr:txBody>
      </xdr:sp>
    </xdr:grpSp>
    <xdr:clientData/>
  </xdr:twoCellAnchor>
  <xdr:twoCellAnchor>
    <xdr:from>
      <xdr:col>0</xdr:col>
      <xdr:colOff>102358</xdr:colOff>
      <xdr:row>13</xdr:row>
      <xdr:rowOff>79612</xdr:rowOff>
    </xdr:from>
    <xdr:to>
      <xdr:col>6</xdr:col>
      <xdr:colOff>460948</xdr:colOff>
      <xdr:row>26</xdr:row>
      <xdr:rowOff>13113</xdr:rowOff>
    </xdr:to>
    <xdr:grpSp>
      <xdr:nvGrpSpPr>
        <xdr:cNvPr id="9" name="Group 8"/>
        <xdr:cNvGrpSpPr/>
      </xdr:nvGrpSpPr>
      <xdr:grpSpPr>
        <a:xfrm>
          <a:off x="102358" y="2489180"/>
          <a:ext cx="4003833" cy="2343068"/>
          <a:chOff x="107575" y="2259730"/>
          <a:chExt cx="4026823" cy="2241803"/>
        </a:xfrm>
      </xdr:grpSpPr>
      <xdr:sp macro="" textlink="">
        <xdr:nvSpPr>
          <xdr:cNvPr id="93" name="Rounded Rectangle 92"/>
          <xdr:cNvSpPr/>
        </xdr:nvSpPr>
        <xdr:spPr>
          <a:xfrm>
            <a:off x="134470" y="2259730"/>
            <a:ext cx="3999928" cy="2241803"/>
          </a:xfrm>
          <a:prstGeom prst="roundRect">
            <a:avLst/>
          </a:prstGeom>
          <a:gradFill>
            <a:gsLst>
              <a:gs pos="82000">
                <a:schemeClr val="tx2">
                  <a:lumMod val="50000"/>
                </a:schemeClr>
              </a:gs>
              <a:gs pos="0">
                <a:schemeClr val="tx2">
                  <a:lumMod val="40000"/>
                  <a:lumOff val="60000"/>
                  <a:alpha val="4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6" name="Rounded Rectangle 95"/>
          <xdr:cNvSpPr/>
        </xdr:nvSpPr>
        <xdr:spPr>
          <a:xfrm>
            <a:off x="367553" y="2304555"/>
            <a:ext cx="2613128" cy="247030"/>
          </a:xfrm>
          <a:prstGeom prst="roundRect">
            <a:avLst/>
          </a:prstGeom>
          <a:gradFill>
            <a:gsLst>
              <a:gs pos="0">
                <a:schemeClr val="tx2">
                  <a:lumMod val="40000"/>
                  <a:lumOff val="60000"/>
                  <a:alpha val="71000"/>
                </a:schemeClr>
              </a:gs>
              <a:gs pos="78000">
                <a:schemeClr val="tx2">
                  <a:lumMod val="7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REGION</a:t>
            </a:r>
            <a:r>
              <a:rPr lang="en-IN" sz="1200" b="1" baseline="0"/>
              <a:t> WISE PROFIT</a:t>
            </a:r>
            <a:endParaRPr lang="en-IN" sz="1200" b="1"/>
          </a:p>
        </xdr:txBody>
      </xdr:sp>
      <mc:AlternateContent xmlns:mc="http://schemas.openxmlformats.org/markup-compatibility/2006">
        <mc:Choice xmlns:cx="http://schemas.microsoft.com/office/drawing/2014/chartex" Requires="cx">
          <xdr:graphicFrame macro="">
            <xdr:nvGraphicFramePr>
              <xdr:cNvPr id="98" name="Chart 97"/>
              <xdr:cNvGraphicFramePr/>
            </xdr:nvGraphicFramePr>
            <xdr:xfrm>
              <a:off x="107575" y="2553378"/>
              <a:ext cx="4008893" cy="1780015"/>
            </xdr:xfrm>
            <a:graphic>
              <a:graphicData uri="http://schemas.microsoft.com/office/drawing/2014/chartex">
                <c:chart xmlns:c="http://schemas.openxmlformats.org/drawingml/2006/chart" xmlns:r="http://schemas.openxmlformats.org/officeDocument/2006/relationships" r:id="rId13"/>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14</xdr:col>
      <xdr:colOff>308373</xdr:colOff>
      <xdr:row>13</xdr:row>
      <xdr:rowOff>132174</xdr:rowOff>
    </xdr:from>
    <xdr:to>
      <xdr:col>21</xdr:col>
      <xdr:colOff>250209</xdr:colOff>
      <xdr:row>26</xdr:row>
      <xdr:rowOff>97422</xdr:rowOff>
    </xdr:to>
    <xdr:grpSp>
      <xdr:nvGrpSpPr>
        <xdr:cNvPr id="17" name="Group 16"/>
        <xdr:cNvGrpSpPr/>
      </xdr:nvGrpSpPr>
      <xdr:grpSpPr>
        <a:xfrm>
          <a:off x="8813941" y="2541742"/>
          <a:ext cx="4194619" cy="2374815"/>
          <a:chOff x="8860970" y="2333265"/>
          <a:chExt cx="4240880" cy="2192610"/>
        </a:xfrm>
      </xdr:grpSpPr>
      <xdr:sp macro="" textlink="">
        <xdr:nvSpPr>
          <xdr:cNvPr id="101" name="Rounded Rectangle 100"/>
          <xdr:cNvSpPr/>
        </xdr:nvSpPr>
        <xdr:spPr>
          <a:xfrm>
            <a:off x="8860970" y="2333265"/>
            <a:ext cx="4240880" cy="2192610"/>
          </a:xfrm>
          <a:prstGeom prst="roundRect">
            <a:avLst/>
          </a:prstGeom>
          <a:gradFill>
            <a:gsLst>
              <a:gs pos="82000">
                <a:schemeClr val="tx2">
                  <a:lumMod val="50000"/>
                </a:schemeClr>
              </a:gs>
              <a:gs pos="0">
                <a:schemeClr val="tx2">
                  <a:lumMod val="40000"/>
                  <a:lumOff val="60000"/>
                  <a:alpha val="4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71" name="Chart 70"/>
          <xdr:cNvGraphicFramePr>
            <a:graphicFrameLocks/>
          </xdr:cNvGraphicFramePr>
        </xdr:nvGraphicFramePr>
        <xdr:xfrm>
          <a:off x="9060348" y="2626722"/>
          <a:ext cx="4039491" cy="1829960"/>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75" name="Rounded Rectangle 74"/>
          <xdr:cNvSpPr/>
        </xdr:nvSpPr>
        <xdr:spPr>
          <a:xfrm>
            <a:off x="9180541" y="2357461"/>
            <a:ext cx="2864187" cy="234595"/>
          </a:xfrm>
          <a:prstGeom prst="roundRect">
            <a:avLst/>
          </a:prstGeom>
          <a:gradFill>
            <a:gsLst>
              <a:gs pos="0">
                <a:schemeClr val="tx2">
                  <a:lumMod val="40000"/>
                  <a:lumOff val="60000"/>
                  <a:alpha val="71000"/>
                </a:schemeClr>
              </a:gs>
              <a:gs pos="78000">
                <a:schemeClr val="tx2">
                  <a:lumMod val="7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MONTHLY SALES TREND</a:t>
            </a:r>
            <a:r>
              <a:rPr lang="en-IN" sz="1200" b="1" baseline="0"/>
              <a:t> FOR REGIONS</a:t>
            </a:r>
            <a:endParaRPr lang="en-IN" sz="1200" b="1"/>
          </a:p>
        </xdr:txBody>
      </xdr:sp>
    </xdr:grpSp>
    <xdr:clientData/>
  </xdr:twoCellAnchor>
  <xdr:twoCellAnchor>
    <xdr:from>
      <xdr:col>0</xdr:col>
      <xdr:colOff>113731</xdr:colOff>
      <xdr:row>27</xdr:row>
      <xdr:rowOff>22746</xdr:rowOff>
    </xdr:from>
    <xdr:to>
      <xdr:col>6</xdr:col>
      <xdr:colOff>514067</xdr:colOff>
      <xdr:row>40</xdr:row>
      <xdr:rowOff>90985</xdr:rowOff>
    </xdr:to>
    <xdr:grpSp>
      <xdr:nvGrpSpPr>
        <xdr:cNvPr id="8" name="Group 7"/>
        <xdr:cNvGrpSpPr/>
      </xdr:nvGrpSpPr>
      <xdr:grpSpPr>
        <a:xfrm>
          <a:off x="113731" y="5027232"/>
          <a:ext cx="4045579" cy="2477807"/>
          <a:chOff x="125506" y="4600145"/>
          <a:chExt cx="3999928" cy="2241805"/>
        </a:xfrm>
      </xdr:grpSpPr>
      <xdr:sp macro="" textlink="">
        <xdr:nvSpPr>
          <xdr:cNvPr id="100" name="Rounded Rectangle 99"/>
          <xdr:cNvSpPr/>
        </xdr:nvSpPr>
        <xdr:spPr>
          <a:xfrm>
            <a:off x="125506" y="4600145"/>
            <a:ext cx="3999928" cy="2241805"/>
          </a:xfrm>
          <a:prstGeom prst="roundRect">
            <a:avLst/>
          </a:prstGeom>
          <a:gradFill>
            <a:gsLst>
              <a:gs pos="82000">
                <a:schemeClr val="tx2">
                  <a:lumMod val="50000"/>
                </a:schemeClr>
              </a:gs>
              <a:gs pos="0">
                <a:schemeClr val="tx2">
                  <a:lumMod val="40000"/>
                  <a:lumOff val="60000"/>
                  <a:alpha val="4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86" name="Chart 85"/>
          <xdr:cNvGraphicFramePr>
            <a:graphicFrameLocks/>
          </xdr:cNvGraphicFramePr>
        </xdr:nvGraphicFramePr>
        <xdr:xfrm>
          <a:off x="212651" y="4944140"/>
          <a:ext cx="3810001" cy="1816395"/>
        </xdr:xfrm>
        <a:graphic>
          <a:graphicData uri="http://schemas.openxmlformats.org/drawingml/2006/chart">
            <c:chart xmlns:c="http://schemas.openxmlformats.org/drawingml/2006/chart" xmlns:r="http://schemas.openxmlformats.org/officeDocument/2006/relationships" r:id="rId15"/>
          </a:graphicData>
        </a:graphic>
      </xdr:graphicFrame>
      <xdr:sp macro="" textlink="">
        <xdr:nvSpPr>
          <xdr:cNvPr id="97" name="Rounded Rectangle 96"/>
          <xdr:cNvSpPr/>
        </xdr:nvSpPr>
        <xdr:spPr>
          <a:xfrm>
            <a:off x="344093" y="4700828"/>
            <a:ext cx="2613128" cy="247030"/>
          </a:xfrm>
          <a:prstGeom prst="roundRect">
            <a:avLst/>
          </a:prstGeom>
          <a:gradFill>
            <a:gsLst>
              <a:gs pos="0">
                <a:schemeClr val="tx2">
                  <a:lumMod val="40000"/>
                  <a:lumOff val="60000"/>
                  <a:alpha val="71000"/>
                </a:schemeClr>
              </a:gs>
              <a:gs pos="78000">
                <a:schemeClr val="tx2">
                  <a:lumMod val="7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AVG</a:t>
            </a:r>
            <a:r>
              <a:rPr lang="en-IN" sz="1200" b="1" baseline="0"/>
              <a:t> SHIPPING DAYS BY REGION</a:t>
            </a:r>
            <a:endParaRPr lang="en-IN" sz="1200" b="1"/>
          </a:p>
        </xdr:txBody>
      </xdr:sp>
    </xdr:grpSp>
    <xdr:clientData/>
  </xdr:twoCellAnchor>
  <xdr:twoCellAnchor>
    <xdr:from>
      <xdr:col>7</xdr:col>
      <xdr:colOff>21241</xdr:colOff>
      <xdr:row>27</xdr:row>
      <xdr:rowOff>11373</xdr:rowOff>
    </xdr:from>
    <xdr:to>
      <xdr:col>14</xdr:col>
      <xdr:colOff>293585</xdr:colOff>
      <xdr:row>40</xdr:row>
      <xdr:rowOff>79612</xdr:rowOff>
    </xdr:to>
    <xdr:grpSp>
      <xdr:nvGrpSpPr>
        <xdr:cNvPr id="11" name="Group 10"/>
        <xdr:cNvGrpSpPr/>
      </xdr:nvGrpSpPr>
      <xdr:grpSpPr>
        <a:xfrm>
          <a:off x="4274025" y="5015859"/>
          <a:ext cx="4525128" cy="2477807"/>
          <a:chOff x="4274793" y="4482888"/>
          <a:chExt cx="4571389" cy="2192607"/>
        </a:xfrm>
      </xdr:grpSpPr>
      <xdr:sp macro="" textlink="">
        <xdr:nvSpPr>
          <xdr:cNvPr id="102" name="Rounded Rectangle 101"/>
          <xdr:cNvSpPr/>
        </xdr:nvSpPr>
        <xdr:spPr>
          <a:xfrm>
            <a:off x="4274793" y="4482888"/>
            <a:ext cx="4571389" cy="2192607"/>
          </a:xfrm>
          <a:prstGeom prst="roundRect">
            <a:avLst/>
          </a:prstGeom>
          <a:gradFill>
            <a:gsLst>
              <a:gs pos="82000">
                <a:schemeClr val="tx2">
                  <a:lumMod val="50000"/>
                </a:schemeClr>
              </a:gs>
              <a:gs pos="0">
                <a:schemeClr val="tx2">
                  <a:lumMod val="40000"/>
                  <a:lumOff val="60000"/>
                  <a:alpha val="4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03" name="Chart 102"/>
          <xdr:cNvGraphicFramePr>
            <a:graphicFrameLocks/>
          </xdr:cNvGraphicFramePr>
        </xdr:nvGraphicFramePr>
        <xdr:xfrm>
          <a:off x="4401619" y="4970059"/>
          <a:ext cx="4231913" cy="1567245"/>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105" name="Rounded Rectangle 104"/>
          <xdr:cNvSpPr/>
        </xdr:nvSpPr>
        <xdr:spPr>
          <a:xfrm>
            <a:off x="4529417" y="4558115"/>
            <a:ext cx="2624237" cy="242930"/>
          </a:xfrm>
          <a:prstGeom prst="roundRect">
            <a:avLst/>
          </a:prstGeom>
          <a:gradFill>
            <a:gsLst>
              <a:gs pos="0">
                <a:schemeClr val="tx2">
                  <a:lumMod val="40000"/>
                  <a:lumOff val="60000"/>
                  <a:alpha val="71000"/>
                </a:schemeClr>
              </a:gs>
              <a:gs pos="78000">
                <a:schemeClr val="tx2">
                  <a:lumMod val="7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TOP</a:t>
            </a:r>
            <a:r>
              <a:rPr lang="en-IN" sz="1200" b="1" baseline="0"/>
              <a:t> 5  PRODUCTS</a:t>
            </a:r>
            <a:endParaRPr lang="en-IN" sz="1200" b="1"/>
          </a:p>
        </xdr:txBody>
      </xdr:sp>
    </xdr:grpSp>
    <xdr:clientData/>
  </xdr:twoCellAnchor>
  <xdr:twoCellAnchor>
    <xdr:from>
      <xdr:col>14</xdr:col>
      <xdr:colOff>407186</xdr:colOff>
      <xdr:row>26</xdr:row>
      <xdr:rowOff>169748</xdr:rowOff>
    </xdr:from>
    <xdr:to>
      <xdr:col>21</xdr:col>
      <xdr:colOff>239222</xdr:colOff>
      <xdr:row>40</xdr:row>
      <xdr:rowOff>102358</xdr:rowOff>
    </xdr:to>
    <xdr:grpSp>
      <xdr:nvGrpSpPr>
        <xdr:cNvPr id="13" name="Group 12"/>
        <xdr:cNvGrpSpPr/>
      </xdr:nvGrpSpPr>
      <xdr:grpSpPr>
        <a:xfrm>
          <a:off x="8912754" y="4988883"/>
          <a:ext cx="4084819" cy="2527529"/>
          <a:chOff x="8982530" y="4491540"/>
          <a:chExt cx="4131080" cy="2192606"/>
        </a:xfrm>
      </xdr:grpSpPr>
      <xdr:sp macro="" textlink="">
        <xdr:nvSpPr>
          <xdr:cNvPr id="99" name="Rounded Rectangle 98"/>
          <xdr:cNvSpPr/>
        </xdr:nvSpPr>
        <xdr:spPr>
          <a:xfrm>
            <a:off x="8982530" y="4491540"/>
            <a:ext cx="4131080" cy="2192606"/>
          </a:xfrm>
          <a:prstGeom prst="roundRect">
            <a:avLst/>
          </a:prstGeom>
          <a:gradFill>
            <a:gsLst>
              <a:gs pos="82000">
                <a:schemeClr val="tx2">
                  <a:lumMod val="50000"/>
                </a:schemeClr>
              </a:gs>
              <a:gs pos="0">
                <a:schemeClr val="tx2">
                  <a:lumMod val="40000"/>
                  <a:lumOff val="60000"/>
                  <a:alpha val="4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06" name="Chart 105"/>
          <xdr:cNvGraphicFramePr>
            <a:graphicFrameLocks/>
          </xdr:cNvGraphicFramePr>
        </xdr:nvGraphicFramePr>
        <xdr:xfrm>
          <a:off x="9055830" y="4713776"/>
          <a:ext cx="3988508" cy="1837149"/>
        </xdr:xfrm>
        <a:graphic>
          <a:graphicData uri="http://schemas.openxmlformats.org/drawingml/2006/chart">
            <c:chart xmlns:c="http://schemas.openxmlformats.org/drawingml/2006/chart" xmlns:r="http://schemas.openxmlformats.org/officeDocument/2006/relationships" r:id="rId17"/>
          </a:graphicData>
        </a:graphic>
      </xdr:graphicFrame>
      <xdr:sp macro="" textlink="">
        <xdr:nvSpPr>
          <xdr:cNvPr id="107" name="Rounded Rectangle 106"/>
          <xdr:cNvSpPr/>
        </xdr:nvSpPr>
        <xdr:spPr>
          <a:xfrm>
            <a:off x="9160931" y="4549254"/>
            <a:ext cx="3163084" cy="229890"/>
          </a:xfrm>
          <a:prstGeom prst="roundRect">
            <a:avLst/>
          </a:prstGeom>
          <a:gradFill>
            <a:gsLst>
              <a:gs pos="0">
                <a:schemeClr val="tx2">
                  <a:lumMod val="40000"/>
                  <a:lumOff val="60000"/>
                  <a:alpha val="71000"/>
                </a:schemeClr>
              </a:gs>
              <a:gs pos="78000">
                <a:schemeClr val="tx2">
                  <a:lumMod val="7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PAYMENT</a:t>
            </a:r>
            <a:r>
              <a:rPr lang="en-IN" sz="1200" b="1" baseline="0"/>
              <a:t> METHOD USED IN EACH REGION</a:t>
            </a:r>
            <a:endParaRPr lang="en-IN" sz="1200" b="1"/>
          </a:p>
        </xdr:txBody>
      </xdr:sp>
    </xdr:grpSp>
    <xdr:clientData/>
  </xdr:twoCellAnchor>
  <xdr:twoCellAnchor>
    <xdr:from>
      <xdr:col>21</xdr:col>
      <xdr:colOff>352567</xdr:colOff>
      <xdr:row>13</xdr:row>
      <xdr:rowOff>34119</xdr:rowOff>
    </xdr:from>
    <xdr:to>
      <xdr:col>26</xdr:col>
      <xdr:colOff>329820</xdr:colOff>
      <xdr:row>40</xdr:row>
      <xdr:rowOff>102358</xdr:rowOff>
    </xdr:to>
    <xdr:grpSp>
      <xdr:nvGrpSpPr>
        <xdr:cNvPr id="16" name="Group 15"/>
        <xdr:cNvGrpSpPr/>
      </xdr:nvGrpSpPr>
      <xdr:grpSpPr>
        <a:xfrm>
          <a:off x="13110918" y="2443687"/>
          <a:ext cx="3014956" cy="5072725"/>
          <a:chOff x="13204210" y="2024418"/>
          <a:chExt cx="3048000" cy="4981433"/>
        </a:xfrm>
      </xdr:grpSpPr>
      <xdr:sp macro="" textlink="">
        <xdr:nvSpPr>
          <xdr:cNvPr id="14" name="Rounded Rectangle 13"/>
          <xdr:cNvSpPr/>
        </xdr:nvSpPr>
        <xdr:spPr>
          <a:xfrm>
            <a:off x="13204210" y="2024418"/>
            <a:ext cx="3048000" cy="4981433"/>
          </a:xfrm>
          <a:prstGeom prst="roundRect">
            <a:avLst/>
          </a:prstGeom>
          <a:gradFill>
            <a:gsLst>
              <a:gs pos="3000">
                <a:schemeClr val="accent1">
                  <a:lumMod val="60000"/>
                  <a:lumOff val="40000"/>
                </a:schemeClr>
              </a:gs>
              <a:gs pos="72000">
                <a:schemeClr val="tx2">
                  <a:lumMod val="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108" name="Region 2"/>
              <xdr:cNvGraphicFramePr/>
            </xdr:nvGraphicFramePr>
            <xdr:xfrm>
              <a:off x="13283821" y="2399731"/>
              <a:ext cx="1239672" cy="1705969"/>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3233184" y="2821455"/>
                <a:ext cx="1230420" cy="17345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9" name="ProductCategory 2"/>
              <xdr:cNvGraphicFramePr/>
            </xdr:nvGraphicFramePr>
            <xdr:xfrm>
              <a:off x="14559933" y="2401898"/>
              <a:ext cx="1656101" cy="1737923"/>
            </xdr:xfrm>
            <a:graphic>
              <a:graphicData uri="http://schemas.microsoft.com/office/drawing/2010/slicer">
                <sle:slicer xmlns:sle="http://schemas.microsoft.com/office/drawing/2010/slicer" name="ProductCategory 2"/>
              </a:graphicData>
            </a:graphic>
          </xdr:graphicFrame>
        </mc:Choice>
        <mc:Fallback xmlns="">
          <xdr:sp macro="" textlink="">
            <xdr:nvSpPr>
              <xdr:cNvPr id="0" name=""/>
              <xdr:cNvSpPr>
                <a:spLocks noTextEdit="1"/>
              </xdr:cNvSpPr>
            </xdr:nvSpPr>
            <xdr:spPr>
              <a:xfrm>
                <a:off x="14499772" y="2823658"/>
                <a:ext cx="1643742" cy="17670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0" name="Channel 2"/>
              <xdr:cNvGraphicFramePr/>
            </xdr:nvGraphicFramePr>
            <xdr:xfrm>
              <a:off x="14773701" y="5208896"/>
              <a:ext cx="1398896" cy="1489878"/>
            </xdr:xfrm>
            <a:graphic>
              <a:graphicData uri="http://schemas.microsoft.com/office/drawing/2010/slicer">
                <sle:slicer xmlns:sle="http://schemas.microsoft.com/office/drawing/2010/slicer" name="Channel 2"/>
              </a:graphicData>
            </a:graphic>
          </xdr:graphicFrame>
        </mc:Choice>
        <mc:Fallback xmlns="">
          <xdr:sp macro="" textlink="">
            <xdr:nvSpPr>
              <xdr:cNvPr id="0" name=""/>
              <xdr:cNvSpPr>
                <a:spLocks noTextEdit="1"/>
              </xdr:cNvSpPr>
            </xdr:nvSpPr>
            <xdr:spPr>
              <a:xfrm>
                <a:off x="14711945" y="5677622"/>
                <a:ext cx="1388456" cy="15148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1" name="Year 2"/>
              <xdr:cNvGraphicFramePr/>
            </xdr:nvGraphicFramePr>
            <xdr:xfrm>
              <a:off x="14762328" y="4189799"/>
              <a:ext cx="1410269" cy="973603"/>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4700657" y="4641474"/>
                <a:ext cx="1399744" cy="9898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2" name="month 1"/>
              <xdr:cNvGraphicFramePr/>
            </xdr:nvGraphicFramePr>
            <xdr:xfrm>
              <a:off x="13320598" y="4162912"/>
              <a:ext cx="1373492" cy="2649595"/>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3269686" y="4614137"/>
                <a:ext cx="1363242" cy="2693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13" name="Rounded Rectangle 112"/>
          <xdr:cNvSpPr/>
        </xdr:nvSpPr>
        <xdr:spPr>
          <a:xfrm>
            <a:off x="13772867" y="2081283"/>
            <a:ext cx="1853820" cy="250210"/>
          </a:xfrm>
          <a:prstGeom prst="roundRect">
            <a:avLst/>
          </a:prstGeom>
          <a:gradFill>
            <a:gsLst>
              <a:gs pos="0">
                <a:schemeClr val="tx2">
                  <a:lumMod val="40000"/>
                  <a:lumOff val="60000"/>
                  <a:alpha val="71000"/>
                </a:schemeClr>
              </a:gs>
              <a:gs pos="78000">
                <a:schemeClr val="tx2">
                  <a:lumMod val="7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FILTERS</a:t>
            </a:r>
          </a:p>
        </xdr:txBody>
      </xdr:sp>
    </xdr:grpSp>
    <xdr:clientData/>
  </xdr:twoCellAnchor>
  <xdr:twoCellAnchor>
    <xdr:from>
      <xdr:col>21</xdr:col>
      <xdr:colOff>445015</xdr:colOff>
      <xdr:row>0</xdr:row>
      <xdr:rowOff>90498</xdr:rowOff>
    </xdr:from>
    <xdr:to>
      <xdr:col>25</xdr:col>
      <xdr:colOff>599689</xdr:colOff>
      <xdr:row>3</xdr:row>
      <xdr:rowOff>33633</xdr:rowOff>
    </xdr:to>
    <xdr:sp macro="" textlink="">
      <xdr:nvSpPr>
        <xdr:cNvPr id="15" name="Snip Diagonal Corner Rectangle 14">
          <a:hlinkClick xmlns:r="http://schemas.openxmlformats.org/officeDocument/2006/relationships" r:id="rId18"/>
        </xdr:cNvPr>
        <xdr:cNvSpPr/>
      </xdr:nvSpPr>
      <xdr:spPr>
        <a:xfrm>
          <a:off x="13246615" y="90498"/>
          <a:ext cx="2593074" cy="498306"/>
        </a:xfrm>
        <a:prstGeom prst="snip2DiagRect">
          <a:avLst/>
        </a:prstGeom>
        <a:gradFill>
          <a:gsLst>
            <a:gs pos="0">
              <a:schemeClr val="tx2">
                <a:lumMod val="40000"/>
                <a:lumOff val="60000"/>
                <a:alpha val="71000"/>
              </a:schemeClr>
            </a:gs>
            <a:gs pos="78000">
              <a:schemeClr val="tx2">
                <a:lumMod val="7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latin typeface="Arial Black" panose="020B0A04020102020204" pitchFamily="34" charset="0"/>
            </a:rPr>
            <a:t>REGION</a:t>
          </a:r>
          <a:r>
            <a:rPr lang="en-IN" sz="1100" b="1" baseline="0">
              <a:latin typeface="Arial Black" panose="020B0A04020102020204" pitchFamily="34" charset="0"/>
            </a:rPr>
            <a:t> BASED DASHBOARD</a:t>
          </a:r>
          <a:endParaRPr lang="en-IN" sz="1100" b="1">
            <a:latin typeface="Arial Black" panose="020B0A04020102020204" pitchFamily="34" charset="0"/>
          </a:endParaRPr>
        </a:p>
      </xdr:txBody>
    </xdr:sp>
    <xdr:clientData/>
  </xdr:twoCellAnchor>
  <xdr:twoCellAnchor>
    <xdr:from>
      <xdr:col>21</xdr:col>
      <xdr:colOff>477671</xdr:colOff>
      <xdr:row>3</xdr:row>
      <xdr:rowOff>113732</xdr:rowOff>
    </xdr:from>
    <xdr:to>
      <xdr:col>26</xdr:col>
      <xdr:colOff>22745</xdr:colOff>
      <xdr:row>6</xdr:row>
      <xdr:rowOff>56866</xdr:rowOff>
    </xdr:to>
    <xdr:sp macro="" textlink="">
      <xdr:nvSpPr>
        <xdr:cNvPr id="114" name="Snip Diagonal Corner Rectangle 113">
          <a:hlinkClick xmlns:r="http://schemas.openxmlformats.org/officeDocument/2006/relationships" r:id="rId19"/>
        </xdr:cNvPr>
        <xdr:cNvSpPr/>
      </xdr:nvSpPr>
      <xdr:spPr>
        <a:xfrm>
          <a:off x="13374805" y="659642"/>
          <a:ext cx="2615821" cy="489045"/>
        </a:xfrm>
        <a:prstGeom prst="snip2DiagRect">
          <a:avLst/>
        </a:prstGeom>
        <a:gradFill>
          <a:gsLst>
            <a:gs pos="77000">
              <a:schemeClr val="tx2">
                <a:lumMod val="60000"/>
                <a:lumOff val="40000"/>
              </a:schemeClr>
            </a:gs>
            <a:gs pos="1000">
              <a:schemeClr val="tx2">
                <a:lumMod val="40000"/>
                <a:lumOff val="6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50" b="1">
              <a:latin typeface="Arial Black" panose="020B0A04020102020204" pitchFamily="34" charset="0"/>
            </a:rPr>
            <a:t>CITY BASED DASHBOARD</a:t>
          </a:r>
        </a:p>
      </xdr:txBody>
    </xdr:sp>
    <xdr:clientData/>
  </xdr:twoCellAnchor>
  <xdr:twoCellAnchor>
    <xdr:from>
      <xdr:col>21</xdr:col>
      <xdr:colOff>454926</xdr:colOff>
      <xdr:row>6</xdr:row>
      <xdr:rowOff>147851</xdr:rowOff>
    </xdr:from>
    <xdr:to>
      <xdr:col>26</xdr:col>
      <xdr:colOff>0</xdr:colOff>
      <xdr:row>9</xdr:row>
      <xdr:rowOff>90986</xdr:rowOff>
    </xdr:to>
    <xdr:sp macro="" textlink="">
      <xdr:nvSpPr>
        <xdr:cNvPr id="115" name="Snip Diagonal Corner Rectangle 114">
          <a:hlinkClick xmlns:r="http://schemas.openxmlformats.org/officeDocument/2006/relationships" r:id="rId20"/>
        </xdr:cNvPr>
        <xdr:cNvSpPr/>
      </xdr:nvSpPr>
      <xdr:spPr>
        <a:xfrm>
          <a:off x="13352060" y="1239672"/>
          <a:ext cx="2615821" cy="489045"/>
        </a:xfrm>
        <a:prstGeom prst="snip2DiagRect">
          <a:avLst/>
        </a:prstGeom>
        <a:gradFill>
          <a:gsLst>
            <a:gs pos="0">
              <a:schemeClr val="tx2">
                <a:lumMod val="40000"/>
                <a:lumOff val="60000"/>
                <a:alpha val="71000"/>
              </a:schemeClr>
            </a:gs>
            <a:gs pos="78000">
              <a:schemeClr val="tx2">
                <a:lumMod val="60000"/>
                <a:lumOff val="4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50" b="1">
              <a:latin typeface="Arial Black" panose="020B0A04020102020204" pitchFamily="34" charset="0"/>
            </a:rPr>
            <a:t>COUNTRY BASED DASHBOARD</a:t>
          </a:r>
        </a:p>
      </xdr:txBody>
    </xdr:sp>
    <xdr:clientData/>
  </xdr:twoCellAnchor>
  <xdr:twoCellAnchor>
    <xdr:from>
      <xdr:col>21</xdr:col>
      <xdr:colOff>466298</xdr:colOff>
      <xdr:row>9</xdr:row>
      <xdr:rowOff>170598</xdr:rowOff>
    </xdr:from>
    <xdr:to>
      <xdr:col>26</xdr:col>
      <xdr:colOff>11372</xdr:colOff>
      <xdr:row>12</xdr:row>
      <xdr:rowOff>113732</xdr:rowOff>
    </xdr:to>
    <xdr:sp macro="" textlink="">
      <xdr:nvSpPr>
        <xdr:cNvPr id="116" name="Snip Diagonal Corner Rectangle 115">
          <a:hlinkClick xmlns:r="http://schemas.openxmlformats.org/officeDocument/2006/relationships" r:id="rId21"/>
        </xdr:cNvPr>
        <xdr:cNvSpPr/>
      </xdr:nvSpPr>
      <xdr:spPr>
        <a:xfrm>
          <a:off x="13363432" y="1808329"/>
          <a:ext cx="2615821" cy="489045"/>
        </a:xfrm>
        <a:prstGeom prst="snip2DiagRect">
          <a:avLst/>
        </a:prstGeom>
        <a:gradFill>
          <a:gsLst>
            <a:gs pos="0">
              <a:schemeClr val="tx2">
                <a:lumMod val="40000"/>
                <a:lumOff val="60000"/>
              </a:schemeClr>
            </a:gs>
            <a:gs pos="78000">
              <a:schemeClr val="tx2">
                <a:lumMod val="60000"/>
                <a:lumOff val="4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Arial Black" panose="020B0A04020102020204" pitchFamily="34" charset="0"/>
            </a:rPr>
            <a:t>DATASET</a:t>
          </a:r>
          <a:r>
            <a:rPr lang="en-IN" sz="1100" baseline="0"/>
            <a:t> </a:t>
          </a:r>
          <a:endParaRPr lang="en-IN" sz="1100"/>
        </a:p>
      </xdr:txBody>
    </xdr:sp>
    <xdr:clientData/>
  </xdr:twoCellAnchor>
  <xdr:twoCellAnchor editAs="oneCell">
    <xdr:from>
      <xdr:col>30</xdr:col>
      <xdr:colOff>0</xdr:colOff>
      <xdr:row>13</xdr:row>
      <xdr:rowOff>0</xdr:rowOff>
    </xdr:from>
    <xdr:to>
      <xdr:col>34</xdr:col>
      <xdr:colOff>0</xdr:colOff>
      <xdr:row>26</xdr:row>
      <xdr:rowOff>60960</xdr:rowOff>
    </xdr:to>
    <xdr:sp macro="" textlink="">
      <xdr:nvSpPr>
        <xdr:cNvPr id="4210" name="AutoShape 114" descr="Sales  Icon"/>
        <xdr:cNvSpPr>
          <a:spLocks noChangeAspect="1" noChangeArrowheads="1"/>
        </xdr:cNvSpPr>
      </xdr:nvSpPr>
      <xdr:spPr bwMode="auto">
        <a:xfrm>
          <a:off x="18288000" y="2377440"/>
          <a:ext cx="2438400" cy="2438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29</xdr:col>
      <xdr:colOff>0</xdr:colOff>
      <xdr:row>15</xdr:row>
      <xdr:rowOff>0</xdr:rowOff>
    </xdr:from>
    <xdr:to>
      <xdr:col>33</xdr:col>
      <xdr:colOff>0</xdr:colOff>
      <xdr:row>28</xdr:row>
      <xdr:rowOff>60960</xdr:rowOff>
    </xdr:to>
    <xdr:sp macro="" textlink="">
      <xdr:nvSpPr>
        <xdr:cNvPr id="4211" name="AutoShape 115" descr="Sales  Icon"/>
        <xdr:cNvSpPr>
          <a:spLocks noChangeAspect="1" noChangeArrowheads="1"/>
        </xdr:cNvSpPr>
      </xdr:nvSpPr>
      <xdr:spPr bwMode="auto">
        <a:xfrm>
          <a:off x="17678400" y="2743200"/>
          <a:ext cx="2438400" cy="2438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293913</xdr:colOff>
      <xdr:row>3</xdr:row>
      <xdr:rowOff>130629</xdr:rowOff>
    </xdr:from>
    <xdr:to>
      <xdr:col>4</xdr:col>
      <xdr:colOff>130628</xdr:colOff>
      <xdr:row>6</xdr:row>
      <xdr:rowOff>21772</xdr:rowOff>
    </xdr:to>
    <xdr:pic>
      <xdr:nvPicPr>
        <xdr:cNvPr id="27" name="Picture 26"/>
        <xdr:cNvPicPr>
          <a:picLocks noChangeAspect="1"/>
        </xdr:cNvPicPr>
      </xdr:nvPicPr>
      <xdr:blipFill>
        <a:blip xmlns:r="http://schemas.openxmlformats.org/officeDocument/2006/relationships" r:embed="rId22"/>
        <a:stretch>
          <a:fillRect/>
        </a:stretch>
      </xdr:blipFill>
      <xdr:spPr>
        <a:xfrm flipH="1">
          <a:off x="2122713" y="685800"/>
          <a:ext cx="446315" cy="446315"/>
        </a:xfrm>
        <a:prstGeom prst="rect">
          <a:avLst/>
        </a:prstGeom>
        <a:effectLst>
          <a:outerShdw blurRad="876300" dir="7560000" sx="95000" sy="95000" algn="ctr" rotWithShape="0">
            <a:srgbClr val="000000"/>
          </a:outerShdw>
        </a:effectLst>
      </xdr:spPr>
    </xdr:pic>
    <xdr:clientData/>
  </xdr:twoCellAnchor>
  <xdr:twoCellAnchor editAs="oneCell">
    <xdr:from>
      <xdr:col>11</xdr:col>
      <xdr:colOff>315685</xdr:colOff>
      <xdr:row>1</xdr:row>
      <xdr:rowOff>97971</xdr:rowOff>
    </xdr:from>
    <xdr:to>
      <xdr:col>13</xdr:col>
      <xdr:colOff>48985</xdr:colOff>
      <xdr:row>6</xdr:row>
      <xdr:rowOff>125185</xdr:rowOff>
    </xdr:to>
    <xdr:pic>
      <xdr:nvPicPr>
        <xdr:cNvPr id="28" name="Picture 27"/>
        <xdr:cNvPicPr>
          <a:picLocks noChangeAspect="1"/>
        </xdr:cNvPicPr>
      </xdr:nvPicPr>
      <xdr:blipFill>
        <a:blip xmlns:r="http://schemas.openxmlformats.org/officeDocument/2006/relationships" r:embed="rId23"/>
        <a:stretch>
          <a:fillRect/>
        </a:stretch>
      </xdr:blipFill>
      <xdr:spPr>
        <a:xfrm>
          <a:off x="7021285" y="283028"/>
          <a:ext cx="952500" cy="952500"/>
        </a:xfrm>
        <a:prstGeom prst="rect">
          <a:avLst/>
        </a:prstGeom>
        <a:effectLst>
          <a:glow rad="215900">
            <a:schemeClr val="accent1">
              <a:alpha val="23000"/>
            </a:schemeClr>
          </a:glow>
          <a:outerShdw blurRad="50800" dir="5400000" sx="86000" sy="86000" algn="ctr" rotWithShape="0">
            <a:srgbClr val="000000">
              <a:alpha val="42000"/>
            </a:srgbClr>
          </a:outerShdw>
          <a:reflection endPos="0" dir="5400000" sy="-100000" algn="bl" rotWithShape="0"/>
        </a:effectLst>
      </xdr:spPr>
    </xdr:pic>
    <xdr:clientData/>
  </xdr:twoCellAnchor>
  <xdr:twoCellAnchor editAs="oneCell">
    <xdr:from>
      <xdr:col>7</xdr:col>
      <xdr:colOff>359230</xdr:colOff>
      <xdr:row>2</xdr:row>
      <xdr:rowOff>174173</xdr:rowOff>
    </xdr:from>
    <xdr:to>
      <xdr:col>8</xdr:col>
      <xdr:colOff>337458</xdr:colOff>
      <xdr:row>6</xdr:row>
      <xdr:rowOff>21772</xdr:rowOff>
    </xdr:to>
    <xdr:pic>
      <xdr:nvPicPr>
        <xdr:cNvPr id="29" name="Picture 28"/>
        <xdr:cNvPicPr>
          <a:picLocks noChangeAspect="1"/>
        </xdr:cNvPicPr>
      </xdr:nvPicPr>
      <xdr:blipFill>
        <a:blip xmlns:r="http://schemas.openxmlformats.org/officeDocument/2006/relationships" r:embed="rId24"/>
        <a:stretch>
          <a:fillRect/>
        </a:stretch>
      </xdr:blipFill>
      <xdr:spPr>
        <a:xfrm>
          <a:off x="4626430" y="544287"/>
          <a:ext cx="587828" cy="587828"/>
        </a:xfrm>
        <a:prstGeom prst="rect">
          <a:avLst/>
        </a:prstGeom>
        <a:effectLst>
          <a:outerShdw blurRad="889000" sx="98000" sy="98000" algn="ctr" rotWithShape="0">
            <a:srgbClr val="000000">
              <a:alpha val="86000"/>
            </a:srgbClr>
          </a:outerShdw>
          <a:reflection stA="8000" endPos="0" dist="50800" dir="5400000" sy="-100000" algn="bl" rotWithShape="0"/>
        </a:effectLst>
      </xdr:spPr>
    </xdr:pic>
    <xdr:clientData/>
  </xdr:twoCellAnchor>
  <xdr:twoCellAnchor editAs="oneCell">
    <xdr:from>
      <xdr:col>16</xdr:col>
      <xdr:colOff>54429</xdr:colOff>
      <xdr:row>2</xdr:row>
      <xdr:rowOff>76200</xdr:rowOff>
    </xdr:from>
    <xdr:to>
      <xdr:col>17</xdr:col>
      <xdr:colOff>108857</xdr:colOff>
      <xdr:row>5</xdr:row>
      <xdr:rowOff>185056</xdr:rowOff>
    </xdr:to>
    <xdr:pic>
      <xdr:nvPicPr>
        <xdr:cNvPr id="30" name="Picture 29"/>
        <xdr:cNvPicPr>
          <a:picLocks noChangeAspect="1"/>
        </xdr:cNvPicPr>
      </xdr:nvPicPr>
      <xdr:blipFill>
        <a:blip xmlns:r="http://schemas.openxmlformats.org/officeDocument/2006/relationships" r:embed="rId25"/>
        <a:stretch>
          <a:fillRect/>
        </a:stretch>
      </xdr:blipFill>
      <xdr:spPr>
        <a:xfrm>
          <a:off x="9808029" y="446314"/>
          <a:ext cx="664028" cy="664028"/>
        </a:xfrm>
        <a:prstGeom prst="rect">
          <a:avLst/>
        </a:prstGeom>
        <a:effectLst>
          <a:outerShdw blurRad="736600" dist="50800" dir="5400000" sx="87000" sy="87000" algn="ctr" rotWithShape="0">
            <a:srgbClr val="000000">
              <a:alpha val="75000"/>
            </a:srgbClr>
          </a:outerShdw>
        </a:effectLst>
      </xdr:spPr>
    </xdr:pic>
    <xdr:clientData/>
  </xdr:twoCellAnchor>
  <xdr:twoCellAnchor editAs="oneCell">
    <xdr:from>
      <xdr:col>20</xdr:col>
      <xdr:colOff>402772</xdr:colOff>
      <xdr:row>3</xdr:row>
      <xdr:rowOff>10886</xdr:rowOff>
    </xdr:from>
    <xdr:to>
      <xdr:col>21</xdr:col>
      <xdr:colOff>304800</xdr:colOff>
      <xdr:row>5</xdr:row>
      <xdr:rowOff>152399</xdr:rowOff>
    </xdr:to>
    <xdr:pic>
      <xdr:nvPicPr>
        <xdr:cNvPr id="31" name="Picture 30"/>
        <xdr:cNvPicPr>
          <a:picLocks noChangeAspect="1"/>
        </xdr:cNvPicPr>
      </xdr:nvPicPr>
      <xdr:blipFill>
        <a:blip xmlns:r="http://schemas.openxmlformats.org/officeDocument/2006/relationships" r:embed="rId26"/>
        <a:stretch>
          <a:fillRect/>
        </a:stretch>
      </xdr:blipFill>
      <xdr:spPr>
        <a:xfrm>
          <a:off x="12594772" y="566057"/>
          <a:ext cx="511628" cy="511628"/>
        </a:xfrm>
        <a:prstGeom prst="rect">
          <a:avLst/>
        </a:prstGeom>
        <a:effectLst>
          <a:outerShdw blurRad="685800" dist="50800" dir="5400000" sx="39000" sy="39000" algn="ctr" rotWithShape="0">
            <a:srgbClr val="000000">
              <a:alpha val="19000"/>
            </a:srgbClr>
          </a:outerShdw>
        </a:effectLst>
      </xdr:spPr>
    </xdr:pic>
    <xdr:clientData/>
  </xdr:twoCellAnchor>
  <xdr:twoCellAnchor editAs="oneCell">
    <xdr:from>
      <xdr:col>24</xdr:col>
      <xdr:colOff>544286</xdr:colOff>
      <xdr:row>13</xdr:row>
      <xdr:rowOff>43543</xdr:rowOff>
    </xdr:from>
    <xdr:to>
      <xdr:col>25</xdr:col>
      <xdr:colOff>250372</xdr:colOff>
      <xdr:row>14</xdr:row>
      <xdr:rowOff>174172</xdr:rowOff>
    </xdr:to>
    <xdr:pic>
      <xdr:nvPicPr>
        <xdr:cNvPr id="33" name="Picture 32"/>
        <xdr:cNvPicPr>
          <a:picLocks noChangeAspect="1"/>
        </xdr:cNvPicPr>
      </xdr:nvPicPr>
      <xdr:blipFill>
        <a:blip xmlns:r="http://schemas.openxmlformats.org/officeDocument/2006/relationships" r:embed="rId27"/>
        <a:stretch>
          <a:fillRect/>
        </a:stretch>
      </xdr:blipFill>
      <xdr:spPr>
        <a:xfrm>
          <a:off x="15174686" y="2449286"/>
          <a:ext cx="315686" cy="315686"/>
        </a:xfrm>
        <a:prstGeom prst="rect">
          <a:avLst/>
        </a:prstGeom>
        <a:effectLst>
          <a:outerShdw blurRad="1270000" dist="50800" dir="9240000" sx="1000" sy="1000" algn="ctr" rotWithShape="0">
            <a:srgbClr val="000000">
              <a:alpha val="66000"/>
            </a:srgb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26</xdr:col>
      <xdr:colOff>511791</xdr:colOff>
      <xdr:row>41</xdr:row>
      <xdr:rowOff>43543</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361391" cy="7541623"/>
        </a:xfrm>
        <a:prstGeom prst="rect">
          <a:avLst/>
        </a:prstGeom>
      </xdr:spPr>
    </xdr:pic>
    <xdr:clientData/>
  </xdr:twoCellAnchor>
  <xdr:twoCellAnchor>
    <xdr:from>
      <xdr:col>0</xdr:col>
      <xdr:colOff>79337</xdr:colOff>
      <xdr:row>0</xdr:row>
      <xdr:rowOff>68580</xdr:rowOff>
    </xdr:from>
    <xdr:to>
      <xdr:col>21</xdr:col>
      <xdr:colOff>286870</xdr:colOff>
      <xdr:row>2</xdr:row>
      <xdr:rowOff>106680</xdr:rowOff>
    </xdr:to>
    <xdr:sp macro="" textlink="">
      <xdr:nvSpPr>
        <xdr:cNvPr id="3" name="Rounded Rectangle 2"/>
        <xdr:cNvSpPr/>
      </xdr:nvSpPr>
      <xdr:spPr>
        <a:xfrm>
          <a:off x="79337" y="68580"/>
          <a:ext cx="13009133" cy="403860"/>
        </a:xfrm>
        <a:prstGeom prst="round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latin typeface="Arial Black" panose="020B0A04020102020204" pitchFamily="34" charset="0"/>
            </a:rPr>
            <a:t>E-COMMERCE SALES ANALYSIS DASHBOARD-COUNTRY</a:t>
          </a:r>
          <a:r>
            <a:rPr lang="en-IN" sz="1600" b="1" baseline="0">
              <a:latin typeface="Arial Black" panose="020B0A04020102020204" pitchFamily="34" charset="0"/>
            </a:rPr>
            <a:t> BASED</a:t>
          </a:r>
          <a:endParaRPr lang="en-IN" sz="1600" b="1">
            <a:latin typeface="Arial Black" panose="020B0A04020102020204" pitchFamily="34" charset="0"/>
          </a:endParaRPr>
        </a:p>
      </xdr:txBody>
    </xdr:sp>
    <xdr:clientData/>
  </xdr:twoCellAnchor>
  <xdr:twoCellAnchor>
    <xdr:from>
      <xdr:col>0</xdr:col>
      <xdr:colOff>109369</xdr:colOff>
      <xdr:row>3</xdr:row>
      <xdr:rowOff>26894</xdr:rowOff>
    </xdr:from>
    <xdr:to>
      <xdr:col>4</xdr:col>
      <xdr:colOff>125505</xdr:colOff>
      <xdr:row>12</xdr:row>
      <xdr:rowOff>113731</xdr:rowOff>
    </xdr:to>
    <xdr:grpSp>
      <xdr:nvGrpSpPr>
        <xdr:cNvPr id="4" name="Group 3"/>
        <xdr:cNvGrpSpPr/>
      </xdr:nvGrpSpPr>
      <xdr:grpSpPr>
        <a:xfrm>
          <a:off x="109369" y="590565"/>
          <a:ext cx="2437835" cy="1777851"/>
          <a:chOff x="60960" y="556260"/>
          <a:chExt cx="2186940" cy="1600200"/>
        </a:xfrm>
      </xdr:grpSpPr>
      <xdr:grpSp>
        <xdr:nvGrpSpPr>
          <xdr:cNvPr id="5" name="Group 4"/>
          <xdr:cNvGrpSpPr/>
        </xdr:nvGrpSpPr>
        <xdr:grpSpPr>
          <a:xfrm>
            <a:off x="60960" y="556260"/>
            <a:ext cx="2186940" cy="1600200"/>
            <a:chOff x="60960" y="556260"/>
            <a:chExt cx="1973580" cy="1600200"/>
          </a:xfrm>
        </xdr:grpSpPr>
        <xdr:sp macro="" textlink="">
          <xdr:nvSpPr>
            <xdr:cNvPr id="8" name="Rounded Rectangle 7"/>
            <xdr:cNvSpPr/>
          </xdr:nvSpPr>
          <xdr:spPr>
            <a:xfrm>
              <a:off x="68580" y="556260"/>
              <a:ext cx="1965960" cy="426720"/>
            </a:xfrm>
            <a:prstGeom prst="roundRect">
              <a:avLst/>
            </a:prstGeom>
            <a:gradFill>
              <a:gsLst>
                <a:gs pos="0">
                  <a:schemeClr val="tx2">
                    <a:lumMod val="40000"/>
                    <a:lumOff val="60000"/>
                  </a:schemeClr>
                </a:gs>
                <a:gs pos="100000">
                  <a:schemeClr val="tx2">
                    <a:lumMod val="7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SALES</a:t>
              </a:r>
            </a:p>
          </xdr:txBody>
        </xdr:sp>
        <xdr:sp macro="" textlink="">
          <xdr:nvSpPr>
            <xdr:cNvPr id="9" name="Rounded Rectangle 8"/>
            <xdr:cNvSpPr/>
          </xdr:nvSpPr>
          <xdr:spPr>
            <a:xfrm>
              <a:off x="60960" y="1036320"/>
              <a:ext cx="1965960" cy="112014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s!B15">
          <xdr:nvSpPr>
            <xdr:cNvPr id="10" name="Rounded Rectangle 9"/>
            <xdr:cNvSpPr/>
          </xdr:nvSpPr>
          <xdr:spPr>
            <a:xfrm>
              <a:off x="106680" y="1089660"/>
              <a:ext cx="1905000" cy="33528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9741221-C848-47A9-8DD3-57AF61E66794}" type="TxLink">
                <a:rPr lang="en-US" sz="1400" b="1" i="0" u="none" strike="noStrike">
                  <a:solidFill>
                    <a:srgbClr val="000000"/>
                  </a:solidFill>
                  <a:latin typeface="Calibri"/>
                  <a:ea typeface="Calibri"/>
                  <a:cs typeface="Calibri"/>
                </a:rPr>
                <a:pPr algn="ctr"/>
                <a:t> $15,27,452.48 </a:t>
              </a:fld>
              <a:endParaRPr lang="en-IN" sz="1400" b="1"/>
            </a:p>
          </xdr:txBody>
        </xdr:sp>
        <xdr:sp macro="" textlink="">
          <xdr:nvSpPr>
            <xdr:cNvPr id="11" name="Rounded Rectangle 10"/>
            <xdr:cNvSpPr/>
          </xdr:nvSpPr>
          <xdr:spPr>
            <a:xfrm>
              <a:off x="121920" y="1775460"/>
              <a:ext cx="1905000" cy="33528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u="none" strike="noStrike">
                  <a:solidFill>
                    <a:srgbClr val="000000"/>
                  </a:solidFill>
                  <a:latin typeface="Calibri"/>
                  <a:ea typeface="Calibri"/>
                  <a:cs typeface="Calibri"/>
                </a:rPr>
                <a:t>YOY GROWTH</a:t>
              </a:r>
            </a:p>
          </xdr:txBody>
        </xdr:sp>
      </xdr:grpSp>
      <xdr:graphicFrame macro="">
        <xdr:nvGraphicFramePr>
          <xdr:cNvPr id="6" name="Chart 5"/>
          <xdr:cNvGraphicFramePr>
            <a:graphicFrameLocks/>
          </xdr:cNvGraphicFramePr>
        </xdr:nvGraphicFramePr>
        <xdr:xfrm>
          <a:off x="274321" y="1417320"/>
          <a:ext cx="1562100" cy="426720"/>
        </xdr:xfrm>
        <a:graphic>
          <a:graphicData uri="http://schemas.openxmlformats.org/drawingml/2006/chart">
            <c:chart xmlns:c="http://schemas.openxmlformats.org/drawingml/2006/chart" xmlns:r="http://schemas.openxmlformats.org/officeDocument/2006/relationships" r:id="rId2"/>
          </a:graphicData>
        </a:graphic>
      </xdr:graphicFrame>
      <mc:AlternateContent xmlns:mc="http://schemas.openxmlformats.org/markup-compatibility/2006" xmlns:a14="http://schemas.microsoft.com/office/drawing/2010/main">
        <mc:Choice Requires="a14">
          <xdr:pic>
            <xdr:nvPicPr>
              <xdr:cNvPr id="7" name="Picture 6"/>
              <xdr:cNvPicPr>
                <a:picLocks noChangeAspect="1" noChangeArrowheads="1"/>
                <a:extLst>
                  <a:ext uri="{84589F7E-364E-4C9E-8A38-B11213B215E9}">
                    <a14:cameraTool cellRange="'yoy growth'!$K$8" spid="_x0000_s9617"/>
                  </a:ext>
                </a:extLst>
              </xdr:cNvPicPr>
            </xdr:nvPicPr>
            <xdr:blipFill>
              <a:blip xmlns:r="http://schemas.openxmlformats.org/officeDocument/2006/relationships" r:embed="rId3"/>
              <a:srcRect/>
              <a:stretch>
                <a:fillRect/>
              </a:stretch>
            </xdr:blipFill>
            <xdr:spPr bwMode="auto">
              <a:xfrm>
                <a:off x="1394460" y="1813560"/>
                <a:ext cx="739648" cy="213360"/>
              </a:xfrm>
              <a:prstGeom prst="rect">
                <a:avLst/>
              </a:prstGeom>
              <a:gradFill>
                <a:gsLst>
                  <a:gs pos="0">
                    <a:schemeClr val="tx2">
                      <a:lumMod val="40000"/>
                      <a:lumOff val="60000"/>
                    </a:schemeClr>
                  </a:gs>
                  <a:gs pos="43000">
                    <a:schemeClr val="accent1">
                      <a:lumMod val="50000"/>
                    </a:schemeClr>
                  </a:gs>
                </a:gsLst>
                <a:lin ang="5400000" scaled="1"/>
              </a:gradFill>
            </xdr:spPr>
          </xdr:pic>
        </mc:Choice>
        <mc:Fallback xmlns=""/>
      </mc:AlternateContent>
    </xdr:grpSp>
    <xdr:clientData/>
  </xdr:twoCellAnchor>
  <xdr:twoCellAnchor>
    <xdr:from>
      <xdr:col>8</xdr:col>
      <xdr:colOff>310628</xdr:colOff>
      <xdr:row>3</xdr:row>
      <xdr:rowOff>17930</xdr:rowOff>
    </xdr:from>
    <xdr:to>
      <xdr:col>12</xdr:col>
      <xdr:colOff>457200</xdr:colOff>
      <xdr:row>12</xdr:row>
      <xdr:rowOff>159224</xdr:rowOff>
    </xdr:to>
    <xdr:grpSp>
      <xdr:nvGrpSpPr>
        <xdr:cNvPr id="12" name="Group 11"/>
        <xdr:cNvGrpSpPr/>
      </xdr:nvGrpSpPr>
      <xdr:grpSpPr>
        <a:xfrm>
          <a:off x="5154025" y="581601"/>
          <a:ext cx="2568271" cy="1832308"/>
          <a:chOff x="4640580" y="548640"/>
          <a:chExt cx="2186940" cy="1600200"/>
        </a:xfrm>
      </xdr:grpSpPr>
      <xdr:grpSp>
        <xdr:nvGrpSpPr>
          <xdr:cNvPr id="13" name="Group 12"/>
          <xdr:cNvGrpSpPr/>
        </xdr:nvGrpSpPr>
        <xdr:grpSpPr>
          <a:xfrm>
            <a:off x="4640580" y="548640"/>
            <a:ext cx="2186940" cy="1600200"/>
            <a:chOff x="60960" y="556260"/>
            <a:chExt cx="1973580" cy="1600200"/>
          </a:xfrm>
        </xdr:grpSpPr>
        <xdr:sp macro="" textlink="">
          <xdr:nvSpPr>
            <xdr:cNvPr id="16" name="Rounded Rectangle 15"/>
            <xdr:cNvSpPr/>
          </xdr:nvSpPr>
          <xdr:spPr>
            <a:xfrm>
              <a:off x="68580" y="556260"/>
              <a:ext cx="1965960" cy="426720"/>
            </a:xfrm>
            <a:prstGeom prst="roundRect">
              <a:avLst/>
            </a:prstGeom>
            <a:gradFill>
              <a:gsLst>
                <a:gs pos="0">
                  <a:schemeClr val="tx2">
                    <a:lumMod val="40000"/>
                    <a:lumOff val="60000"/>
                  </a:schemeClr>
                </a:gs>
                <a:gs pos="100000">
                  <a:schemeClr val="tx2">
                    <a:lumMod val="7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PROFIT</a:t>
              </a:r>
            </a:p>
          </xdr:txBody>
        </xdr:sp>
        <xdr:sp macro="" textlink="">
          <xdr:nvSpPr>
            <xdr:cNvPr id="17" name="Rounded Rectangle 16"/>
            <xdr:cNvSpPr/>
          </xdr:nvSpPr>
          <xdr:spPr>
            <a:xfrm>
              <a:off x="60960" y="1036320"/>
              <a:ext cx="1965960" cy="112014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s!H15">
          <xdr:nvSpPr>
            <xdr:cNvPr id="18" name="Rounded Rectangle 17"/>
            <xdr:cNvSpPr/>
          </xdr:nvSpPr>
          <xdr:spPr>
            <a:xfrm>
              <a:off x="106680" y="1089660"/>
              <a:ext cx="1905000" cy="33528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ADEEC3E-7B75-4AB5-9580-1A9E2CB42428}" type="TxLink">
                <a:rPr lang="en-US" sz="1400" b="1" i="0" u="none" strike="noStrike">
                  <a:solidFill>
                    <a:srgbClr val="000000"/>
                  </a:solidFill>
                  <a:latin typeface="Calibri"/>
                  <a:ea typeface="Calibri"/>
                  <a:cs typeface="Calibri"/>
                </a:rPr>
                <a:pPr algn="ctr"/>
                <a:t># 2963</a:t>
              </a:fld>
              <a:endParaRPr lang="en-IN" sz="1400" b="1"/>
            </a:p>
          </xdr:txBody>
        </xdr:sp>
        <xdr:sp macro="" textlink="">
          <xdr:nvSpPr>
            <xdr:cNvPr id="19" name="Rounded Rectangle 18"/>
            <xdr:cNvSpPr/>
          </xdr:nvSpPr>
          <xdr:spPr>
            <a:xfrm>
              <a:off x="121920" y="1775460"/>
              <a:ext cx="1905000" cy="33528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u="none" strike="noStrike">
                  <a:solidFill>
                    <a:srgbClr val="000000"/>
                  </a:solidFill>
                  <a:latin typeface="Calibri"/>
                  <a:ea typeface="Calibri"/>
                  <a:cs typeface="Calibri"/>
                </a:rPr>
                <a:t>YOY GROWTH</a:t>
              </a:r>
            </a:p>
          </xdr:txBody>
        </xdr:sp>
      </xdr:grpSp>
      <mc:AlternateContent xmlns:mc="http://schemas.openxmlformats.org/markup-compatibility/2006" xmlns:a14="http://schemas.microsoft.com/office/drawing/2010/main">
        <mc:Choice Requires="a14">
          <xdr:pic>
            <xdr:nvPicPr>
              <xdr:cNvPr id="14" name="Picture 13"/>
              <xdr:cNvPicPr>
                <a:picLocks noChangeAspect="1" noChangeArrowheads="1"/>
                <a:extLst>
                  <a:ext uri="{84589F7E-364E-4C9E-8A38-B11213B215E9}">
                    <a14:cameraTool cellRange="'yoy growth'!$M$8" spid="_x0000_s9618"/>
                  </a:ext>
                </a:extLst>
              </xdr:cNvPicPr>
            </xdr:nvPicPr>
            <xdr:blipFill>
              <a:blip xmlns:r="http://schemas.openxmlformats.org/officeDocument/2006/relationships" r:embed="rId4"/>
              <a:srcRect/>
              <a:stretch>
                <a:fillRect/>
              </a:stretch>
            </xdr:blipFill>
            <xdr:spPr bwMode="auto">
              <a:xfrm>
                <a:off x="6027420" y="1828800"/>
                <a:ext cx="716280" cy="228600"/>
              </a:xfrm>
              <a:prstGeom prst="rect">
                <a:avLst/>
              </a:prstGeom>
              <a:gradFill>
                <a:gsLst>
                  <a:gs pos="0">
                    <a:schemeClr val="tx2">
                      <a:lumMod val="40000"/>
                      <a:lumOff val="60000"/>
                    </a:schemeClr>
                  </a:gs>
                  <a:gs pos="43000">
                    <a:schemeClr val="accent1">
                      <a:lumMod val="50000"/>
                    </a:schemeClr>
                  </a:gs>
                </a:gsLst>
                <a:lin ang="5400000" scaled="1"/>
              </a:gradFill>
            </xdr:spPr>
          </xdr:pic>
        </mc:Choice>
        <mc:Fallback xmlns=""/>
      </mc:AlternateContent>
      <xdr:graphicFrame macro="">
        <xdr:nvGraphicFramePr>
          <xdr:cNvPr id="15" name="Chart 14"/>
          <xdr:cNvGraphicFramePr>
            <a:graphicFrameLocks/>
          </xdr:cNvGraphicFramePr>
        </xdr:nvGraphicFramePr>
        <xdr:xfrm>
          <a:off x="5074920" y="1386840"/>
          <a:ext cx="1348740" cy="411479"/>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13</xdr:col>
      <xdr:colOff>9862</xdr:colOff>
      <xdr:row>2</xdr:row>
      <xdr:rowOff>176603</xdr:rowOff>
    </xdr:from>
    <xdr:to>
      <xdr:col>17</xdr:col>
      <xdr:colOff>26895</xdr:colOff>
      <xdr:row>12</xdr:row>
      <xdr:rowOff>147851</xdr:rowOff>
    </xdr:to>
    <xdr:grpSp>
      <xdr:nvGrpSpPr>
        <xdr:cNvPr id="20" name="Group 19"/>
        <xdr:cNvGrpSpPr/>
      </xdr:nvGrpSpPr>
      <xdr:grpSpPr>
        <a:xfrm>
          <a:off x="7880383" y="552384"/>
          <a:ext cx="2438731" cy="1850152"/>
          <a:chOff x="6903720" y="525780"/>
          <a:chExt cx="2186940" cy="1600200"/>
        </a:xfrm>
      </xdr:grpSpPr>
      <xdr:grpSp>
        <xdr:nvGrpSpPr>
          <xdr:cNvPr id="21" name="Group 20"/>
          <xdr:cNvGrpSpPr/>
        </xdr:nvGrpSpPr>
        <xdr:grpSpPr>
          <a:xfrm>
            <a:off x="6903720" y="525780"/>
            <a:ext cx="2186940" cy="1600200"/>
            <a:chOff x="60960" y="556260"/>
            <a:chExt cx="1973580" cy="1600200"/>
          </a:xfrm>
        </xdr:grpSpPr>
        <xdr:sp macro="" textlink="">
          <xdr:nvSpPr>
            <xdr:cNvPr id="24" name="Rounded Rectangle 23"/>
            <xdr:cNvSpPr/>
          </xdr:nvSpPr>
          <xdr:spPr>
            <a:xfrm>
              <a:off x="68580" y="556260"/>
              <a:ext cx="1965960" cy="426720"/>
            </a:xfrm>
            <a:prstGeom prst="roundRect">
              <a:avLst/>
            </a:prstGeom>
            <a:gradFill>
              <a:gsLst>
                <a:gs pos="0">
                  <a:schemeClr val="tx2">
                    <a:lumMod val="40000"/>
                    <a:lumOff val="60000"/>
                  </a:schemeClr>
                </a:gs>
                <a:gs pos="100000">
                  <a:schemeClr val="tx2">
                    <a:lumMod val="7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NO.</a:t>
              </a:r>
              <a:r>
                <a:rPr lang="en-IN" sz="1400" b="1" baseline="0"/>
                <a:t> OF ORDERS</a:t>
              </a:r>
              <a:endParaRPr lang="en-IN" sz="1400" b="1"/>
            </a:p>
          </xdr:txBody>
        </xdr:sp>
        <xdr:sp macro="" textlink="">
          <xdr:nvSpPr>
            <xdr:cNvPr id="25" name="Rounded Rectangle 24"/>
            <xdr:cNvSpPr/>
          </xdr:nvSpPr>
          <xdr:spPr>
            <a:xfrm>
              <a:off x="60960" y="1036320"/>
              <a:ext cx="1965960" cy="112014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s!K15">
          <xdr:nvSpPr>
            <xdr:cNvPr id="26" name="Rounded Rectangle 25"/>
            <xdr:cNvSpPr/>
          </xdr:nvSpPr>
          <xdr:spPr>
            <a:xfrm>
              <a:off x="106680" y="1089660"/>
              <a:ext cx="1905000" cy="33528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C86C246-F140-44DD-97CF-23B9E9270B9F}" type="TxLink">
                <a:rPr lang="en-US" sz="1400" b="1" i="0" u="none" strike="noStrike">
                  <a:solidFill>
                    <a:srgbClr val="000000"/>
                  </a:solidFill>
                  <a:latin typeface="Calibri"/>
                  <a:ea typeface="Calibri"/>
                  <a:cs typeface="Calibri"/>
                </a:rPr>
                <a:pPr algn="ctr"/>
                <a:t># 1000</a:t>
              </a:fld>
              <a:endParaRPr lang="en-IN" sz="1400" b="1"/>
            </a:p>
          </xdr:txBody>
        </xdr:sp>
        <xdr:sp macro="" textlink="">
          <xdr:nvSpPr>
            <xdr:cNvPr id="27" name="Rounded Rectangle 26"/>
            <xdr:cNvSpPr/>
          </xdr:nvSpPr>
          <xdr:spPr>
            <a:xfrm>
              <a:off x="121920" y="1775460"/>
              <a:ext cx="1905000" cy="33528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u="none" strike="noStrike">
                  <a:solidFill>
                    <a:srgbClr val="000000"/>
                  </a:solidFill>
                  <a:latin typeface="Calibri"/>
                  <a:ea typeface="Calibri"/>
                  <a:cs typeface="Calibri"/>
                </a:rPr>
                <a:t>YOY GROWTH</a:t>
              </a:r>
            </a:p>
          </xdr:txBody>
        </xdr:sp>
      </xdr:grpSp>
      <mc:AlternateContent xmlns:mc="http://schemas.openxmlformats.org/markup-compatibility/2006" xmlns:a14="http://schemas.microsoft.com/office/drawing/2010/main">
        <mc:Choice Requires="a14">
          <xdr:pic>
            <xdr:nvPicPr>
              <xdr:cNvPr id="22" name="Picture 21"/>
              <xdr:cNvPicPr>
                <a:picLocks noChangeAspect="1" noChangeArrowheads="1"/>
                <a:extLst>
                  <a:ext uri="{84589F7E-364E-4C9E-8A38-B11213B215E9}">
                    <a14:cameraTool cellRange="'yoy growth'!$N$8" spid="_x0000_s9619"/>
                  </a:ext>
                </a:extLst>
              </xdr:cNvPicPr>
            </xdr:nvPicPr>
            <xdr:blipFill>
              <a:blip xmlns:r="http://schemas.openxmlformats.org/officeDocument/2006/relationships" r:embed="rId6"/>
              <a:srcRect/>
              <a:stretch>
                <a:fillRect/>
              </a:stretch>
            </xdr:blipFill>
            <xdr:spPr bwMode="auto">
              <a:xfrm>
                <a:off x="8275320" y="1783080"/>
                <a:ext cx="716280" cy="228600"/>
              </a:xfrm>
              <a:prstGeom prst="rect">
                <a:avLst/>
              </a:prstGeom>
              <a:gradFill>
                <a:gsLst>
                  <a:gs pos="0">
                    <a:schemeClr val="tx2">
                      <a:lumMod val="40000"/>
                      <a:lumOff val="60000"/>
                    </a:schemeClr>
                  </a:gs>
                  <a:gs pos="43000">
                    <a:schemeClr val="accent1">
                      <a:lumMod val="50000"/>
                    </a:schemeClr>
                  </a:gs>
                </a:gsLst>
                <a:lin ang="5400000" scaled="1"/>
              </a:gradFill>
            </xdr:spPr>
          </xdr:pic>
        </mc:Choice>
        <mc:Fallback xmlns=""/>
      </mc:AlternateContent>
      <xdr:graphicFrame macro="">
        <xdr:nvGraphicFramePr>
          <xdr:cNvPr id="23" name="Chart 22"/>
          <xdr:cNvGraphicFramePr>
            <a:graphicFrameLocks/>
          </xdr:cNvGraphicFramePr>
        </xdr:nvGraphicFramePr>
        <xdr:xfrm>
          <a:off x="7376160" y="1341120"/>
          <a:ext cx="1234440" cy="37338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4</xdr:col>
      <xdr:colOff>201707</xdr:colOff>
      <xdr:row>3</xdr:row>
      <xdr:rowOff>33170</xdr:rowOff>
    </xdr:from>
    <xdr:to>
      <xdr:col>8</xdr:col>
      <xdr:colOff>215154</xdr:colOff>
      <xdr:row>12</xdr:row>
      <xdr:rowOff>113731</xdr:rowOff>
    </xdr:to>
    <xdr:grpSp>
      <xdr:nvGrpSpPr>
        <xdr:cNvPr id="28" name="Group 27"/>
        <xdr:cNvGrpSpPr/>
      </xdr:nvGrpSpPr>
      <xdr:grpSpPr>
        <a:xfrm>
          <a:off x="2623406" y="596841"/>
          <a:ext cx="2435145" cy="1771575"/>
          <a:chOff x="2362200" y="533400"/>
          <a:chExt cx="2186940" cy="1600200"/>
        </a:xfrm>
      </xdr:grpSpPr>
      <xdr:grpSp>
        <xdr:nvGrpSpPr>
          <xdr:cNvPr id="29" name="Group 28"/>
          <xdr:cNvGrpSpPr/>
        </xdr:nvGrpSpPr>
        <xdr:grpSpPr>
          <a:xfrm>
            <a:off x="2362200" y="533400"/>
            <a:ext cx="2186940" cy="1600200"/>
            <a:chOff x="60960" y="556260"/>
            <a:chExt cx="1973580" cy="1600200"/>
          </a:xfrm>
        </xdr:grpSpPr>
        <xdr:sp macro="" textlink="">
          <xdr:nvSpPr>
            <xdr:cNvPr id="32" name="Rounded Rectangle 31"/>
            <xdr:cNvSpPr/>
          </xdr:nvSpPr>
          <xdr:spPr>
            <a:xfrm>
              <a:off x="68580" y="556260"/>
              <a:ext cx="1965960" cy="426720"/>
            </a:xfrm>
            <a:prstGeom prst="roundRect">
              <a:avLst/>
            </a:prstGeom>
            <a:gradFill>
              <a:gsLst>
                <a:gs pos="0">
                  <a:schemeClr val="tx2">
                    <a:lumMod val="40000"/>
                    <a:lumOff val="60000"/>
                  </a:schemeClr>
                </a:gs>
                <a:gs pos="100000">
                  <a:schemeClr val="tx2">
                    <a:lumMod val="7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QUANTITY</a:t>
              </a:r>
            </a:p>
          </xdr:txBody>
        </xdr:sp>
        <xdr:sp macro="" textlink="">
          <xdr:nvSpPr>
            <xdr:cNvPr id="33" name="Rounded Rectangle 32"/>
            <xdr:cNvSpPr/>
          </xdr:nvSpPr>
          <xdr:spPr>
            <a:xfrm>
              <a:off x="60960" y="1036320"/>
              <a:ext cx="1965960" cy="112014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Rounded Rectangle 33"/>
            <xdr:cNvSpPr/>
          </xdr:nvSpPr>
          <xdr:spPr>
            <a:xfrm>
              <a:off x="121920" y="1775460"/>
              <a:ext cx="1905000" cy="33528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u="none" strike="noStrike">
                  <a:solidFill>
                    <a:srgbClr val="000000"/>
                  </a:solidFill>
                  <a:latin typeface="Calibri"/>
                  <a:ea typeface="Calibri"/>
                  <a:cs typeface="Calibri"/>
                </a:rPr>
                <a:t>YOY GROWTH</a:t>
              </a:r>
            </a:p>
          </xdr:txBody>
        </xdr:sp>
        <xdr:sp macro="" textlink="KPIs!E15">
          <xdr:nvSpPr>
            <xdr:cNvPr id="35" name="Rounded Rectangle 34"/>
            <xdr:cNvSpPr/>
          </xdr:nvSpPr>
          <xdr:spPr>
            <a:xfrm>
              <a:off x="106680" y="1089660"/>
              <a:ext cx="1905000" cy="33528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4C3B88F-CA18-40B6-9204-BA417DDAD2BF}" type="TxLink">
                <a:rPr lang="en-US" sz="1400" b="1" i="0" u="none" strike="noStrike">
                  <a:solidFill>
                    <a:srgbClr val="000000"/>
                  </a:solidFill>
                  <a:latin typeface="Calibri"/>
                  <a:ea typeface="Calibri"/>
                  <a:cs typeface="Calibri"/>
                </a:rPr>
                <a:pPr algn="ctr"/>
                <a:t> $3,45,002.67 </a:t>
              </a:fld>
              <a:endParaRPr lang="en-IN" sz="1400" b="1"/>
            </a:p>
          </xdr:txBody>
        </xdr:sp>
      </xdr:grpSp>
      <mc:AlternateContent xmlns:mc="http://schemas.openxmlformats.org/markup-compatibility/2006" xmlns:a14="http://schemas.microsoft.com/office/drawing/2010/main">
        <mc:Choice Requires="a14">
          <xdr:pic>
            <xdr:nvPicPr>
              <xdr:cNvPr id="30" name="Picture 29"/>
              <xdr:cNvPicPr>
                <a:picLocks noChangeAspect="1" noChangeArrowheads="1"/>
                <a:extLst>
                  <a:ext uri="{84589F7E-364E-4C9E-8A38-B11213B215E9}">
                    <a14:cameraTool cellRange="'yoy growth'!$L$8" spid="_x0000_s9620"/>
                  </a:ext>
                </a:extLst>
              </xdr:cNvPicPr>
            </xdr:nvPicPr>
            <xdr:blipFill>
              <a:blip xmlns:r="http://schemas.openxmlformats.org/officeDocument/2006/relationships" r:embed="rId8"/>
              <a:srcRect/>
              <a:stretch>
                <a:fillRect/>
              </a:stretch>
            </xdr:blipFill>
            <xdr:spPr bwMode="auto">
              <a:xfrm>
                <a:off x="3718560" y="1790700"/>
                <a:ext cx="708660" cy="228600"/>
              </a:xfrm>
              <a:prstGeom prst="rect">
                <a:avLst/>
              </a:prstGeom>
              <a:gradFill>
                <a:gsLst>
                  <a:gs pos="0">
                    <a:schemeClr val="tx2">
                      <a:lumMod val="40000"/>
                      <a:lumOff val="60000"/>
                    </a:schemeClr>
                  </a:gs>
                  <a:gs pos="43000">
                    <a:schemeClr val="accent1">
                      <a:lumMod val="50000"/>
                    </a:schemeClr>
                  </a:gs>
                </a:gsLst>
                <a:lin ang="5400000" scaled="1"/>
              </a:gradFill>
            </xdr:spPr>
          </xdr:pic>
        </mc:Choice>
        <mc:Fallback xmlns=""/>
      </mc:AlternateContent>
      <xdr:graphicFrame macro="">
        <xdr:nvGraphicFramePr>
          <xdr:cNvPr id="31" name="Chart 30"/>
          <xdr:cNvGraphicFramePr>
            <a:graphicFrameLocks/>
          </xdr:cNvGraphicFramePr>
        </xdr:nvGraphicFramePr>
        <xdr:xfrm>
          <a:off x="2758440" y="1371600"/>
          <a:ext cx="1413029" cy="373380"/>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17</xdr:col>
      <xdr:colOff>155985</xdr:colOff>
      <xdr:row>3</xdr:row>
      <xdr:rowOff>22859</xdr:rowOff>
    </xdr:from>
    <xdr:to>
      <xdr:col>21</xdr:col>
      <xdr:colOff>188258</xdr:colOff>
      <xdr:row>13</xdr:row>
      <xdr:rowOff>0</xdr:rowOff>
    </xdr:to>
    <xdr:grpSp>
      <xdr:nvGrpSpPr>
        <xdr:cNvPr id="36" name="Group 35"/>
        <xdr:cNvGrpSpPr/>
      </xdr:nvGrpSpPr>
      <xdr:grpSpPr>
        <a:xfrm>
          <a:off x="10448204" y="586530"/>
          <a:ext cx="2453972" cy="1856045"/>
          <a:chOff x="9174480" y="510540"/>
          <a:chExt cx="2186940" cy="1600200"/>
        </a:xfrm>
      </xdr:grpSpPr>
      <xdr:grpSp>
        <xdr:nvGrpSpPr>
          <xdr:cNvPr id="37" name="Group 36"/>
          <xdr:cNvGrpSpPr/>
        </xdr:nvGrpSpPr>
        <xdr:grpSpPr>
          <a:xfrm>
            <a:off x="9174480" y="510540"/>
            <a:ext cx="2186940" cy="1600200"/>
            <a:chOff x="60960" y="556260"/>
            <a:chExt cx="1973580" cy="1600200"/>
          </a:xfrm>
        </xdr:grpSpPr>
        <xdr:sp macro="" textlink="">
          <xdr:nvSpPr>
            <xdr:cNvPr id="40" name="Rounded Rectangle 39"/>
            <xdr:cNvSpPr/>
          </xdr:nvSpPr>
          <xdr:spPr>
            <a:xfrm>
              <a:off x="68580" y="556260"/>
              <a:ext cx="1965960" cy="426720"/>
            </a:xfrm>
            <a:prstGeom prst="roundRect">
              <a:avLst/>
            </a:prstGeom>
            <a:gradFill>
              <a:gsLst>
                <a:gs pos="0">
                  <a:schemeClr val="tx2">
                    <a:lumMod val="40000"/>
                    <a:lumOff val="60000"/>
                  </a:schemeClr>
                </a:gs>
                <a:gs pos="100000">
                  <a:schemeClr val="tx2">
                    <a:lumMod val="7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PROFIT</a:t>
              </a:r>
              <a:r>
                <a:rPr lang="en-IN" sz="1400" b="1" baseline="0"/>
                <a:t> MARGIN</a:t>
              </a:r>
              <a:endParaRPr lang="en-IN" sz="1400" b="1"/>
            </a:p>
          </xdr:txBody>
        </xdr:sp>
        <xdr:sp macro="" textlink="">
          <xdr:nvSpPr>
            <xdr:cNvPr id="41" name="Rounded Rectangle 40"/>
            <xdr:cNvSpPr/>
          </xdr:nvSpPr>
          <xdr:spPr>
            <a:xfrm>
              <a:off x="60960" y="1036320"/>
              <a:ext cx="1965960" cy="112014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s!N15">
          <xdr:nvSpPr>
            <xdr:cNvPr id="42" name="Rounded Rectangle 41"/>
            <xdr:cNvSpPr/>
          </xdr:nvSpPr>
          <xdr:spPr>
            <a:xfrm>
              <a:off x="106680" y="1089660"/>
              <a:ext cx="1905000" cy="33528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B84C5B0-6F4C-4B58-AC35-C80103E4F4E3}" type="TxLink">
                <a:rPr lang="en-US" sz="1400" b="1" i="0" u="none" strike="noStrike">
                  <a:solidFill>
                    <a:srgbClr val="000000"/>
                  </a:solidFill>
                  <a:latin typeface="Calibri"/>
                  <a:ea typeface="Calibri"/>
                  <a:cs typeface="Calibri"/>
                </a:rPr>
                <a:pPr algn="ctr"/>
                <a:t>22.59%</a:t>
              </a:fld>
              <a:endParaRPr lang="en-IN" sz="1400" b="1"/>
            </a:p>
          </xdr:txBody>
        </xdr:sp>
        <xdr:sp macro="" textlink="">
          <xdr:nvSpPr>
            <xdr:cNvPr id="43" name="Rounded Rectangle 42"/>
            <xdr:cNvSpPr/>
          </xdr:nvSpPr>
          <xdr:spPr>
            <a:xfrm>
              <a:off x="121920" y="1775460"/>
              <a:ext cx="1905000" cy="33528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u="none" strike="noStrike">
                  <a:solidFill>
                    <a:srgbClr val="000000"/>
                  </a:solidFill>
                  <a:latin typeface="Calibri"/>
                  <a:ea typeface="Calibri"/>
                  <a:cs typeface="Calibri"/>
                </a:rPr>
                <a:t>YOY GROWTH</a:t>
              </a:r>
            </a:p>
          </xdr:txBody>
        </xdr:sp>
      </xdr:grpSp>
      <mc:AlternateContent xmlns:mc="http://schemas.openxmlformats.org/markup-compatibility/2006" xmlns:a14="http://schemas.microsoft.com/office/drawing/2010/main">
        <mc:Choice Requires="a14">
          <xdr:pic>
            <xdr:nvPicPr>
              <xdr:cNvPr id="38" name="Picture 37"/>
              <xdr:cNvPicPr>
                <a:picLocks noChangeAspect="1" noChangeArrowheads="1"/>
                <a:extLst>
                  <a:ext uri="{84589F7E-364E-4C9E-8A38-B11213B215E9}">
                    <a14:cameraTool cellRange="'yoy growth'!$O$8" spid="_x0000_s9621"/>
                  </a:ext>
                </a:extLst>
              </xdr:cNvPicPr>
            </xdr:nvPicPr>
            <xdr:blipFill>
              <a:blip xmlns:r="http://schemas.openxmlformats.org/officeDocument/2006/relationships" r:embed="rId10"/>
              <a:srcRect/>
              <a:stretch>
                <a:fillRect/>
              </a:stretch>
            </xdr:blipFill>
            <xdr:spPr bwMode="auto">
              <a:xfrm>
                <a:off x="10584180" y="1752600"/>
                <a:ext cx="617220" cy="228600"/>
              </a:xfrm>
              <a:prstGeom prst="rect">
                <a:avLst/>
              </a:prstGeom>
              <a:gradFill>
                <a:gsLst>
                  <a:gs pos="0">
                    <a:schemeClr val="tx2">
                      <a:lumMod val="40000"/>
                      <a:lumOff val="60000"/>
                    </a:schemeClr>
                  </a:gs>
                  <a:gs pos="43000">
                    <a:schemeClr val="accent1">
                      <a:lumMod val="50000"/>
                    </a:schemeClr>
                  </a:gs>
                </a:gsLst>
                <a:lin ang="5400000" scaled="1"/>
              </a:gradFill>
            </xdr:spPr>
          </xdr:pic>
        </mc:Choice>
        <mc:Fallback xmlns=""/>
      </mc:AlternateContent>
      <xdr:graphicFrame macro="">
        <xdr:nvGraphicFramePr>
          <xdr:cNvPr id="39" name="Chart 38"/>
          <xdr:cNvGraphicFramePr>
            <a:graphicFrameLocks/>
          </xdr:cNvGraphicFramePr>
        </xdr:nvGraphicFramePr>
        <xdr:xfrm>
          <a:off x="9479280" y="1341120"/>
          <a:ext cx="1575787" cy="389359"/>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6</xdr:col>
      <xdr:colOff>535140</xdr:colOff>
      <xdr:row>13</xdr:row>
      <xdr:rowOff>91491</xdr:rowOff>
    </xdr:from>
    <xdr:to>
      <xdr:col>14</xdr:col>
      <xdr:colOff>207480</xdr:colOff>
      <xdr:row>26</xdr:row>
      <xdr:rowOff>90985</xdr:rowOff>
    </xdr:to>
    <xdr:grpSp>
      <xdr:nvGrpSpPr>
        <xdr:cNvPr id="44" name="Group 43"/>
        <xdr:cNvGrpSpPr/>
      </xdr:nvGrpSpPr>
      <xdr:grpSpPr>
        <a:xfrm>
          <a:off x="4167688" y="2534066"/>
          <a:ext cx="4515737" cy="2442070"/>
          <a:chOff x="76200" y="2182009"/>
          <a:chExt cx="4549140" cy="2048436"/>
        </a:xfrm>
      </xdr:grpSpPr>
      <xdr:sp macro="" textlink="">
        <xdr:nvSpPr>
          <xdr:cNvPr id="45" name="Rounded Rectangle 44"/>
          <xdr:cNvSpPr/>
        </xdr:nvSpPr>
        <xdr:spPr>
          <a:xfrm>
            <a:off x="76200" y="2182009"/>
            <a:ext cx="4549140" cy="2048436"/>
          </a:xfrm>
          <a:prstGeom prst="roundRect">
            <a:avLst/>
          </a:prstGeom>
          <a:gradFill>
            <a:gsLst>
              <a:gs pos="82000">
                <a:schemeClr val="tx2">
                  <a:lumMod val="50000"/>
                </a:schemeClr>
              </a:gs>
              <a:gs pos="0">
                <a:schemeClr val="tx2">
                  <a:lumMod val="40000"/>
                  <a:lumOff val="60000"/>
                  <a:alpha val="4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7" name="Rounded Rectangle 46"/>
          <xdr:cNvSpPr/>
        </xdr:nvSpPr>
        <xdr:spPr>
          <a:xfrm>
            <a:off x="312420" y="2235349"/>
            <a:ext cx="2606040" cy="240255"/>
          </a:xfrm>
          <a:prstGeom prst="roundRect">
            <a:avLst/>
          </a:prstGeom>
          <a:gradFill>
            <a:gsLst>
              <a:gs pos="0">
                <a:schemeClr val="tx2">
                  <a:lumMod val="40000"/>
                  <a:lumOff val="60000"/>
                  <a:alpha val="71000"/>
                </a:schemeClr>
              </a:gs>
              <a:gs pos="78000">
                <a:schemeClr val="tx2">
                  <a:lumMod val="7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DISCOUNT</a:t>
            </a:r>
            <a:r>
              <a:rPr lang="en-IN" sz="1200" b="1" baseline="0"/>
              <a:t> AND PROFIT ANALYSIS</a:t>
            </a:r>
            <a:endParaRPr lang="en-IN" sz="1200" b="1"/>
          </a:p>
        </xdr:txBody>
      </xdr:sp>
    </xdr:grpSp>
    <xdr:clientData/>
  </xdr:twoCellAnchor>
  <xdr:twoCellAnchor>
    <xdr:from>
      <xdr:col>0</xdr:col>
      <xdr:colOff>129268</xdr:colOff>
      <xdr:row>13</xdr:row>
      <xdr:rowOff>79612</xdr:rowOff>
    </xdr:from>
    <xdr:to>
      <xdr:col>6</xdr:col>
      <xdr:colOff>460948</xdr:colOff>
      <xdr:row>26</xdr:row>
      <xdr:rowOff>104383</xdr:rowOff>
    </xdr:to>
    <xdr:grpSp>
      <xdr:nvGrpSpPr>
        <xdr:cNvPr id="48" name="Group 47"/>
        <xdr:cNvGrpSpPr/>
      </xdr:nvGrpSpPr>
      <xdr:grpSpPr>
        <a:xfrm>
          <a:off x="129268" y="2522187"/>
          <a:ext cx="3964228" cy="2467347"/>
          <a:chOff x="134470" y="2259730"/>
          <a:chExt cx="3999928" cy="2241803"/>
        </a:xfrm>
      </xdr:grpSpPr>
      <xdr:sp macro="" textlink="">
        <xdr:nvSpPr>
          <xdr:cNvPr id="49" name="Rounded Rectangle 48"/>
          <xdr:cNvSpPr/>
        </xdr:nvSpPr>
        <xdr:spPr>
          <a:xfrm>
            <a:off x="134470" y="2259730"/>
            <a:ext cx="3999928" cy="2241803"/>
          </a:xfrm>
          <a:prstGeom prst="roundRect">
            <a:avLst/>
          </a:prstGeom>
          <a:gradFill>
            <a:gsLst>
              <a:gs pos="82000">
                <a:schemeClr val="tx2">
                  <a:lumMod val="50000"/>
                </a:schemeClr>
              </a:gs>
              <a:gs pos="0">
                <a:schemeClr val="tx2">
                  <a:lumMod val="40000"/>
                  <a:lumOff val="60000"/>
                  <a:alpha val="4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0" name="Rounded Rectangle 49"/>
          <xdr:cNvSpPr/>
        </xdr:nvSpPr>
        <xdr:spPr>
          <a:xfrm>
            <a:off x="367553" y="2304555"/>
            <a:ext cx="2613128" cy="247030"/>
          </a:xfrm>
          <a:prstGeom prst="roundRect">
            <a:avLst/>
          </a:prstGeom>
          <a:gradFill>
            <a:gsLst>
              <a:gs pos="0">
                <a:schemeClr val="tx2">
                  <a:lumMod val="40000"/>
                  <a:lumOff val="60000"/>
                  <a:alpha val="71000"/>
                </a:schemeClr>
              </a:gs>
              <a:gs pos="78000">
                <a:schemeClr val="tx2">
                  <a:lumMod val="7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COUNTRY</a:t>
            </a:r>
            <a:r>
              <a:rPr lang="en-IN" sz="1200" b="1" baseline="0"/>
              <a:t> WISE PROFIT</a:t>
            </a:r>
            <a:endParaRPr lang="en-IN" sz="1200" b="1"/>
          </a:p>
        </xdr:txBody>
      </xdr:sp>
    </xdr:grpSp>
    <xdr:clientData/>
  </xdr:twoCellAnchor>
  <xdr:twoCellAnchor>
    <xdr:from>
      <xdr:col>14</xdr:col>
      <xdr:colOff>297641</xdr:colOff>
      <xdr:row>13</xdr:row>
      <xdr:rowOff>48054</xdr:rowOff>
    </xdr:from>
    <xdr:to>
      <xdr:col>21</xdr:col>
      <xdr:colOff>239477</xdr:colOff>
      <xdr:row>26</xdr:row>
      <xdr:rowOff>83507</xdr:rowOff>
    </xdr:to>
    <xdr:grpSp>
      <xdr:nvGrpSpPr>
        <xdr:cNvPr id="52" name="Group 51"/>
        <xdr:cNvGrpSpPr/>
      </xdr:nvGrpSpPr>
      <xdr:grpSpPr>
        <a:xfrm>
          <a:off x="8773586" y="2490629"/>
          <a:ext cx="4179809" cy="2478029"/>
          <a:chOff x="8850195" y="2292989"/>
          <a:chExt cx="4240880" cy="2192610"/>
        </a:xfrm>
      </xdr:grpSpPr>
      <xdr:sp macro="" textlink="">
        <xdr:nvSpPr>
          <xdr:cNvPr id="53" name="Rounded Rectangle 52"/>
          <xdr:cNvSpPr/>
        </xdr:nvSpPr>
        <xdr:spPr>
          <a:xfrm>
            <a:off x="8850195" y="2292989"/>
            <a:ext cx="4240880" cy="2192610"/>
          </a:xfrm>
          <a:prstGeom prst="roundRect">
            <a:avLst/>
          </a:prstGeom>
          <a:gradFill>
            <a:gsLst>
              <a:gs pos="82000">
                <a:schemeClr val="tx2">
                  <a:lumMod val="50000"/>
                </a:schemeClr>
              </a:gs>
              <a:gs pos="0">
                <a:schemeClr val="tx2">
                  <a:lumMod val="40000"/>
                  <a:lumOff val="60000"/>
                  <a:alpha val="4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5" name="Rounded Rectangle 54"/>
          <xdr:cNvSpPr/>
        </xdr:nvSpPr>
        <xdr:spPr>
          <a:xfrm>
            <a:off x="9180541" y="2357461"/>
            <a:ext cx="2864187" cy="234595"/>
          </a:xfrm>
          <a:prstGeom prst="roundRect">
            <a:avLst/>
          </a:prstGeom>
          <a:gradFill>
            <a:gsLst>
              <a:gs pos="0">
                <a:schemeClr val="tx2">
                  <a:lumMod val="40000"/>
                  <a:lumOff val="60000"/>
                  <a:alpha val="71000"/>
                </a:schemeClr>
              </a:gs>
              <a:gs pos="78000">
                <a:schemeClr val="tx2">
                  <a:lumMod val="7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MONTHLY SALES TREND</a:t>
            </a:r>
            <a:r>
              <a:rPr lang="en-IN" sz="1200" b="1" baseline="0"/>
              <a:t> FOR COUNTRIES</a:t>
            </a:r>
            <a:endParaRPr lang="en-IN" sz="1200" b="1"/>
          </a:p>
        </xdr:txBody>
      </xdr:sp>
    </xdr:grpSp>
    <xdr:clientData/>
  </xdr:twoCellAnchor>
  <xdr:twoCellAnchor>
    <xdr:from>
      <xdr:col>7</xdr:col>
      <xdr:colOff>21241</xdr:colOff>
      <xdr:row>27</xdr:row>
      <xdr:rowOff>11373</xdr:rowOff>
    </xdr:from>
    <xdr:to>
      <xdr:col>14</xdr:col>
      <xdr:colOff>293585</xdr:colOff>
      <xdr:row>40</xdr:row>
      <xdr:rowOff>79612</xdr:rowOff>
    </xdr:to>
    <xdr:grpSp>
      <xdr:nvGrpSpPr>
        <xdr:cNvPr id="60" name="Group 59"/>
        <xdr:cNvGrpSpPr/>
      </xdr:nvGrpSpPr>
      <xdr:grpSpPr>
        <a:xfrm>
          <a:off x="4259214" y="5084414"/>
          <a:ext cx="4510316" cy="2510814"/>
          <a:chOff x="4274793" y="4482888"/>
          <a:chExt cx="4571389" cy="2192607"/>
        </a:xfrm>
      </xdr:grpSpPr>
      <xdr:sp macro="" textlink="">
        <xdr:nvSpPr>
          <xdr:cNvPr id="61" name="Rounded Rectangle 60"/>
          <xdr:cNvSpPr/>
        </xdr:nvSpPr>
        <xdr:spPr>
          <a:xfrm>
            <a:off x="4274793" y="4482888"/>
            <a:ext cx="4571389" cy="2192607"/>
          </a:xfrm>
          <a:prstGeom prst="roundRect">
            <a:avLst/>
          </a:prstGeom>
          <a:gradFill>
            <a:gsLst>
              <a:gs pos="82000">
                <a:schemeClr val="tx2">
                  <a:lumMod val="50000"/>
                </a:schemeClr>
              </a:gs>
              <a:gs pos="0">
                <a:schemeClr val="tx2">
                  <a:lumMod val="40000"/>
                  <a:lumOff val="60000"/>
                  <a:alpha val="4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3" name="Rounded Rectangle 62"/>
          <xdr:cNvSpPr/>
        </xdr:nvSpPr>
        <xdr:spPr>
          <a:xfrm>
            <a:off x="4529417" y="4558115"/>
            <a:ext cx="2624237" cy="242930"/>
          </a:xfrm>
          <a:prstGeom prst="roundRect">
            <a:avLst/>
          </a:prstGeom>
          <a:gradFill>
            <a:gsLst>
              <a:gs pos="0">
                <a:schemeClr val="tx2">
                  <a:lumMod val="40000"/>
                  <a:lumOff val="60000"/>
                  <a:alpha val="71000"/>
                </a:schemeClr>
              </a:gs>
              <a:gs pos="78000">
                <a:schemeClr val="tx2">
                  <a:lumMod val="7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PROFIT MARGIN RATIO</a:t>
            </a:r>
          </a:p>
        </xdr:txBody>
      </xdr:sp>
    </xdr:grpSp>
    <xdr:clientData/>
  </xdr:twoCellAnchor>
  <xdr:twoCellAnchor>
    <xdr:from>
      <xdr:col>14</xdr:col>
      <xdr:colOff>407186</xdr:colOff>
      <xdr:row>26</xdr:row>
      <xdr:rowOff>169748</xdr:rowOff>
    </xdr:from>
    <xdr:to>
      <xdr:col>21</xdr:col>
      <xdr:colOff>239222</xdr:colOff>
      <xdr:row>40</xdr:row>
      <xdr:rowOff>102358</xdr:rowOff>
    </xdr:to>
    <xdr:grpSp>
      <xdr:nvGrpSpPr>
        <xdr:cNvPr id="64" name="Group 63"/>
        <xdr:cNvGrpSpPr/>
      </xdr:nvGrpSpPr>
      <xdr:grpSpPr>
        <a:xfrm>
          <a:off x="8883131" y="5054899"/>
          <a:ext cx="4070009" cy="2563075"/>
          <a:chOff x="8982530" y="4491540"/>
          <a:chExt cx="4131080" cy="2192606"/>
        </a:xfrm>
      </xdr:grpSpPr>
      <xdr:sp macro="" textlink="">
        <xdr:nvSpPr>
          <xdr:cNvPr id="65" name="Rounded Rectangle 64"/>
          <xdr:cNvSpPr/>
        </xdr:nvSpPr>
        <xdr:spPr>
          <a:xfrm>
            <a:off x="8982530" y="4491540"/>
            <a:ext cx="4131080" cy="2192606"/>
          </a:xfrm>
          <a:prstGeom prst="roundRect">
            <a:avLst/>
          </a:prstGeom>
          <a:gradFill>
            <a:gsLst>
              <a:gs pos="82000">
                <a:schemeClr val="tx2">
                  <a:lumMod val="50000"/>
                </a:schemeClr>
              </a:gs>
              <a:gs pos="0">
                <a:schemeClr val="tx2">
                  <a:lumMod val="40000"/>
                  <a:lumOff val="60000"/>
                  <a:alpha val="4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7" name="Rounded Rectangle 66"/>
          <xdr:cNvSpPr/>
        </xdr:nvSpPr>
        <xdr:spPr>
          <a:xfrm>
            <a:off x="9160931" y="4549254"/>
            <a:ext cx="3163084" cy="229890"/>
          </a:xfrm>
          <a:prstGeom prst="roundRect">
            <a:avLst/>
          </a:prstGeom>
          <a:gradFill>
            <a:gsLst>
              <a:gs pos="0">
                <a:schemeClr val="tx2">
                  <a:lumMod val="40000"/>
                  <a:lumOff val="60000"/>
                  <a:alpha val="71000"/>
                </a:schemeClr>
              </a:gs>
              <a:gs pos="78000">
                <a:schemeClr val="tx2">
                  <a:lumMod val="7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PAYMENT</a:t>
            </a:r>
            <a:r>
              <a:rPr lang="en-IN" sz="1200" b="1" baseline="0"/>
              <a:t> METHOD USED MOST</a:t>
            </a:r>
            <a:endParaRPr lang="en-IN" sz="1200" b="1"/>
          </a:p>
        </xdr:txBody>
      </xdr:sp>
    </xdr:grpSp>
    <xdr:clientData/>
  </xdr:twoCellAnchor>
  <xdr:twoCellAnchor>
    <xdr:from>
      <xdr:col>21</xdr:col>
      <xdr:colOff>352567</xdr:colOff>
      <xdr:row>13</xdr:row>
      <xdr:rowOff>34119</xdr:rowOff>
    </xdr:from>
    <xdr:to>
      <xdr:col>26</xdr:col>
      <xdr:colOff>329820</xdr:colOff>
      <xdr:row>40</xdr:row>
      <xdr:rowOff>102358</xdr:rowOff>
    </xdr:to>
    <xdr:grpSp>
      <xdr:nvGrpSpPr>
        <xdr:cNvPr id="68" name="Group 67"/>
        <xdr:cNvGrpSpPr/>
      </xdr:nvGrpSpPr>
      <xdr:grpSpPr>
        <a:xfrm>
          <a:off x="13066485" y="2476694"/>
          <a:ext cx="3004376" cy="5141280"/>
          <a:chOff x="13204210" y="2024418"/>
          <a:chExt cx="3048000" cy="4981433"/>
        </a:xfrm>
      </xdr:grpSpPr>
      <xdr:sp macro="" textlink="">
        <xdr:nvSpPr>
          <xdr:cNvPr id="69" name="Rounded Rectangle 68"/>
          <xdr:cNvSpPr/>
        </xdr:nvSpPr>
        <xdr:spPr>
          <a:xfrm>
            <a:off x="13204210" y="2024418"/>
            <a:ext cx="3048000" cy="4981433"/>
          </a:xfrm>
          <a:prstGeom prst="roundRect">
            <a:avLst/>
          </a:prstGeom>
          <a:gradFill>
            <a:gsLst>
              <a:gs pos="3000">
                <a:schemeClr val="accent1">
                  <a:lumMod val="60000"/>
                  <a:lumOff val="40000"/>
                </a:schemeClr>
              </a:gs>
              <a:gs pos="72000">
                <a:schemeClr val="tx2">
                  <a:lumMod val="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5" name="Rounded Rectangle 74"/>
          <xdr:cNvSpPr/>
        </xdr:nvSpPr>
        <xdr:spPr>
          <a:xfrm>
            <a:off x="13772867" y="2081283"/>
            <a:ext cx="1853820" cy="250210"/>
          </a:xfrm>
          <a:prstGeom prst="roundRect">
            <a:avLst/>
          </a:prstGeom>
          <a:gradFill>
            <a:gsLst>
              <a:gs pos="0">
                <a:schemeClr val="tx2">
                  <a:lumMod val="40000"/>
                  <a:lumOff val="60000"/>
                  <a:alpha val="71000"/>
                </a:schemeClr>
              </a:gs>
              <a:gs pos="78000">
                <a:schemeClr val="tx2">
                  <a:lumMod val="7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FILTERS</a:t>
            </a:r>
          </a:p>
        </xdr:txBody>
      </xdr:sp>
    </xdr:grpSp>
    <xdr:clientData/>
  </xdr:twoCellAnchor>
  <xdr:twoCellAnchor>
    <xdr:from>
      <xdr:col>21</xdr:col>
      <xdr:colOff>466326</xdr:colOff>
      <xdr:row>0</xdr:row>
      <xdr:rowOff>90344</xdr:rowOff>
    </xdr:from>
    <xdr:to>
      <xdr:col>26</xdr:col>
      <xdr:colOff>9254</xdr:colOff>
      <xdr:row>3</xdr:row>
      <xdr:rowOff>33479</xdr:rowOff>
    </xdr:to>
    <xdr:sp macro="" textlink="">
      <xdr:nvSpPr>
        <xdr:cNvPr id="76" name="Snip Diagonal Corner Rectangle 75">
          <a:hlinkClick xmlns:r="http://schemas.openxmlformats.org/officeDocument/2006/relationships" r:id="rId12"/>
        </xdr:cNvPr>
        <xdr:cNvSpPr/>
      </xdr:nvSpPr>
      <xdr:spPr>
        <a:xfrm>
          <a:off x="13313002" y="90344"/>
          <a:ext cx="2601660" cy="490487"/>
        </a:xfrm>
        <a:prstGeom prst="snip2DiagRect">
          <a:avLst/>
        </a:prstGeom>
        <a:gradFill>
          <a:gsLst>
            <a:gs pos="0">
              <a:schemeClr val="tx2">
                <a:lumMod val="40000"/>
                <a:lumOff val="60000"/>
                <a:alpha val="71000"/>
              </a:schemeClr>
            </a:gs>
            <a:gs pos="78000">
              <a:schemeClr val="tx2">
                <a:lumMod val="60000"/>
                <a:lumOff val="4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latin typeface="Arial Black" panose="020B0A04020102020204" pitchFamily="34" charset="0"/>
            </a:rPr>
            <a:t>REGION</a:t>
          </a:r>
          <a:r>
            <a:rPr lang="en-IN" sz="1100" b="1" baseline="0">
              <a:latin typeface="Arial Black" panose="020B0A04020102020204" pitchFamily="34" charset="0"/>
            </a:rPr>
            <a:t> BASED DASHBOARD</a:t>
          </a:r>
          <a:endParaRPr lang="en-IN" sz="1100" b="1">
            <a:latin typeface="Arial Black" panose="020B0A04020102020204" pitchFamily="34" charset="0"/>
          </a:endParaRPr>
        </a:p>
      </xdr:txBody>
    </xdr:sp>
    <xdr:clientData/>
  </xdr:twoCellAnchor>
  <xdr:twoCellAnchor>
    <xdr:from>
      <xdr:col>21</xdr:col>
      <xdr:colOff>477671</xdr:colOff>
      <xdr:row>3</xdr:row>
      <xdr:rowOff>113732</xdr:rowOff>
    </xdr:from>
    <xdr:to>
      <xdr:col>26</xdr:col>
      <xdr:colOff>22745</xdr:colOff>
      <xdr:row>6</xdr:row>
      <xdr:rowOff>56866</xdr:rowOff>
    </xdr:to>
    <xdr:sp macro="" textlink="">
      <xdr:nvSpPr>
        <xdr:cNvPr id="77" name="Snip Diagonal Corner Rectangle 76">
          <a:hlinkClick xmlns:r="http://schemas.openxmlformats.org/officeDocument/2006/relationships" r:id="rId13"/>
        </xdr:cNvPr>
        <xdr:cNvSpPr/>
      </xdr:nvSpPr>
      <xdr:spPr>
        <a:xfrm>
          <a:off x="13279271" y="662372"/>
          <a:ext cx="2593074" cy="491774"/>
        </a:xfrm>
        <a:prstGeom prst="snip2DiagRect">
          <a:avLst/>
        </a:prstGeom>
        <a:gradFill>
          <a:gsLst>
            <a:gs pos="0">
              <a:schemeClr val="tx2">
                <a:lumMod val="40000"/>
                <a:lumOff val="60000"/>
                <a:alpha val="71000"/>
              </a:schemeClr>
            </a:gs>
            <a:gs pos="78000">
              <a:schemeClr val="tx2">
                <a:lumMod val="60000"/>
                <a:lumOff val="4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50" b="1">
              <a:latin typeface="Arial Black" panose="020B0A04020102020204" pitchFamily="34" charset="0"/>
            </a:rPr>
            <a:t>CITY BASED DASHBOARD</a:t>
          </a:r>
        </a:p>
      </xdr:txBody>
    </xdr:sp>
    <xdr:clientData/>
  </xdr:twoCellAnchor>
  <xdr:twoCellAnchor>
    <xdr:from>
      <xdr:col>21</xdr:col>
      <xdr:colOff>454926</xdr:colOff>
      <xdr:row>6</xdr:row>
      <xdr:rowOff>147851</xdr:rowOff>
    </xdr:from>
    <xdr:to>
      <xdr:col>26</xdr:col>
      <xdr:colOff>0</xdr:colOff>
      <xdr:row>9</xdr:row>
      <xdr:rowOff>90986</xdr:rowOff>
    </xdr:to>
    <xdr:sp macro="" textlink="">
      <xdr:nvSpPr>
        <xdr:cNvPr id="78" name="Snip Diagonal Corner Rectangle 77">
          <a:hlinkClick xmlns:r="http://schemas.openxmlformats.org/officeDocument/2006/relationships" r:id="rId14"/>
        </xdr:cNvPr>
        <xdr:cNvSpPr/>
      </xdr:nvSpPr>
      <xdr:spPr>
        <a:xfrm>
          <a:off x="13256526" y="1245131"/>
          <a:ext cx="2593074" cy="491775"/>
        </a:xfrm>
        <a:prstGeom prst="snip2DiagRect">
          <a:avLst/>
        </a:prstGeom>
        <a:gradFill>
          <a:gsLst>
            <a:gs pos="0">
              <a:schemeClr val="tx2">
                <a:alpha val="71000"/>
                <a:lumMod val="40000"/>
                <a:lumOff val="60000"/>
              </a:schemeClr>
            </a:gs>
            <a:gs pos="78000">
              <a:schemeClr val="tx2">
                <a:lumMod val="7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50" b="1">
              <a:latin typeface="Arial Black" panose="020B0A04020102020204" pitchFamily="34" charset="0"/>
            </a:rPr>
            <a:t>COUNTRY BASED DASHBOARD</a:t>
          </a:r>
        </a:p>
      </xdr:txBody>
    </xdr:sp>
    <xdr:clientData/>
  </xdr:twoCellAnchor>
  <xdr:twoCellAnchor>
    <xdr:from>
      <xdr:col>21</xdr:col>
      <xdr:colOff>466298</xdr:colOff>
      <xdr:row>9</xdr:row>
      <xdr:rowOff>170598</xdr:rowOff>
    </xdr:from>
    <xdr:to>
      <xdr:col>26</xdr:col>
      <xdr:colOff>11372</xdr:colOff>
      <xdr:row>12</xdr:row>
      <xdr:rowOff>113732</xdr:rowOff>
    </xdr:to>
    <xdr:sp macro="" textlink="">
      <xdr:nvSpPr>
        <xdr:cNvPr id="79" name="Snip Diagonal Corner Rectangle 78">
          <a:hlinkClick xmlns:r="http://schemas.openxmlformats.org/officeDocument/2006/relationships" r:id="rId15"/>
        </xdr:cNvPr>
        <xdr:cNvSpPr/>
      </xdr:nvSpPr>
      <xdr:spPr>
        <a:xfrm>
          <a:off x="13267898" y="1816518"/>
          <a:ext cx="2593074" cy="491774"/>
        </a:xfrm>
        <a:prstGeom prst="snip2DiagRect">
          <a:avLst/>
        </a:prstGeom>
        <a:gradFill>
          <a:gsLst>
            <a:gs pos="0">
              <a:schemeClr val="tx2">
                <a:lumMod val="40000"/>
                <a:lumOff val="60000"/>
                <a:alpha val="71000"/>
              </a:schemeClr>
            </a:gs>
            <a:gs pos="78000">
              <a:schemeClr val="tx2">
                <a:lumMod val="60000"/>
                <a:lumOff val="4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Arial Black" panose="020B0A04020102020204" pitchFamily="34" charset="0"/>
            </a:rPr>
            <a:t>DATASET</a:t>
          </a:r>
          <a:r>
            <a:rPr lang="en-IN" sz="1100" baseline="0"/>
            <a:t> </a:t>
          </a:r>
          <a:endParaRPr lang="en-IN" sz="1100"/>
        </a:p>
      </xdr:txBody>
    </xdr:sp>
    <xdr:clientData/>
  </xdr:twoCellAnchor>
  <xdr:twoCellAnchor editAs="oneCell">
    <xdr:from>
      <xdr:col>30</xdr:col>
      <xdr:colOff>0</xdr:colOff>
      <xdr:row>13</xdr:row>
      <xdr:rowOff>0</xdr:rowOff>
    </xdr:from>
    <xdr:to>
      <xdr:col>34</xdr:col>
      <xdr:colOff>0</xdr:colOff>
      <xdr:row>26</xdr:row>
      <xdr:rowOff>60960</xdr:rowOff>
    </xdr:to>
    <xdr:sp macro="" textlink="">
      <xdr:nvSpPr>
        <xdr:cNvPr id="80" name="AutoShape 114" descr="Sales  Icon"/>
        <xdr:cNvSpPr>
          <a:spLocks noChangeAspect="1" noChangeArrowheads="1"/>
        </xdr:cNvSpPr>
      </xdr:nvSpPr>
      <xdr:spPr bwMode="auto">
        <a:xfrm>
          <a:off x="18288000" y="2377440"/>
          <a:ext cx="2438400" cy="2438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29</xdr:col>
      <xdr:colOff>0</xdr:colOff>
      <xdr:row>15</xdr:row>
      <xdr:rowOff>0</xdr:rowOff>
    </xdr:from>
    <xdr:to>
      <xdr:col>33</xdr:col>
      <xdr:colOff>0</xdr:colOff>
      <xdr:row>28</xdr:row>
      <xdr:rowOff>60960</xdr:rowOff>
    </xdr:to>
    <xdr:sp macro="" textlink="">
      <xdr:nvSpPr>
        <xdr:cNvPr id="81" name="AutoShape 115" descr="Sales  Icon"/>
        <xdr:cNvSpPr>
          <a:spLocks noChangeAspect="1" noChangeArrowheads="1"/>
        </xdr:cNvSpPr>
      </xdr:nvSpPr>
      <xdr:spPr bwMode="auto">
        <a:xfrm>
          <a:off x="17678400" y="2743200"/>
          <a:ext cx="2438400" cy="2438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293913</xdr:colOff>
      <xdr:row>3</xdr:row>
      <xdr:rowOff>130629</xdr:rowOff>
    </xdr:from>
    <xdr:to>
      <xdr:col>4</xdr:col>
      <xdr:colOff>130628</xdr:colOff>
      <xdr:row>6</xdr:row>
      <xdr:rowOff>21772</xdr:rowOff>
    </xdr:to>
    <xdr:pic>
      <xdr:nvPicPr>
        <xdr:cNvPr id="82" name="Picture 81"/>
        <xdr:cNvPicPr>
          <a:picLocks noChangeAspect="1"/>
        </xdr:cNvPicPr>
      </xdr:nvPicPr>
      <xdr:blipFill>
        <a:blip xmlns:r="http://schemas.openxmlformats.org/officeDocument/2006/relationships" r:embed="rId16"/>
        <a:stretch>
          <a:fillRect/>
        </a:stretch>
      </xdr:blipFill>
      <xdr:spPr>
        <a:xfrm flipH="1">
          <a:off x="2122713" y="679269"/>
          <a:ext cx="446315" cy="439783"/>
        </a:xfrm>
        <a:prstGeom prst="rect">
          <a:avLst/>
        </a:prstGeom>
        <a:effectLst>
          <a:outerShdw blurRad="876300" dir="7560000" sx="95000" sy="95000" algn="ctr" rotWithShape="0">
            <a:srgbClr val="000000"/>
          </a:outerShdw>
        </a:effectLst>
      </xdr:spPr>
    </xdr:pic>
    <xdr:clientData/>
  </xdr:twoCellAnchor>
  <xdr:twoCellAnchor editAs="oneCell">
    <xdr:from>
      <xdr:col>11</xdr:col>
      <xdr:colOff>315685</xdr:colOff>
      <xdr:row>1</xdr:row>
      <xdr:rowOff>97971</xdr:rowOff>
    </xdr:from>
    <xdr:to>
      <xdr:col>13</xdr:col>
      <xdr:colOff>48985</xdr:colOff>
      <xdr:row>6</xdr:row>
      <xdr:rowOff>125185</xdr:rowOff>
    </xdr:to>
    <xdr:pic>
      <xdr:nvPicPr>
        <xdr:cNvPr id="83" name="Picture 82"/>
        <xdr:cNvPicPr>
          <a:picLocks noChangeAspect="1"/>
        </xdr:cNvPicPr>
      </xdr:nvPicPr>
      <xdr:blipFill>
        <a:blip xmlns:r="http://schemas.openxmlformats.org/officeDocument/2006/relationships" r:embed="rId17"/>
        <a:stretch>
          <a:fillRect/>
        </a:stretch>
      </xdr:blipFill>
      <xdr:spPr>
        <a:xfrm>
          <a:off x="7021285" y="280851"/>
          <a:ext cx="952500" cy="941614"/>
        </a:xfrm>
        <a:prstGeom prst="rect">
          <a:avLst/>
        </a:prstGeom>
        <a:effectLst>
          <a:glow rad="215900">
            <a:schemeClr val="accent1">
              <a:alpha val="23000"/>
            </a:schemeClr>
          </a:glow>
          <a:outerShdw blurRad="50800" dir="5400000" sx="86000" sy="86000" algn="ctr" rotWithShape="0">
            <a:srgbClr val="000000">
              <a:alpha val="42000"/>
            </a:srgbClr>
          </a:outerShdw>
          <a:reflection endPos="0" dir="5400000" sy="-100000" algn="bl" rotWithShape="0"/>
        </a:effectLst>
      </xdr:spPr>
    </xdr:pic>
    <xdr:clientData/>
  </xdr:twoCellAnchor>
  <xdr:twoCellAnchor editAs="oneCell">
    <xdr:from>
      <xdr:col>7</xdr:col>
      <xdr:colOff>359230</xdr:colOff>
      <xdr:row>2</xdr:row>
      <xdr:rowOff>174173</xdr:rowOff>
    </xdr:from>
    <xdr:to>
      <xdr:col>8</xdr:col>
      <xdr:colOff>337458</xdr:colOff>
      <xdr:row>6</xdr:row>
      <xdr:rowOff>21772</xdr:rowOff>
    </xdr:to>
    <xdr:pic>
      <xdr:nvPicPr>
        <xdr:cNvPr id="84" name="Picture 83"/>
        <xdr:cNvPicPr>
          <a:picLocks noChangeAspect="1"/>
        </xdr:cNvPicPr>
      </xdr:nvPicPr>
      <xdr:blipFill>
        <a:blip xmlns:r="http://schemas.openxmlformats.org/officeDocument/2006/relationships" r:embed="rId18"/>
        <a:stretch>
          <a:fillRect/>
        </a:stretch>
      </xdr:blipFill>
      <xdr:spPr>
        <a:xfrm>
          <a:off x="4626430" y="539933"/>
          <a:ext cx="587828" cy="579119"/>
        </a:xfrm>
        <a:prstGeom prst="rect">
          <a:avLst/>
        </a:prstGeom>
        <a:effectLst>
          <a:outerShdw blurRad="889000" sx="98000" sy="98000" algn="ctr" rotWithShape="0">
            <a:srgbClr val="000000">
              <a:alpha val="86000"/>
            </a:srgbClr>
          </a:outerShdw>
          <a:reflection stA="8000" endPos="0" dist="50800" dir="5400000" sy="-100000" algn="bl" rotWithShape="0"/>
        </a:effectLst>
      </xdr:spPr>
    </xdr:pic>
    <xdr:clientData/>
  </xdr:twoCellAnchor>
  <xdr:twoCellAnchor editAs="oneCell">
    <xdr:from>
      <xdr:col>16</xdr:col>
      <xdr:colOff>54429</xdr:colOff>
      <xdr:row>2</xdr:row>
      <xdr:rowOff>76200</xdr:rowOff>
    </xdr:from>
    <xdr:to>
      <xdr:col>17</xdr:col>
      <xdr:colOff>108857</xdr:colOff>
      <xdr:row>6</xdr:row>
      <xdr:rowOff>2176</xdr:rowOff>
    </xdr:to>
    <xdr:pic>
      <xdr:nvPicPr>
        <xdr:cNvPr id="85" name="Picture 84"/>
        <xdr:cNvPicPr>
          <a:picLocks noChangeAspect="1"/>
        </xdr:cNvPicPr>
      </xdr:nvPicPr>
      <xdr:blipFill>
        <a:blip xmlns:r="http://schemas.openxmlformats.org/officeDocument/2006/relationships" r:embed="rId19"/>
        <a:stretch>
          <a:fillRect/>
        </a:stretch>
      </xdr:blipFill>
      <xdr:spPr>
        <a:xfrm>
          <a:off x="9808029" y="441960"/>
          <a:ext cx="664028" cy="657496"/>
        </a:xfrm>
        <a:prstGeom prst="rect">
          <a:avLst/>
        </a:prstGeom>
        <a:effectLst>
          <a:outerShdw blurRad="736600" dist="50800" dir="5400000" sx="87000" sy="87000" algn="ctr" rotWithShape="0">
            <a:srgbClr val="000000">
              <a:alpha val="75000"/>
            </a:srgbClr>
          </a:outerShdw>
        </a:effectLst>
      </xdr:spPr>
    </xdr:pic>
    <xdr:clientData/>
  </xdr:twoCellAnchor>
  <xdr:twoCellAnchor editAs="oneCell">
    <xdr:from>
      <xdr:col>20</xdr:col>
      <xdr:colOff>402772</xdr:colOff>
      <xdr:row>3</xdr:row>
      <xdr:rowOff>10886</xdr:rowOff>
    </xdr:from>
    <xdr:to>
      <xdr:col>21</xdr:col>
      <xdr:colOff>304800</xdr:colOff>
      <xdr:row>5</xdr:row>
      <xdr:rowOff>152399</xdr:rowOff>
    </xdr:to>
    <xdr:pic>
      <xdr:nvPicPr>
        <xdr:cNvPr id="86" name="Picture 85"/>
        <xdr:cNvPicPr>
          <a:picLocks noChangeAspect="1"/>
        </xdr:cNvPicPr>
      </xdr:nvPicPr>
      <xdr:blipFill>
        <a:blip xmlns:r="http://schemas.openxmlformats.org/officeDocument/2006/relationships" r:embed="rId20"/>
        <a:stretch>
          <a:fillRect/>
        </a:stretch>
      </xdr:blipFill>
      <xdr:spPr>
        <a:xfrm>
          <a:off x="12594772" y="559526"/>
          <a:ext cx="511628" cy="507273"/>
        </a:xfrm>
        <a:prstGeom prst="rect">
          <a:avLst/>
        </a:prstGeom>
        <a:effectLst>
          <a:outerShdw blurRad="685800" dist="50800" dir="5400000" sx="39000" sy="39000" algn="ctr" rotWithShape="0">
            <a:srgbClr val="000000">
              <a:alpha val="19000"/>
            </a:srgbClr>
          </a:outerShdw>
        </a:effectLst>
      </xdr:spPr>
    </xdr:pic>
    <xdr:clientData/>
  </xdr:twoCellAnchor>
  <xdr:twoCellAnchor editAs="oneCell">
    <xdr:from>
      <xdr:col>24</xdr:col>
      <xdr:colOff>544286</xdr:colOff>
      <xdr:row>13</xdr:row>
      <xdr:rowOff>43543</xdr:rowOff>
    </xdr:from>
    <xdr:to>
      <xdr:col>25</xdr:col>
      <xdr:colOff>250372</xdr:colOff>
      <xdr:row>14</xdr:row>
      <xdr:rowOff>174172</xdr:rowOff>
    </xdr:to>
    <xdr:pic>
      <xdr:nvPicPr>
        <xdr:cNvPr id="87" name="Picture 86"/>
        <xdr:cNvPicPr>
          <a:picLocks noChangeAspect="1"/>
        </xdr:cNvPicPr>
      </xdr:nvPicPr>
      <xdr:blipFill>
        <a:blip xmlns:r="http://schemas.openxmlformats.org/officeDocument/2006/relationships" r:embed="rId21"/>
        <a:stretch>
          <a:fillRect/>
        </a:stretch>
      </xdr:blipFill>
      <xdr:spPr>
        <a:xfrm>
          <a:off x="15174686" y="2420983"/>
          <a:ext cx="315686" cy="313509"/>
        </a:xfrm>
        <a:prstGeom prst="rect">
          <a:avLst/>
        </a:prstGeom>
        <a:effectLst>
          <a:outerShdw blurRad="1270000" dist="50800" dir="9240000" sx="1000" sy="1000" algn="ctr" rotWithShape="0">
            <a:srgbClr val="000000">
              <a:alpha val="66000"/>
            </a:srgbClr>
          </a:outerShdw>
        </a:effectLst>
      </xdr:spPr>
    </xdr:pic>
    <xdr:clientData/>
  </xdr:twoCellAnchor>
  <xdr:twoCellAnchor>
    <xdr:from>
      <xdr:col>0</xdr:col>
      <xdr:colOff>279041</xdr:colOff>
      <xdr:row>15</xdr:row>
      <xdr:rowOff>64395</xdr:rowOff>
    </xdr:from>
    <xdr:to>
      <xdr:col>6</xdr:col>
      <xdr:colOff>343436</xdr:colOff>
      <xdr:row>25</xdr:row>
      <xdr:rowOff>107323</xdr:rowOff>
    </xdr:to>
    <mc:AlternateContent xmlns:mc="http://schemas.openxmlformats.org/markup-compatibility/2006">
      <mc:Choice xmlns:cx="http://schemas.microsoft.com/office/drawing/2014/chartex" Requires="cx">
        <xdr:graphicFrame macro="">
          <xdr:nvGraphicFramePr>
            <xdr:cNvPr id="90" name="Chart 89"/>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22"/>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145046</xdr:colOff>
      <xdr:row>27</xdr:row>
      <xdr:rowOff>22746</xdr:rowOff>
    </xdr:from>
    <xdr:to>
      <xdr:col>6</xdr:col>
      <xdr:colOff>545382</xdr:colOff>
      <xdr:row>40</xdr:row>
      <xdr:rowOff>90985</xdr:rowOff>
    </xdr:to>
    <xdr:grpSp>
      <xdr:nvGrpSpPr>
        <xdr:cNvPr id="46" name="Group 45"/>
        <xdr:cNvGrpSpPr/>
      </xdr:nvGrpSpPr>
      <xdr:grpSpPr>
        <a:xfrm>
          <a:off x="145046" y="5095787"/>
          <a:ext cx="4032884" cy="2510814"/>
          <a:chOff x="113731" y="5095787"/>
          <a:chExt cx="4032884" cy="2510814"/>
        </a:xfrm>
      </xdr:grpSpPr>
      <xdr:grpSp>
        <xdr:nvGrpSpPr>
          <xdr:cNvPr id="56" name="Group 55"/>
          <xdr:cNvGrpSpPr/>
        </xdr:nvGrpSpPr>
        <xdr:grpSpPr>
          <a:xfrm>
            <a:off x="113731" y="5095787"/>
            <a:ext cx="4032884" cy="2510814"/>
            <a:chOff x="125506" y="4600145"/>
            <a:chExt cx="3999928" cy="2241805"/>
          </a:xfrm>
        </xdr:grpSpPr>
        <xdr:sp macro="" textlink="">
          <xdr:nvSpPr>
            <xdr:cNvPr id="57" name="Rounded Rectangle 56"/>
            <xdr:cNvSpPr/>
          </xdr:nvSpPr>
          <xdr:spPr>
            <a:xfrm>
              <a:off x="125506" y="4600145"/>
              <a:ext cx="3999928" cy="2241805"/>
            </a:xfrm>
            <a:prstGeom prst="roundRect">
              <a:avLst/>
            </a:prstGeom>
            <a:gradFill>
              <a:gsLst>
                <a:gs pos="82000">
                  <a:schemeClr val="tx2">
                    <a:lumMod val="50000"/>
                  </a:schemeClr>
                </a:gs>
                <a:gs pos="0">
                  <a:schemeClr val="tx2">
                    <a:lumMod val="40000"/>
                    <a:lumOff val="60000"/>
                    <a:alpha val="4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9" name="Rounded Rectangle 58"/>
            <xdr:cNvSpPr/>
          </xdr:nvSpPr>
          <xdr:spPr>
            <a:xfrm>
              <a:off x="344093" y="4700828"/>
              <a:ext cx="2613128" cy="247030"/>
            </a:xfrm>
            <a:prstGeom prst="roundRect">
              <a:avLst/>
            </a:prstGeom>
            <a:gradFill>
              <a:gsLst>
                <a:gs pos="0">
                  <a:schemeClr val="tx2">
                    <a:lumMod val="40000"/>
                    <a:lumOff val="60000"/>
                    <a:alpha val="71000"/>
                  </a:schemeClr>
                </a:gs>
                <a:gs pos="78000">
                  <a:schemeClr val="tx2">
                    <a:lumMod val="7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AVG</a:t>
              </a:r>
              <a:r>
                <a:rPr lang="en-IN" sz="1200" b="1" baseline="0"/>
                <a:t> SHIPPING DAYS BY COUNTRY</a:t>
              </a:r>
              <a:endParaRPr lang="en-IN" sz="1200" b="1"/>
            </a:p>
          </xdr:txBody>
        </xdr:sp>
      </xdr:grpSp>
      <xdr:graphicFrame macro="">
        <xdr:nvGraphicFramePr>
          <xdr:cNvPr id="91" name="Chart 90"/>
          <xdr:cNvGraphicFramePr>
            <a:graphicFrameLocks/>
          </xdr:cNvGraphicFramePr>
        </xdr:nvGraphicFramePr>
        <xdr:xfrm>
          <a:off x="300507" y="5545414"/>
          <a:ext cx="3696942" cy="2023863"/>
        </xdr:xfrm>
        <a:graphic>
          <a:graphicData uri="http://schemas.openxmlformats.org/drawingml/2006/chart">
            <c:chart xmlns:c="http://schemas.openxmlformats.org/drawingml/2006/chart" xmlns:r="http://schemas.openxmlformats.org/officeDocument/2006/relationships" r:id="rId23"/>
          </a:graphicData>
        </a:graphic>
      </xdr:graphicFrame>
    </xdr:grpSp>
    <xdr:clientData/>
  </xdr:twoCellAnchor>
  <xdr:twoCellAnchor>
    <xdr:from>
      <xdr:col>14</xdr:col>
      <xdr:colOff>525888</xdr:colOff>
      <xdr:row>29</xdr:row>
      <xdr:rowOff>21466</xdr:rowOff>
    </xdr:from>
    <xdr:to>
      <xdr:col>21</xdr:col>
      <xdr:colOff>214649</xdr:colOff>
      <xdr:row>40</xdr:row>
      <xdr:rowOff>53662</xdr:rowOff>
    </xdr:to>
    <xdr:graphicFrame macro="">
      <xdr:nvGraphicFramePr>
        <xdr:cNvPr id="92" name="Chart 9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14</xdr:col>
      <xdr:colOff>407832</xdr:colOff>
      <xdr:row>15</xdr:row>
      <xdr:rowOff>75127</xdr:rowOff>
    </xdr:from>
    <xdr:to>
      <xdr:col>21</xdr:col>
      <xdr:colOff>264252</xdr:colOff>
      <xdr:row>25</xdr:row>
      <xdr:rowOff>107323</xdr:rowOff>
    </xdr:to>
    <xdr:graphicFrame macro="">
      <xdr:nvGraphicFramePr>
        <xdr:cNvPr id="93" name="Chart 9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7</xdr:col>
      <xdr:colOff>75127</xdr:colOff>
      <xdr:row>15</xdr:row>
      <xdr:rowOff>150253</xdr:rowOff>
    </xdr:from>
    <xdr:to>
      <xdr:col>14</xdr:col>
      <xdr:colOff>42929</xdr:colOff>
      <xdr:row>26</xdr:row>
      <xdr:rowOff>10732</xdr:rowOff>
    </xdr:to>
    <xdr:graphicFrame macro="">
      <xdr:nvGraphicFramePr>
        <xdr:cNvPr id="94" name="Chart 9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editAs="oneCell">
    <xdr:from>
      <xdr:col>21</xdr:col>
      <xdr:colOff>450761</xdr:colOff>
      <xdr:row>27</xdr:row>
      <xdr:rowOff>75127</xdr:rowOff>
    </xdr:from>
    <xdr:to>
      <xdr:col>23</xdr:col>
      <xdr:colOff>461493</xdr:colOff>
      <xdr:row>39</xdr:row>
      <xdr:rowOff>92634</xdr:rowOff>
    </xdr:to>
    <mc:AlternateContent xmlns:mc="http://schemas.openxmlformats.org/markup-compatibility/2006" xmlns:a14="http://schemas.microsoft.com/office/drawing/2010/main">
      <mc:Choice Requires="a14">
        <xdr:graphicFrame macro="">
          <xdr:nvGraphicFramePr>
            <xdr:cNvPr id="105" name="Country 1"/>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3297437" y="5001296"/>
              <a:ext cx="1234225" cy="22069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498681</xdr:colOff>
      <xdr:row>15</xdr:row>
      <xdr:rowOff>98513</xdr:rowOff>
    </xdr:from>
    <xdr:to>
      <xdr:col>26</xdr:col>
      <xdr:colOff>307183</xdr:colOff>
      <xdr:row>25</xdr:row>
      <xdr:rowOff>41008</xdr:rowOff>
    </xdr:to>
    <mc:AlternateContent xmlns:mc="http://schemas.openxmlformats.org/markup-compatibility/2006" xmlns:a14="http://schemas.microsoft.com/office/drawing/2010/main">
      <mc:Choice Requires="a14">
        <xdr:graphicFrame macro="">
          <xdr:nvGraphicFramePr>
            <xdr:cNvPr id="113" name="ProductCategory 7"/>
            <xdr:cNvGraphicFramePr/>
          </xdr:nvGraphicFramePr>
          <xdr:xfrm>
            <a:off x="0" y="0"/>
            <a:ext cx="0" cy="0"/>
          </xdr:xfrm>
          <a:graphic>
            <a:graphicData uri="http://schemas.microsoft.com/office/drawing/2010/slicer">
              <sle:slicer xmlns:sle="http://schemas.microsoft.com/office/drawing/2010/slicer" name="ProductCategory 7"/>
            </a:graphicData>
          </a:graphic>
        </xdr:graphicFrame>
      </mc:Choice>
      <mc:Fallback xmlns="">
        <xdr:sp macro="" textlink="">
          <xdr:nvSpPr>
            <xdr:cNvPr id="0" name=""/>
            <xdr:cNvSpPr>
              <a:spLocks noTextEdit="1"/>
            </xdr:cNvSpPr>
          </xdr:nvSpPr>
          <xdr:spPr>
            <a:xfrm>
              <a:off x="14568850" y="2835274"/>
              <a:ext cx="1643741" cy="17670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440027</xdr:colOff>
      <xdr:row>21</xdr:row>
      <xdr:rowOff>1068</xdr:rowOff>
    </xdr:from>
    <xdr:to>
      <xdr:col>23</xdr:col>
      <xdr:colOff>440027</xdr:colOff>
      <xdr:row>27</xdr:row>
      <xdr:rowOff>42929</xdr:rowOff>
    </xdr:to>
    <mc:AlternateContent xmlns:mc="http://schemas.openxmlformats.org/markup-compatibility/2006" xmlns:a14="http://schemas.microsoft.com/office/drawing/2010/main">
      <mc:Choice Requires="a14">
        <xdr:graphicFrame macro="">
          <xdr:nvGraphicFramePr>
            <xdr:cNvPr id="114" name="Channel 7"/>
            <xdr:cNvGraphicFramePr/>
          </xdr:nvGraphicFramePr>
          <xdr:xfrm>
            <a:off x="0" y="0"/>
            <a:ext cx="0" cy="0"/>
          </xdr:xfrm>
          <a:graphic>
            <a:graphicData uri="http://schemas.microsoft.com/office/drawing/2010/slicer">
              <sle:slicer xmlns:sle="http://schemas.microsoft.com/office/drawing/2010/slicer" name="Channel 7"/>
            </a:graphicData>
          </a:graphic>
        </xdr:graphicFrame>
      </mc:Choice>
      <mc:Fallback xmlns="">
        <xdr:sp macro="" textlink="">
          <xdr:nvSpPr>
            <xdr:cNvPr id="0" name=""/>
            <xdr:cNvSpPr>
              <a:spLocks noTextEdit="1"/>
            </xdr:cNvSpPr>
          </xdr:nvSpPr>
          <xdr:spPr>
            <a:xfrm>
              <a:off x="13286703" y="3832533"/>
              <a:ext cx="1223493" cy="11365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441986</xdr:colOff>
      <xdr:row>15</xdr:row>
      <xdr:rowOff>70357</xdr:rowOff>
    </xdr:from>
    <xdr:to>
      <xdr:col>23</xdr:col>
      <xdr:colOff>461492</xdr:colOff>
      <xdr:row>20</xdr:row>
      <xdr:rowOff>147997</xdr:rowOff>
    </xdr:to>
    <mc:AlternateContent xmlns:mc="http://schemas.openxmlformats.org/markup-compatibility/2006" xmlns:a14="http://schemas.microsoft.com/office/drawing/2010/main">
      <mc:Choice Requires="a14">
        <xdr:graphicFrame macro="">
          <xdr:nvGraphicFramePr>
            <xdr:cNvPr id="115" name="Year 7"/>
            <xdr:cNvGraphicFramePr/>
          </xdr:nvGraphicFramePr>
          <xdr:xfrm>
            <a:off x="0" y="0"/>
            <a:ext cx="0" cy="0"/>
          </xdr:xfrm>
          <a:graphic>
            <a:graphicData uri="http://schemas.microsoft.com/office/drawing/2010/slicer">
              <sle:slicer xmlns:sle="http://schemas.microsoft.com/office/drawing/2010/slicer" name="Year 7"/>
            </a:graphicData>
          </a:graphic>
        </xdr:graphicFrame>
      </mc:Choice>
      <mc:Fallback xmlns="">
        <xdr:sp macro="" textlink="">
          <xdr:nvSpPr>
            <xdr:cNvPr id="0" name=""/>
            <xdr:cNvSpPr>
              <a:spLocks noTextEdit="1"/>
            </xdr:cNvSpPr>
          </xdr:nvSpPr>
          <xdr:spPr>
            <a:xfrm>
              <a:off x="13288662" y="2807118"/>
              <a:ext cx="1242999" cy="9898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515155</xdr:colOff>
      <xdr:row>25</xdr:row>
      <xdr:rowOff>96590</xdr:rowOff>
    </xdr:from>
    <xdr:to>
      <xdr:col>26</xdr:col>
      <xdr:colOff>268309</xdr:colOff>
      <xdr:row>39</xdr:row>
      <xdr:rowOff>118056</xdr:rowOff>
    </xdr:to>
    <mc:AlternateContent xmlns:mc="http://schemas.openxmlformats.org/markup-compatibility/2006" xmlns:a14="http://schemas.microsoft.com/office/drawing/2010/main">
      <mc:Choice Requires="a14">
        <xdr:graphicFrame macro="">
          <xdr:nvGraphicFramePr>
            <xdr:cNvPr id="116" name="month 6"/>
            <xdr:cNvGraphicFramePr/>
          </xdr:nvGraphicFramePr>
          <xdr:xfrm>
            <a:off x="0" y="0"/>
            <a:ext cx="0" cy="0"/>
          </xdr:xfrm>
          <a:graphic>
            <a:graphicData uri="http://schemas.microsoft.com/office/drawing/2010/slicer">
              <sle:slicer xmlns:sle="http://schemas.microsoft.com/office/drawing/2010/slicer" name="month 6"/>
            </a:graphicData>
          </a:graphic>
        </xdr:graphicFrame>
      </mc:Choice>
      <mc:Fallback xmlns="">
        <xdr:sp macro="" textlink="">
          <xdr:nvSpPr>
            <xdr:cNvPr id="0" name=""/>
            <xdr:cNvSpPr>
              <a:spLocks noTextEdit="1"/>
            </xdr:cNvSpPr>
          </xdr:nvSpPr>
          <xdr:spPr>
            <a:xfrm>
              <a:off x="14585324" y="4657858"/>
              <a:ext cx="1588393" cy="2575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198329</xdr:colOff>
      <xdr:row>29</xdr:row>
      <xdr:rowOff>0</xdr:rowOff>
    </xdr:from>
    <xdr:to>
      <xdr:col>14</xdr:col>
      <xdr:colOff>177452</xdr:colOff>
      <xdr:row>40</xdr:row>
      <xdr:rowOff>104383</xdr:rowOff>
    </xdr:to>
    <xdr:graphicFrame macro="">
      <xdr:nvGraphicFramePr>
        <xdr:cNvPr id="88" name="Chart 8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10886</xdr:colOff>
      <xdr:row>0</xdr:row>
      <xdr:rowOff>0</xdr:rowOff>
    </xdr:from>
    <xdr:to>
      <xdr:col>26</xdr:col>
      <xdr:colOff>522677</xdr:colOff>
      <xdr:row>41</xdr:row>
      <xdr:rowOff>43543</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6" y="0"/>
          <a:ext cx="16361391" cy="7541623"/>
        </a:xfrm>
        <a:prstGeom prst="rect">
          <a:avLst/>
        </a:prstGeom>
      </xdr:spPr>
    </xdr:pic>
    <xdr:clientData/>
  </xdr:twoCellAnchor>
  <xdr:twoCellAnchor>
    <xdr:from>
      <xdr:col>0</xdr:col>
      <xdr:colOff>79337</xdr:colOff>
      <xdr:row>0</xdr:row>
      <xdr:rowOff>68580</xdr:rowOff>
    </xdr:from>
    <xdr:to>
      <xdr:col>21</xdr:col>
      <xdr:colOff>286870</xdr:colOff>
      <xdr:row>2</xdr:row>
      <xdr:rowOff>106680</xdr:rowOff>
    </xdr:to>
    <xdr:sp macro="" textlink="">
      <xdr:nvSpPr>
        <xdr:cNvPr id="3" name="Rounded Rectangle 2"/>
        <xdr:cNvSpPr/>
      </xdr:nvSpPr>
      <xdr:spPr>
        <a:xfrm>
          <a:off x="79337" y="68580"/>
          <a:ext cx="13009133" cy="403860"/>
        </a:xfrm>
        <a:prstGeom prst="round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latin typeface="Arial Black" panose="020B0A04020102020204" pitchFamily="34" charset="0"/>
            </a:rPr>
            <a:t>E-COMMERCE SALES ANALYSIS DASHBOARD-CITY</a:t>
          </a:r>
          <a:r>
            <a:rPr lang="en-IN" sz="1600" b="1" baseline="0">
              <a:latin typeface="Arial Black" panose="020B0A04020102020204" pitchFamily="34" charset="0"/>
            </a:rPr>
            <a:t> BASED</a:t>
          </a:r>
          <a:endParaRPr lang="en-IN" sz="1600" b="1">
            <a:latin typeface="Arial Black" panose="020B0A04020102020204" pitchFamily="34" charset="0"/>
          </a:endParaRPr>
        </a:p>
      </xdr:txBody>
    </xdr:sp>
    <xdr:clientData/>
  </xdr:twoCellAnchor>
  <xdr:twoCellAnchor>
    <xdr:from>
      <xdr:col>0</xdr:col>
      <xdr:colOff>109369</xdr:colOff>
      <xdr:row>3</xdr:row>
      <xdr:rowOff>26894</xdr:rowOff>
    </xdr:from>
    <xdr:to>
      <xdr:col>4</xdr:col>
      <xdr:colOff>125505</xdr:colOff>
      <xdr:row>12</xdr:row>
      <xdr:rowOff>113731</xdr:rowOff>
    </xdr:to>
    <xdr:grpSp>
      <xdr:nvGrpSpPr>
        <xdr:cNvPr id="4" name="Group 3"/>
        <xdr:cNvGrpSpPr/>
      </xdr:nvGrpSpPr>
      <xdr:grpSpPr>
        <a:xfrm>
          <a:off x="109369" y="575534"/>
          <a:ext cx="2454536" cy="1732757"/>
          <a:chOff x="60960" y="556260"/>
          <a:chExt cx="2186940" cy="1600200"/>
        </a:xfrm>
      </xdr:grpSpPr>
      <xdr:grpSp>
        <xdr:nvGrpSpPr>
          <xdr:cNvPr id="5" name="Group 4"/>
          <xdr:cNvGrpSpPr/>
        </xdr:nvGrpSpPr>
        <xdr:grpSpPr>
          <a:xfrm>
            <a:off x="60960" y="556260"/>
            <a:ext cx="2186940" cy="1600200"/>
            <a:chOff x="60960" y="556260"/>
            <a:chExt cx="1973580" cy="1600200"/>
          </a:xfrm>
        </xdr:grpSpPr>
        <xdr:sp macro="" textlink="">
          <xdr:nvSpPr>
            <xdr:cNvPr id="8" name="Rounded Rectangle 7"/>
            <xdr:cNvSpPr/>
          </xdr:nvSpPr>
          <xdr:spPr>
            <a:xfrm>
              <a:off x="68580" y="556260"/>
              <a:ext cx="1965960" cy="426720"/>
            </a:xfrm>
            <a:prstGeom prst="roundRect">
              <a:avLst/>
            </a:prstGeom>
            <a:gradFill>
              <a:gsLst>
                <a:gs pos="0">
                  <a:schemeClr val="tx2">
                    <a:lumMod val="40000"/>
                    <a:lumOff val="60000"/>
                  </a:schemeClr>
                </a:gs>
                <a:gs pos="100000">
                  <a:schemeClr val="tx2">
                    <a:lumMod val="7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SALES</a:t>
              </a:r>
            </a:p>
          </xdr:txBody>
        </xdr:sp>
        <xdr:sp macro="" textlink="">
          <xdr:nvSpPr>
            <xdr:cNvPr id="9" name="Rounded Rectangle 8"/>
            <xdr:cNvSpPr/>
          </xdr:nvSpPr>
          <xdr:spPr>
            <a:xfrm>
              <a:off x="60960" y="1036320"/>
              <a:ext cx="1965960" cy="112014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s!B15">
          <xdr:nvSpPr>
            <xdr:cNvPr id="10" name="Rounded Rectangle 9"/>
            <xdr:cNvSpPr/>
          </xdr:nvSpPr>
          <xdr:spPr>
            <a:xfrm>
              <a:off x="106680" y="1089660"/>
              <a:ext cx="1905000" cy="33528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9741221-C848-47A9-8DD3-57AF61E66794}" type="TxLink">
                <a:rPr lang="en-US" sz="1400" b="1" i="0" u="none" strike="noStrike">
                  <a:solidFill>
                    <a:srgbClr val="000000"/>
                  </a:solidFill>
                  <a:latin typeface="Calibri"/>
                  <a:ea typeface="Calibri"/>
                  <a:cs typeface="Calibri"/>
                </a:rPr>
                <a:pPr algn="ctr"/>
                <a:t> $15,27,452.48 </a:t>
              </a:fld>
              <a:endParaRPr lang="en-IN" sz="1400" b="1"/>
            </a:p>
          </xdr:txBody>
        </xdr:sp>
        <xdr:sp macro="" textlink="">
          <xdr:nvSpPr>
            <xdr:cNvPr id="11" name="Rounded Rectangle 10"/>
            <xdr:cNvSpPr/>
          </xdr:nvSpPr>
          <xdr:spPr>
            <a:xfrm>
              <a:off x="121920" y="1775460"/>
              <a:ext cx="1905000" cy="33528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u="none" strike="noStrike">
                  <a:solidFill>
                    <a:srgbClr val="000000"/>
                  </a:solidFill>
                  <a:latin typeface="Calibri"/>
                  <a:ea typeface="Calibri"/>
                  <a:cs typeface="Calibri"/>
                </a:rPr>
                <a:t>YOY GROWTH</a:t>
              </a:r>
            </a:p>
          </xdr:txBody>
        </xdr:sp>
      </xdr:grpSp>
      <xdr:graphicFrame macro="">
        <xdr:nvGraphicFramePr>
          <xdr:cNvPr id="6" name="Chart 5"/>
          <xdr:cNvGraphicFramePr>
            <a:graphicFrameLocks/>
          </xdr:cNvGraphicFramePr>
        </xdr:nvGraphicFramePr>
        <xdr:xfrm>
          <a:off x="274321" y="1417320"/>
          <a:ext cx="1562100" cy="426720"/>
        </xdr:xfrm>
        <a:graphic>
          <a:graphicData uri="http://schemas.openxmlformats.org/drawingml/2006/chart">
            <c:chart xmlns:c="http://schemas.openxmlformats.org/drawingml/2006/chart" xmlns:r="http://schemas.openxmlformats.org/officeDocument/2006/relationships" r:id="rId2"/>
          </a:graphicData>
        </a:graphic>
      </xdr:graphicFrame>
      <mc:AlternateContent xmlns:mc="http://schemas.openxmlformats.org/markup-compatibility/2006" xmlns:a14="http://schemas.microsoft.com/office/drawing/2010/main">
        <mc:Choice Requires="a14">
          <xdr:pic>
            <xdr:nvPicPr>
              <xdr:cNvPr id="7" name="Picture 6"/>
              <xdr:cNvPicPr>
                <a:picLocks noChangeAspect="1" noChangeArrowheads="1"/>
                <a:extLst>
                  <a:ext uri="{84589F7E-364E-4C9E-8A38-B11213B215E9}">
                    <a14:cameraTool cellRange="'yoy growth'!$K$8" spid="_x0000_s8593"/>
                  </a:ext>
                </a:extLst>
              </xdr:cNvPicPr>
            </xdr:nvPicPr>
            <xdr:blipFill>
              <a:blip xmlns:r="http://schemas.openxmlformats.org/officeDocument/2006/relationships" r:embed="rId3"/>
              <a:srcRect/>
              <a:stretch>
                <a:fillRect/>
              </a:stretch>
            </xdr:blipFill>
            <xdr:spPr bwMode="auto">
              <a:xfrm>
                <a:off x="1394460" y="1813560"/>
                <a:ext cx="739648" cy="213360"/>
              </a:xfrm>
              <a:prstGeom prst="rect">
                <a:avLst/>
              </a:prstGeom>
              <a:gradFill>
                <a:gsLst>
                  <a:gs pos="0">
                    <a:schemeClr val="tx2">
                      <a:lumMod val="40000"/>
                      <a:lumOff val="60000"/>
                    </a:schemeClr>
                  </a:gs>
                  <a:gs pos="43000">
                    <a:schemeClr val="accent1">
                      <a:lumMod val="50000"/>
                    </a:schemeClr>
                  </a:gs>
                </a:gsLst>
                <a:lin ang="5400000" scaled="1"/>
              </a:gradFill>
            </xdr:spPr>
          </xdr:pic>
        </mc:Choice>
        <mc:Fallback xmlns=""/>
      </mc:AlternateContent>
    </xdr:grpSp>
    <xdr:clientData/>
  </xdr:twoCellAnchor>
  <xdr:twoCellAnchor>
    <xdr:from>
      <xdr:col>8</xdr:col>
      <xdr:colOff>310628</xdr:colOff>
      <xdr:row>3</xdr:row>
      <xdr:rowOff>17930</xdr:rowOff>
    </xdr:from>
    <xdr:to>
      <xdr:col>12</xdr:col>
      <xdr:colOff>457200</xdr:colOff>
      <xdr:row>12</xdr:row>
      <xdr:rowOff>159224</xdr:rowOff>
    </xdr:to>
    <xdr:grpSp>
      <xdr:nvGrpSpPr>
        <xdr:cNvPr id="12" name="Group 11"/>
        <xdr:cNvGrpSpPr/>
      </xdr:nvGrpSpPr>
      <xdr:grpSpPr>
        <a:xfrm>
          <a:off x="5187428" y="566570"/>
          <a:ext cx="2584972" cy="1787214"/>
          <a:chOff x="4640580" y="548640"/>
          <a:chExt cx="2186940" cy="1600200"/>
        </a:xfrm>
      </xdr:grpSpPr>
      <xdr:grpSp>
        <xdr:nvGrpSpPr>
          <xdr:cNvPr id="13" name="Group 12"/>
          <xdr:cNvGrpSpPr/>
        </xdr:nvGrpSpPr>
        <xdr:grpSpPr>
          <a:xfrm>
            <a:off x="4640580" y="548640"/>
            <a:ext cx="2186940" cy="1600200"/>
            <a:chOff x="60960" y="556260"/>
            <a:chExt cx="1973580" cy="1600200"/>
          </a:xfrm>
        </xdr:grpSpPr>
        <xdr:sp macro="" textlink="">
          <xdr:nvSpPr>
            <xdr:cNvPr id="16" name="Rounded Rectangle 15"/>
            <xdr:cNvSpPr/>
          </xdr:nvSpPr>
          <xdr:spPr>
            <a:xfrm>
              <a:off x="68580" y="556260"/>
              <a:ext cx="1965960" cy="426720"/>
            </a:xfrm>
            <a:prstGeom prst="roundRect">
              <a:avLst/>
            </a:prstGeom>
            <a:gradFill>
              <a:gsLst>
                <a:gs pos="0">
                  <a:schemeClr val="tx2">
                    <a:lumMod val="40000"/>
                    <a:lumOff val="60000"/>
                  </a:schemeClr>
                </a:gs>
                <a:gs pos="100000">
                  <a:schemeClr val="tx2">
                    <a:lumMod val="7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PROFIT</a:t>
              </a:r>
            </a:p>
          </xdr:txBody>
        </xdr:sp>
        <xdr:sp macro="" textlink="">
          <xdr:nvSpPr>
            <xdr:cNvPr id="17" name="Rounded Rectangle 16"/>
            <xdr:cNvSpPr/>
          </xdr:nvSpPr>
          <xdr:spPr>
            <a:xfrm>
              <a:off x="60960" y="1036320"/>
              <a:ext cx="1965960" cy="112014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s!H15">
          <xdr:nvSpPr>
            <xdr:cNvPr id="18" name="Rounded Rectangle 17"/>
            <xdr:cNvSpPr/>
          </xdr:nvSpPr>
          <xdr:spPr>
            <a:xfrm>
              <a:off x="106680" y="1089660"/>
              <a:ext cx="1905000" cy="33528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ADEEC3E-7B75-4AB5-9580-1A9E2CB42428}" type="TxLink">
                <a:rPr lang="en-US" sz="1400" b="1" i="0" u="none" strike="noStrike">
                  <a:solidFill>
                    <a:srgbClr val="000000"/>
                  </a:solidFill>
                  <a:latin typeface="Calibri"/>
                  <a:ea typeface="Calibri"/>
                  <a:cs typeface="Calibri"/>
                </a:rPr>
                <a:pPr algn="ctr"/>
                <a:t># 2963</a:t>
              </a:fld>
              <a:endParaRPr lang="en-IN" sz="1400" b="1"/>
            </a:p>
          </xdr:txBody>
        </xdr:sp>
        <xdr:sp macro="" textlink="">
          <xdr:nvSpPr>
            <xdr:cNvPr id="19" name="Rounded Rectangle 18"/>
            <xdr:cNvSpPr/>
          </xdr:nvSpPr>
          <xdr:spPr>
            <a:xfrm>
              <a:off x="121920" y="1775460"/>
              <a:ext cx="1905000" cy="33528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u="none" strike="noStrike">
                  <a:solidFill>
                    <a:srgbClr val="000000"/>
                  </a:solidFill>
                  <a:latin typeface="Calibri"/>
                  <a:ea typeface="Calibri"/>
                  <a:cs typeface="Calibri"/>
                </a:rPr>
                <a:t>YOY GROWTH</a:t>
              </a:r>
            </a:p>
          </xdr:txBody>
        </xdr:sp>
      </xdr:grpSp>
      <mc:AlternateContent xmlns:mc="http://schemas.openxmlformats.org/markup-compatibility/2006" xmlns:a14="http://schemas.microsoft.com/office/drawing/2010/main">
        <mc:Choice Requires="a14">
          <xdr:pic>
            <xdr:nvPicPr>
              <xdr:cNvPr id="14" name="Picture 13"/>
              <xdr:cNvPicPr>
                <a:picLocks noChangeAspect="1" noChangeArrowheads="1"/>
                <a:extLst>
                  <a:ext uri="{84589F7E-364E-4C9E-8A38-B11213B215E9}">
                    <a14:cameraTool cellRange="'yoy growth'!$M$8" spid="_x0000_s8594"/>
                  </a:ext>
                </a:extLst>
              </xdr:cNvPicPr>
            </xdr:nvPicPr>
            <xdr:blipFill>
              <a:blip xmlns:r="http://schemas.openxmlformats.org/officeDocument/2006/relationships" r:embed="rId4"/>
              <a:srcRect/>
              <a:stretch>
                <a:fillRect/>
              </a:stretch>
            </xdr:blipFill>
            <xdr:spPr bwMode="auto">
              <a:xfrm>
                <a:off x="6027420" y="1828800"/>
                <a:ext cx="716280" cy="228600"/>
              </a:xfrm>
              <a:prstGeom prst="rect">
                <a:avLst/>
              </a:prstGeom>
              <a:gradFill>
                <a:gsLst>
                  <a:gs pos="0">
                    <a:schemeClr val="tx2">
                      <a:lumMod val="40000"/>
                      <a:lumOff val="60000"/>
                    </a:schemeClr>
                  </a:gs>
                  <a:gs pos="43000">
                    <a:schemeClr val="accent1">
                      <a:lumMod val="50000"/>
                    </a:schemeClr>
                  </a:gs>
                </a:gsLst>
                <a:lin ang="5400000" scaled="1"/>
              </a:gradFill>
            </xdr:spPr>
          </xdr:pic>
        </mc:Choice>
        <mc:Fallback xmlns=""/>
      </mc:AlternateContent>
      <xdr:graphicFrame macro="">
        <xdr:nvGraphicFramePr>
          <xdr:cNvPr id="15" name="Chart 14"/>
          <xdr:cNvGraphicFramePr>
            <a:graphicFrameLocks/>
          </xdr:cNvGraphicFramePr>
        </xdr:nvGraphicFramePr>
        <xdr:xfrm>
          <a:off x="5074920" y="1386840"/>
          <a:ext cx="1348740" cy="411479"/>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13</xdr:col>
      <xdr:colOff>9862</xdr:colOff>
      <xdr:row>2</xdr:row>
      <xdr:rowOff>176603</xdr:rowOff>
    </xdr:from>
    <xdr:to>
      <xdr:col>17</xdr:col>
      <xdr:colOff>26895</xdr:colOff>
      <xdr:row>12</xdr:row>
      <xdr:rowOff>147851</xdr:rowOff>
    </xdr:to>
    <xdr:grpSp>
      <xdr:nvGrpSpPr>
        <xdr:cNvPr id="20" name="Group 19"/>
        <xdr:cNvGrpSpPr/>
      </xdr:nvGrpSpPr>
      <xdr:grpSpPr>
        <a:xfrm>
          <a:off x="7934662" y="542363"/>
          <a:ext cx="2455433" cy="1800048"/>
          <a:chOff x="6903720" y="525780"/>
          <a:chExt cx="2186940" cy="1600200"/>
        </a:xfrm>
      </xdr:grpSpPr>
      <xdr:grpSp>
        <xdr:nvGrpSpPr>
          <xdr:cNvPr id="21" name="Group 20"/>
          <xdr:cNvGrpSpPr/>
        </xdr:nvGrpSpPr>
        <xdr:grpSpPr>
          <a:xfrm>
            <a:off x="6903720" y="525780"/>
            <a:ext cx="2186940" cy="1600200"/>
            <a:chOff x="60960" y="556260"/>
            <a:chExt cx="1973580" cy="1600200"/>
          </a:xfrm>
        </xdr:grpSpPr>
        <xdr:sp macro="" textlink="">
          <xdr:nvSpPr>
            <xdr:cNvPr id="24" name="Rounded Rectangle 23"/>
            <xdr:cNvSpPr/>
          </xdr:nvSpPr>
          <xdr:spPr>
            <a:xfrm>
              <a:off x="68580" y="556260"/>
              <a:ext cx="1965960" cy="426720"/>
            </a:xfrm>
            <a:prstGeom prst="roundRect">
              <a:avLst/>
            </a:prstGeom>
            <a:gradFill>
              <a:gsLst>
                <a:gs pos="0">
                  <a:schemeClr val="tx2">
                    <a:lumMod val="40000"/>
                    <a:lumOff val="60000"/>
                  </a:schemeClr>
                </a:gs>
                <a:gs pos="100000">
                  <a:schemeClr val="tx2">
                    <a:lumMod val="7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NO.</a:t>
              </a:r>
              <a:r>
                <a:rPr lang="en-IN" sz="1400" b="1" baseline="0"/>
                <a:t> OF ORDERS</a:t>
              </a:r>
              <a:endParaRPr lang="en-IN" sz="1400" b="1"/>
            </a:p>
          </xdr:txBody>
        </xdr:sp>
        <xdr:sp macro="" textlink="">
          <xdr:nvSpPr>
            <xdr:cNvPr id="25" name="Rounded Rectangle 24"/>
            <xdr:cNvSpPr/>
          </xdr:nvSpPr>
          <xdr:spPr>
            <a:xfrm>
              <a:off x="60960" y="1036320"/>
              <a:ext cx="1965960" cy="112014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s!K15">
          <xdr:nvSpPr>
            <xdr:cNvPr id="26" name="Rounded Rectangle 25"/>
            <xdr:cNvSpPr/>
          </xdr:nvSpPr>
          <xdr:spPr>
            <a:xfrm>
              <a:off x="106680" y="1089660"/>
              <a:ext cx="1905000" cy="33528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C86C246-F140-44DD-97CF-23B9E9270B9F}" type="TxLink">
                <a:rPr lang="en-US" sz="1400" b="1" i="0" u="none" strike="noStrike">
                  <a:solidFill>
                    <a:srgbClr val="000000"/>
                  </a:solidFill>
                  <a:latin typeface="Calibri"/>
                  <a:ea typeface="Calibri"/>
                  <a:cs typeface="Calibri"/>
                </a:rPr>
                <a:pPr algn="ctr"/>
                <a:t># 1000</a:t>
              </a:fld>
              <a:endParaRPr lang="en-IN" sz="1400" b="1"/>
            </a:p>
          </xdr:txBody>
        </xdr:sp>
        <xdr:sp macro="" textlink="">
          <xdr:nvSpPr>
            <xdr:cNvPr id="27" name="Rounded Rectangle 26"/>
            <xdr:cNvSpPr/>
          </xdr:nvSpPr>
          <xdr:spPr>
            <a:xfrm>
              <a:off x="121920" y="1775460"/>
              <a:ext cx="1905000" cy="33528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u="none" strike="noStrike">
                  <a:solidFill>
                    <a:srgbClr val="000000"/>
                  </a:solidFill>
                  <a:latin typeface="Calibri"/>
                  <a:ea typeface="Calibri"/>
                  <a:cs typeface="Calibri"/>
                </a:rPr>
                <a:t>YOY GROWTH</a:t>
              </a:r>
            </a:p>
          </xdr:txBody>
        </xdr:sp>
      </xdr:grpSp>
      <mc:AlternateContent xmlns:mc="http://schemas.openxmlformats.org/markup-compatibility/2006" xmlns:a14="http://schemas.microsoft.com/office/drawing/2010/main">
        <mc:Choice Requires="a14">
          <xdr:pic>
            <xdr:nvPicPr>
              <xdr:cNvPr id="22" name="Picture 21"/>
              <xdr:cNvPicPr>
                <a:picLocks noChangeAspect="1" noChangeArrowheads="1"/>
                <a:extLst>
                  <a:ext uri="{84589F7E-364E-4C9E-8A38-B11213B215E9}">
                    <a14:cameraTool cellRange="'yoy growth'!$N$8" spid="_x0000_s8595"/>
                  </a:ext>
                </a:extLst>
              </xdr:cNvPicPr>
            </xdr:nvPicPr>
            <xdr:blipFill>
              <a:blip xmlns:r="http://schemas.openxmlformats.org/officeDocument/2006/relationships" r:embed="rId6"/>
              <a:srcRect/>
              <a:stretch>
                <a:fillRect/>
              </a:stretch>
            </xdr:blipFill>
            <xdr:spPr bwMode="auto">
              <a:xfrm>
                <a:off x="8275320" y="1783080"/>
                <a:ext cx="716280" cy="228600"/>
              </a:xfrm>
              <a:prstGeom prst="rect">
                <a:avLst/>
              </a:prstGeom>
              <a:gradFill>
                <a:gsLst>
                  <a:gs pos="0">
                    <a:schemeClr val="tx2">
                      <a:lumMod val="40000"/>
                      <a:lumOff val="60000"/>
                    </a:schemeClr>
                  </a:gs>
                  <a:gs pos="43000">
                    <a:schemeClr val="accent1">
                      <a:lumMod val="50000"/>
                    </a:schemeClr>
                  </a:gs>
                </a:gsLst>
                <a:lin ang="5400000" scaled="1"/>
              </a:gradFill>
            </xdr:spPr>
          </xdr:pic>
        </mc:Choice>
        <mc:Fallback xmlns=""/>
      </mc:AlternateContent>
      <xdr:graphicFrame macro="">
        <xdr:nvGraphicFramePr>
          <xdr:cNvPr id="23" name="Chart 22"/>
          <xdr:cNvGraphicFramePr>
            <a:graphicFrameLocks/>
          </xdr:cNvGraphicFramePr>
        </xdr:nvGraphicFramePr>
        <xdr:xfrm>
          <a:off x="7376160" y="1341120"/>
          <a:ext cx="1234440" cy="37338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4</xdr:col>
      <xdr:colOff>201707</xdr:colOff>
      <xdr:row>3</xdr:row>
      <xdr:rowOff>33170</xdr:rowOff>
    </xdr:from>
    <xdr:to>
      <xdr:col>8</xdr:col>
      <xdr:colOff>215154</xdr:colOff>
      <xdr:row>12</xdr:row>
      <xdr:rowOff>113731</xdr:rowOff>
    </xdr:to>
    <xdr:grpSp>
      <xdr:nvGrpSpPr>
        <xdr:cNvPr id="28" name="Group 27"/>
        <xdr:cNvGrpSpPr/>
      </xdr:nvGrpSpPr>
      <xdr:grpSpPr>
        <a:xfrm>
          <a:off x="2640107" y="581810"/>
          <a:ext cx="2451847" cy="1726481"/>
          <a:chOff x="2362200" y="533400"/>
          <a:chExt cx="2186940" cy="1600200"/>
        </a:xfrm>
      </xdr:grpSpPr>
      <xdr:grpSp>
        <xdr:nvGrpSpPr>
          <xdr:cNvPr id="29" name="Group 28"/>
          <xdr:cNvGrpSpPr/>
        </xdr:nvGrpSpPr>
        <xdr:grpSpPr>
          <a:xfrm>
            <a:off x="2362200" y="533400"/>
            <a:ext cx="2186940" cy="1600200"/>
            <a:chOff x="60960" y="556260"/>
            <a:chExt cx="1973580" cy="1600200"/>
          </a:xfrm>
        </xdr:grpSpPr>
        <xdr:sp macro="" textlink="">
          <xdr:nvSpPr>
            <xdr:cNvPr id="32" name="Rounded Rectangle 31"/>
            <xdr:cNvSpPr/>
          </xdr:nvSpPr>
          <xdr:spPr>
            <a:xfrm>
              <a:off x="68580" y="556260"/>
              <a:ext cx="1965960" cy="426720"/>
            </a:xfrm>
            <a:prstGeom prst="roundRect">
              <a:avLst/>
            </a:prstGeom>
            <a:gradFill>
              <a:gsLst>
                <a:gs pos="0">
                  <a:schemeClr val="tx2">
                    <a:lumMod val="40000"/>
                    <a:lumOff val="60000"/>
                  </a:schemeClr>
                </a:gs>
                <a:gs pos="100000">
                  <a:schemeClr val="tx2">
                    <a:lumMod val="7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QUANTITY</a:t>
              </a:r>
            </a:p>
          </xdr:txBody>
        </xdr:sp>
        <xdr:sp macro="" textlink="">
          <xdr:nvSpPr>
            <xdr:cNvPr id="33" name="Rounded Rectangle 32"/>
            <xdr:cNvSpPr/>
          </xdr:nvSpPr>
          <xdr:spPr>
            <a:xfrm>
              <a:off x="60960" y="1036320"/>
              <a:ext cx="1965960" cy="112014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Rounded Rectangle 33"/>
            <xdr:cNvSpPr/>
          </xdr:nvSpPr>
          <xdr:spPr>
            <a:xfrm>
              <a:off x="121920" y="1775460"/>
              <a:ext cx="1905000" cy="33528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u="none" strike="noStrike">
                  <a:solidFill>
                    <a:srgbClr val="000000"/>
                  </a:solidFill>
                  <a:latin typeface="Calibri"/>
                  <a:ea typeface="Calibri"/>
                  <a:cs typeface="Calibri"/>
                </a:rPr>
                <a:t>YOY GROWTH</a:t>
              </a:r>
            </a:p>
          </xdr:txBody>
        </xdr:sp>
        <xdr:sp macro="" textlink="KPIs!E15">
          <xdr:nvSpPr>
            <xdr:cNvPr id="35" name="Rounded Rectangle 34"/>
            <xdr:cNvSpPr/>
          </xdr:nvSpPr>
          <xdr:spPr>
            <a:xfrm>
              <a:off x="106680" y="1089660"/>
              <a:ext cx="1905000" cy="33528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4C3B88F-CA18-40B6-9204-BA417DDAD2BF}" type="TxLink">
                <a:rPr lang="en-US" sz="1400" b="1" i="0" u="none" strike="noStrike">
                  <a:solidFill>
                    <a:srgbClr val="000000"/>
                  </a:solidFill>
                  <a:latin typeface="Calibri"/>
                  <a:ea typeface="Calibri"/>
                  <a:cs typeface="Calibri"/>
                </a:rPr>
                <a:pPr algn="ctr"/>
                <a:t> $3,45,002.67 </a:t>
              </a:fld>
              <a:endParaRPr lang="en-IN" sz="1400" b="1"/>
            </a:p>
          </xdr:txBody>
        </xdr:sp>
      </xdr:grpSp>
      <mc:AlternateContent xmlns:mc="http://schemas.openxmlformats.org/markup-compatibility/2006" xmlns:a14="http://schemas.microsoft.com/office/drawing/2010/main">
        <mc:Choice Requires="a14">
          <xdr:pic>
            <xdr:nvPicPr>
              <xdr:cNvPr id="30" name="Picture 29"/>
              <xdr:cNvPicPr>
                <a:picLocks noChangeAspect="1" noChangeArrowheads="1"/>
                <a:extLst>
                  <a:ext uri="{84589F7E-364E-4C9E-8A38-B11213B215E9}">
                    <a14:cameraTool cellRange="'yoy growth'!$L$8" spid="_x0000_s8596"/>
                  </a:ext>
                </a:extLst>
              </xdr:cNvPicPr>
            </xdr:nvPicPr>
            <xdr:blipFill>
              <a:blip xmlns:r="http://schemas.openxmlformats.org/officeDocument/2006/relationships" r:embed="rId8"/>
              <a:srcRect/>
              <a:stretch>
                <a:fillRect/>
              </a:stretch>
            </xdr:blipFill>
            <xdr:spPr bwMode="auto">
              <a:xfrm>
                <a:off x="3718560" y="1790700"/>
                <a:ext cx="708660" cy="228600"/>
              </a:xfrm>
              <a:prstGeom prst="rect">
                <a:avLst/>
              </a:prstGeom>
              <a:gradFill>
                <a:gsLst>
                  <a:gs pos="0">
                    <a:schemeClr val="tx2">
                      <a:lumMod val="40000"/>
                      <a:lumOff val="60000"/>
                    </a:schemeClr>
                  </a:gs>
                  <a:gs pos="43000">
                    <a:schemeClr val="accent1">
                      <a:lumMod val="50000"/>
                    </a:schemeClr>
                  </a:gs>
                </a:gsLst>
                <a:lin ang="5400000" scaled="1"/>
              </a:gradFill>
            </xdr:spPr>
          </xdr:pic>
        </mc:Choice>
        <mc:Fallback xmlns=""/>
      </mc:AlternateContent>
      <xdr:graphicFrame macro="">
        <xdr:nvGraphicFramePr>
          <xdr:cNvPr id="31" name="Chart 30"/>
          <xdr:cNvGraphicFramePr>
            <a:graphicFrameLocks/>
          </xdr:cNvGraphicFramePr>
        </xdr:nvGraphicFramePr>
        <xdr:xfrm>
          <a:off x="2758440" y="1371600"/>
          <a:ext cx="1413029" cy="373380"/>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17</xdr:col>
      <xdr:colOff>155985</xdr:colOff>
      <xdr:row>3</xdr:row>
      <xdr:rowOff>22859</xdr:rowOff>
    </xdr:from>
    <xdr:to>
      <xdr:col>21</xdr:col>
      <xdr:colOff>188258</xdr:colOff>
      <xdr:row>13</xdr:row>
      <xdr:rowOff>0</xdr:rowOff>
    </xdr:to>
    <xdr:grpSp>
      <xdr:nvGrpSpPr>
        <xdr:cNvPr id="36" name="Group 35"/>
        <xdr:cNvGrpSpPr/>
      </xdr:nvGrpSpPr>
      <xdr:grpSpPr>
        <a:xfrm>
          <a:off x="10519185" y="571499"/>
          <a:ext cx="2470673" cy="1805941"/>
          <a:chOff x="9174480" y="510540"/>
          <a:chExt cx="2186940" cy="1600200"/>
        </a:xfrm>
      </xdr:grpSpPr>
      <xdr:grpSp>
        <xdr:nvGrpSpPr>
          <xdr:cNvPr id="37" name="Group 36"/>
          <xdr:cNvGrpSpPr/>
        </xdr:nvGrpSpPr>
        <xdr:grpSpPr>
          <a:xfrm>
            <a:off x="9174480" y="510540"/>
            <a:ext cx="2186940" cy="1600200"/>
            <a:chOff x="60960" y="556260"/>
            <a:chExt cx="1973580" cy="1600200"/>
          </a:xfrm>
        </xdr:grpSpPr>
        <xdr:sp macro="" textlink="">
          <xdr:nvSpPr>
            <xdr:cNvPr id="40" name="Rounded Rectangle 39"/>
            <xdr:cNvSpPr/>
          </xdr:nvSpPr>
          <xdr:spPr>
            <a:xfrm>
              <a:off x="68580" y="556260"/>
              <a:ext cx="1965960" cy="426720"/>
            </a:xfrm>
            <a:prstGeom prst="roundRect">
              <a:avLst/>
            </a:prstGeom>
            <a:gradFill>
              <a:gsLst>
                <a:gs pos="0">
                  <a:schemeClr val="tx2">
                    <a:lumMod val="40000"/>
                    <a:lumOff val="60000"/>
                  </a:schemeClr>
                </a:gs>
                <a:gs pos="100000">
                  <a:schemeClr val="tx2">
                    <a:lumMod val="7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PROFIT</a:t>
              </a:r>
              <a:r>
                <a:rPr lang="en-IN" sz="1400" b="1" baseline="0"/>
                <a:t> MARGIN</a:t>
              </a:r>
              <a:endParaRPr lang="en-IN" sz="1400" b="1"/>
            </a:p>
          </xdr:txBody>
        </xdr:sp>
        <xdr:sp macro="" textlink="">
          <xdr:nvSpPr>
            <xdr:cNvPr id="41" name="Rounded Rectangle 40"/>
            <xdr:cNvSpPr/>
          </xdr:nvSpPr>
          <xdr:spPr>
            <a:xfrm>
              <a:off x="60960" y="1036320"/>
              <a:ext cx="1965960" cy="112014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s!N15">
          <xdr:nvSpPr>
            <xdr:cNvPr id="42" name="Rounded Rectangle 41"/>
            <xdr:cNvSpPr/>
          </xdr:nvSpPr>
          <xdr:spPr>
            <a:xfrm>
              <a:off x="106680" y="1089660"/>
              <a:ext cx="1905000" cy="33528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B84C5B0-6F4C-4B58-AC35-C80103E4F4E3}" type="TxLink">
                <a:rPr lang="en-US" sz="1400" b="1" i="0" u="none" strike="noStrike">
                  <a:solidFill>
                    <a:srgbClr val="000000"/>
                  </a:solidFill>
                  <a:latin typeface="Calibri"/>
                  <a:ea typeface="Calibri"/>
                  <a:cs typeface="Calibri"/>
                </a:rPr>
                <a:pPr algn="ctr"/>
                <a:t>22.59%</a:t>
              </a:fld>
              <a:endParaRPr lang="en-IN" sz="1400" b="1"/>
            </a:p>
          </xdr:txBody>
        </xdr:sp>
        <xdr:sp macro="" textlink="">
          <xdr:nvSpPr>
            <xdr:cNvPr id="43" name="Rounded Rectangle 42"/>
            <xdr:cNvSpPr/>
          </xdr:nvSpPr>
          <xdr:spPr>
            <a:xfrm>
              <a:off x="121920" y="1775460"/>
              <a:ext cx="1905000" cy="335280"/>
            </a:xfrm>
            <a:prstGeom prst="roundRect">
              <a:avLst/>
            </a:prstGeom>
            <a:gradFill>
              <a:gsLst>
                <a:gs pos="0">
                  <a:schemeClr val="tx2">
                    <a:lumMod val="40000"/>
                    <a:lumOff val="60000"/>
                  </a:schemeClr>
                </a:gs>
                <a:gs pos="100000">
                  <a:schemeClr val="tx2">
                    <a:lumMod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u="none" strike="noStrike">
                  <a:solidFill>
                    <a:srgbClr val="000000"/>
                  </a:solidFill>
                  <a:latin typeface="Calibri"/>
                  <a:ea typeface="Calibri"/>
                  <a:cs typeface="Calibri"/>
                </a:rPr>
                <a:t>YOY GROWTH</a:t>
              </a:r>
            </a:p>
          </xdr:txBody>
        </xdr:sp>
      </xdr:grpSp>
      <mc:AlternateContent xmlns:mc="http://schemas.openxmlformats.org/markup-compatibility/2006" xmlns:a14="http://schemas.microsoft.com/office/drawing/2010/main">
        <mc:Choice Requires="a14">
          <xdr:pic>
            <xdr:nvPicPr>
              <xdr:cNvPr id="38" name="Picture 37"/>
              <xdr:cNvPicPr>
                <a:picLocks noChangeAspect="1" noChangeArrowheads="1"/>
                <a:extLst>
                  <a:ext uri="{84589F7E-364E-4C9E-8A38-B11213B215E9}">
                    <a14:cameraTool cellRange="'yoy growth'!$O$8" spid="_x0000_s8597"/>
                  </a:ext>
                </a:extLst>
              </xdr:cNvPicPr>
            </xdr:nvPicPr>
            <xdr:blipFill>
              <a:blip xmlns:r="http://schemas.openxmlformats.org/officeDocument/2006/relationships" r:embed="rId10"/>
              <a:srcRect/>
              <a:stretch>
                <a:fillRect/>
              </a:stretch>
            </xdr:blipFill>
            <xdr:spPr bwMode="auto">
              <a:xfrm>
                <a:off x="10584180" y="1752600"/>
                <a:ext cx="617220" cy="228600"/>
              </a:xfrm>
              <a:prstGeom prst="rect">
                <a:avLst/>
              </a:prstGeom>
              <a:gradFill>
                <a:gsLst>
                  <a:gs pos="0">
                    <a:schemeClr val="tx2">
                      <a:lumMod val="40000"/>
                      <a:lumOff val="60000"/>
                    </a:schemeClr>
                  </a:gs>
                  <a:gs pos="43000">
                    <a:schemeClr val="accent1">
                      <a:lumMod val="50000"/>
                    </a:schemeClr>
                  </a:gs>
                </a:gsLst>
                <a:lin ang="5400000" scaled="1"/>
              </a:gradFill>
            </xdr:spPr>
          </xdr:pic>
        </mc:Choice>
        <mc:Fallback xmlns=""/>
      </mc:AlternateContent>
      <xdr:graphicFrame macro="">
        <xdr:nvGraphicFramePr>
          <xdr:cNvPr id="39" name="Chart 38"/>
          <xdr:cNvGraphicFramePr>
            <a:graphicFrameLocks/>
          </xdr:cNvGraphicFramePr>
        </xdr:nvGraphicFramePr>
        <xdr:xfrm>
          <a:off x="9479280" y="1341120"/>
          <a:ext cx="1575787" cy="389359"/>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6</xdr:col>
      <xdr:colOff>284769</xdr:colOff>
      <xdr:row>13</xdr:row>
      <xdr:rowOff>58834</xdr:rowOff>
    </xdr:from>
    <xdr:to>
      <xdr:col>12</xdr:col>
      <xdr:colOff>315687</xdr:colOff>
      <xdr:row>26</xdr:row>
      <xdr:rowOff>58328</xdr:rowOff>
    </xdr:to>
    <xdr:grpSp>
      <xdr:nvGrpSpPr>
        <xdr:cNvPr id="44" name="Group 43"/>
        <xdr:cNvGrpSpPr/>
      </xdr:nvGrpSpPr>
      <xdr:grpSpPr>
        <a:xfrm>
          <a:off x="3942369" y="2436274"/>
          <a:ext cx="3688518" cy="2376934"/>
          <a:chOff x="76200" y="2182009"/>
          <a:chExt cx="4549140" cy="2048436"/>
        </a:xfrm>
      </xdr:grpSpPr>
      <xdr:sp macro="" textlink="">
        <xdr:nvSpPr>
          <xdr:cNvPr id="45" name="Rounded Rectangle 44"/>
          <xdr:cNvSpPr/>
        </xdr:nvSpPr>
        <xdr:spPr>
          <a:xfrm>
            <a:off x="76200" y="2182009"/>
            <a:ext cx="4549140" cy="2048436"/>
          </a:xfrm>
          <a:prstGeom prst="roundRect">
            <a:avLst/>
          </a:prstGeom>
          <a:gradFill>
            <a:gsLst>
              <a:gs pos="82000">
                <a:schemeClr val="tx2">
                  <a:lumMod val="50000"/>
                </a:schemeClr>
              </a:gs>
              <a:gs pos="0">
                <a:schemeClr val="tx2">
                  <a:lumMod val="40000"/>
                  <a:lumOff val="60000"/>
                  <a:alpha val="4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7" name="Rounded Rectangle 46"/>
          <xdr:cNvSpPr/>
        </xdr:nvSpPr>
        <xdr:spPr>
          <a:xfrm>
            <a:off x="312420" y="2235349"/>
            <a:ext cx="4070025" cy="211049"/>
          </a:xfrm>
          <a:prstGeom prst="roundRect">
            <a:avLst/>
          </a:prstGeom>
          <a:gradFill>
            <a:gsLst>
              <a:gs pos="0">
                <a:schemeClr val="tx2">
                  <a:lumMod val="40000"/>
                  <a:lumOff val="60000"/>
                  <a:alpha val="71000"/>
                </a:schemeClr>
              </a:gs>
              <a:gs pos="78000">
                <a:schemeClr val="tx2">
                  <a:lumMod val="7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SALES</a:t>
            </a:r>
            <a:r>
              <a:rPr lang="en-IN" sz="1200" b="1" baseline="0"/>
              <a:t> AND PROFIT ANALYSIS ON SHIPPING DAYS</a:t>
            </a:r>
            <a:endParaRPr lang="en-IN" sz="1200" b="1"/>
          </a:p>
        </xdr:txBody>
      </xdr:sp>
    </xdr:grpSp>
    <xdr:clientData/>
  </xdr:twoCellAnchor>
  <xdr:twoCellAnchor>
    <xdr:from>
      <xdr:col>12</xdr:col>
      <xdr:colOff>391885</xdr:colOff>
      <xdr:row>13</xdr:row>
      <xdr:rowOff>145413</xdr:rowOff>
    </xdr:from>
    <xdr:to>
      <xdr:col>17</xdr:col>
      <xdr:colOff>435429</xdr:colOff>
      <xdr:row>26</xdr:row>
      <xdr:rowOff>110661</xdr:rowOff>
    </xdr:to>
    <xdr:grpSp>
      <xdr:nvGrpSpPr>
        <xdr:cNvPr id="52" name="Group 51"/>
        <xdr:cNvGrpSpPr/>
      </xdr:nvGrpSpPr>
      <xdr:grpSpPr>
        <a:xfrm>
          <a:off x="7707085" y="2522853"/>
          <a:ext cx="3091544" cy="2342688"/>
          <a:chOff x="8860970" y="2333265"/>
          <a:chExt cx="4240880" cy="2192610"/>
        </a:xfrm>
      </xdr:grpSpPr>
      <xdr:sp macro="" textlink="">
        <xdr:nvSpPr>
          <xdr:cNvPr id="53" name="Rounded Rectangle 52"/>
          <xdr:cNvSpPr/>
        </xdr:nvSpPr>
        <xdr:spPr>
          <a:xfrm>
            <a:off x="8860970" y="2333265"/>
            <a:ext cx="4240880" cy="2192610"/>
          </a:xfrm>
          <a:prstGeom prst="roundRect">
            <a:avLst/>
          </a:prstGeom>
          <a:gradFill>
            <a:gsLst>
              <a:gs pos="82000">
                <a:schemeClr val="tx2">
                  <a:lumMod val="50000"/>
                </a:schemeClr>
              </a:gs>
              <a:gs pos="0">
                <a:schemeClr val="tx2">
                  <a:lumMod val="40000"/>
                  <a:lumOff val="60000"/>
                  <a:alpha val="4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5" name="Rounded Rectangle 54"/>
          <xdr:cNvSpPr/>
        </xdr:nvSpPr>
        <xdr:spPr>
          <a:xfrm>
            <a:off x="9180542" y="2357461"/>
            <a:ext cx="3736867" cy="211929"/>
          </a:xfrm>
          <a:prstGeom prst="roundRect">
            <a:avLst/>
          </a:prstGeom>
          <a:gradFill>
            <a:gsLst>
              <a:gs pos="0">
                <a:schemeClr val="tx2">
                  <a:lumMod val="40000"/>
                  <a:lumOff val="60000"/>
                  <a:alpha val="71000"/>
                </a:schemeClr>
              </a:gs>
              <a:gs pos="78000">
                <a:schemeClr val="tx2">
                  <a:lumMod val="7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CHANNEL PERFORMANCE BY CITY</a:t>
            </a:r>
          </a:p>
        </xdr:txBody>
      </xdr:sp>
    </xdr:grpSp>
    <xdr:clientData/>
  </xdr:twoCellAnchor>
  <xdr:twoCellAnchor>
    <xdr:from>
      <xdr:col>0</xdr:col>
      <xdr:colOff>123890</xdr:colOff>
      <xdr:row>26</xdr:row>
      <xdr:rowOff>134506</xdr:rowOff>
    </xdr:from>
    <xdr:to>
      <xdr:col>8</xdr:col>
      <xdr:colOff>233679</xdr:colOff>
      <xdr:row>40</xdr:row>
      <xdr:rowOff>19865</xdr:rowOff>
    </xdr:to>
    <xdr:grpSp>
      <xdr:nvGrpSpPr>
        <xdr:cNvPr id="56" name="Group 55"/>
        <xdr:cNvGrpSpPr/>
      </xdr:nvGrpSpPr>
      <xdr:grpSpPr>
        <a:xfrm>
          <a:off x="123890" y="4889386"/>
          <a:ext cx="4986589" cy="2445679"/>
          <a:chOff x="125506" y="4600145"/>
          <a:chExt cx="3999928" cy="2241804"/>
        </a:xfrm>
      </xdr:grpSpPr>
      <xdr:sp macro="" textlink="">
        <xdr:nvSpPr>
          <xdr:cNvPr id="57" name="Rounded Rectangle 56"/>
          <xdr:cNvSpPr/>
        </xdr:nvSpPr>
        <xdr:spPr>
          <a:xfrm>
            <a:off x="125506" y="4600145"/>
            <a:ext cx="3999928" cy="2241804"/>
          </a:xfrm>
          <a:prstGeom prst="roundRect">
            <a:avLst/>
          </a:prstGeom>
          <a:gradFill>
            <a:gsLst>
              <a:gs pos="82000">
                <a:schemeClr val="tx2">
                  <a:lumMod val="50000"/>
                </a:schemeClr>
              </a:gs>
              <a:gs pos="0">
                <a:schemeClr val="tx2">
                  <a:lumMod val="40000"/>
                  <a:lumOff val="60000"/>
                  <a:alpha val="4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9" name="Rounded Rectangle 58"/>
          <xdr:cNvSpPr/>
        </xdr:nvSpPr>
        <xdr:spPr>
          <a:xfrm>
            <a:off x="375730" y="4681108"/>
            <a:ext cx="2613128" cy="247030"/>
          </a:xfrm>
          <a:prstGeom prst="roundRect">
            <a:avLst/>
          </a:prstGeom>
          <a:gradFill>
            <a:gsLst>
              <a:gs pos="0">
                <a:schemeClr val="tx2">
                  <a:lumMod val="40000"/>
                  <a:lumOff val="60000"/>
                  <a:alpha val="71000"/>
                </a:schemeClr>
              </a:gs>
              <a:gs pos="78000">
                <a:schemeClr val="tx2">
                  <a:lumMod val="7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AVG</a:t>
            </a:r>
            <a:r>
              <a:rPr lang="en-IN" sz="1200" b="1" baseline="0"/>
              <a:t> SHIPPING DAYS BY CITY</a:t>
            </a:r>
            <a:endParaRPr lang="en-IN" sz="1200" b="1"/>
          </a:p>
        </xdr:txBody>
      </xdr:sp>
    </xdr:grpSp>
    <xdr:clientData/>
  </xdr:twoCellAnchor>
  <xdr:twoCellAnchor>
    <xdr:from>
      <xdr:col>8</xdr:col>
      <xdr:colOff>304799</xdr:colOff>
      <xdr:row>27</xdr:row>
      <xdr:rowOff>11373</xdr:rowOff>
    </xdr:from>
    <xdr:to>
      <xdr:col>14</xdr:col>
      <xdr:colOff>326570</xdr:colOff>
      <xdr:row>40</xdr:row>
      <xdr:rowOff>79612</xdr:rowOff>
    </xdr:to>
    <xdr:grpSp>
      <xdr:nvGrpSpPr>
        <xdr:cNvPr id="60" name="Group 59"/>
        <xdr:cNvGrpSpPr/>
      </xdr:nvGrpSpPr>
      <xdr:grpSpPr>
        <a:xfrm>
          <a:off x="5181599" y="4949133"/>
          <a:ext cx="3679371" cy="2445679"/>
          <a:chOff x="4274793" y="4482888"/>
          <a:chExt cx="4571389" cy="2192607"/>
        </a:xfrm>
      </xdr:grpSpPr>
      <xdr:sp macro="" textlink="">
        <xdr:nvSpPr>
          <xdr:cNvPr id="61" name="Rounded Rectangle 60"/>
          <xdr:cNvSpPr/>
        </xdr:nvSpPr>
        <xdr:spPr>
          <a:xfrm>
            <a:off x="4274793" y="4482888"/>
            <a:ext cx="4571389" cy="2192607"/>
          </a:xfrm>
          <a:prstGeom prst="roundRect">
            <a:avLst/>
          </a:prstGeom>
          <a:gradFill>
            <a:gsLst>
              <a:gs pos="82000">
                <a:schemeClr val="tx2">
                  <a:lumMod val="50000"/>
                </a:schemeClr>
              </a:gs>
              <a:gs pos="0">
                <a:schemeClr val="tx2">
                  <a:lumMod val="40000"/>
                  <a:lumOff val="60000"/>
                  <a:alpha val="4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3" name="Rounded Rectangle 62"/>
          <xdr:cNvSpPr/>
        </xdr:nvSpPr>
        <xdr:spPr>
          <a:xfrm>
            <a:off x="4529417" y="4558115"/>
            <a:ext cx="2624237" cy="242930"/>
          </a:xfrm>
          <a:prstGeom prst="roundRect">
            <a:avLst/>
          </a:prstGeom>
          <a:gradFill>
            <a:gsLst>
              <a:gs pos="0">
                <a:schemeClr val="tx2">
                  <a:lumMod val="40000"/>
                  <a:lumOff val="60000"/>
                  <a:alpha val="71000"/>
                </a:schemeClr>
              </a:gs>
              <a:gs pos="78000">
                <a:schemeClr val="tx2">
                  <a:lumMod val="7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CITY</a:t>
            </a:r>
            <a:r>
              <a:rPr lang="en-IN" sz="1200" b="1" baseline="0"/>
              <a:t> WISE PROFIT</a:t>
            </a:r>
            <a:endParaRPr lang="en-IN" sz="1200" b="1"/>
          </a:p>
        </xdr:txBody>
      </xdr:sp>
    </xdr:grpSp>
    <xdr:clientData/>
  </xdr:twoCellAnchor>
  <xdr:twoCellAnchor>
    <xdr:from>
      <xdr:col>21</xdr:col>
      <xdr:colOff>352567</xdr:colOff>
      <xdr:row>13</xdr:row>
      <xdr:rowOff>34119</xdr:rowOff>
    </xdr:from>
    <xdr:to>
      <xdr:col>26</xdr:col>
      <xdr:colOff>329820</xdr:colOff>
      <xdr:row>40</xdr:row>
      <xdr:rowOff>102358</xdr:rowOff>
    </xdr:to>
    <xdr:grpSp>
      <xdr:nvGrpSpPr>
        <xdr:cNvPr id="68" name="Group 67"/>
        <xdr:cNvGrpSpPr/>
      </xdr:nvGrpSpPr>
      <xdr:grpSpPr>
        <a:xfrm>
          <a:off x="13154167" y="2411559"/>
          <a:ext cx="3025253" cy="5005999"/>
          <a:chOff x="13204210" y="2024418"/>
          <a:chExt cx="3048000" cy="4981433"/>
        </a:xfrm>
      </xdr:grpSpPr>
      <xdr:sp macro="" textlink="">
        <xdr:nvSpPr>
          <xdr:cNvPr id="69" name="Rounded Rectangle 68"/>
          <xdr:cNvSpPr/>
        </xdr:nvSpPr>
        <xdr:spPr>
          <a:xfrm>
            <a:off x="13204210" y="2024418"/>
            <a:ext cx="3048000" cy="4981433"/>
          </a:xfrm>
          <a:prstGeom prst="roundRect">
            <a:avLst/>
          </a:prstGeom>
          <a:gradFill>
            <a:gsLst>
              <a:gs pos="3000">
                <a:schemeClr val="accent1">
                  <a:lumMod val="60000"/>
                  <a:lumOff val="40000"/>
                </a:schemeClr>
              </a:gs>
              <a:gs pos="72000">
                <a:schemeClr val="tx2">
                  <a:lumMod val="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5" name="Rounded Rectangle 74"/>
          <xdr:cNvSpPr/>
        </xdr:nvSpPr>
        <xdr:spPr>
          <a:xfrm>
            <a:off x="13772867" y="2081283"/>
            <a:ext cx="1853820" cy="250210"/>
          </a:xfrm>
          <a:prstGeom prst="roundRect">
            <a:avLst/>
          </a:prstGeom>
          <a:gradFill>
            <a:gsLst>
              <a:gs pos="0">
                <a:schemeClr val="tx2">
                  <a:lumMod val="40000"/>
                  <a:lumOff val="60000"/>
                  <a:alpha val="71000"/>
                </a:schemeClr>
              </a:gs>
              <a:gs pos="78000">
                <a:schemeClr val="tx2">
                  <a:lumMod val="7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FILTERS</a:t>
            </a:r>
          </a:p>
        </xdr:txBody>
      </xdr:sp>
    </xdr:grpSp>
    <xdr:clientData/>
  </xdr:twoCellAnchor>
  <xdr:twoCellAnchor>
    <xdr:from>
      <xdr:col>21</xdr:col>
      <xdr:colOff>455900</xdr:colOff>
      <xdr:row>0</xdr:row>
      <xdr:rowOff>101384</xdr:rowOff>
    </xdr:from>
    <xdr:to>
      <xdr:col>26</xdr:col>
      <xdr:colOff>974</xdr:colOff>
      <xdr:row>3</xdr:row>
      <xdr:rowOff>44519</xdr:rowOff>
    </xdr:to>
    <xdr:sp macro="" textlink="">
      <xdr:nvSpPr>
        <xdr:cNvPr id="76" name="Snip Diagonal Corner Rectangle 75">
          <a:hlinkClick xmlns:r="http://schemas.openxmlformats.org/officeDocument/2006/relationships" r:id="rId12"/>
        </xdr:cNvPr>
        <xdr:cNvSpPr/>
      </xdr:nvSpPr>
      <xdr:spPr>
        <a:xfrm>
          <a:off x="13257500" y="101384"/>
          <a:ext cx="2593074" cy="498306"/>
        </a:xfrm>
        <a:prstGeom prst="snip2DiagRect">
          <a:avLst/>
        </a:prstGeom>
        <a:gradFill>
          <a:gsLst>
            <a:gs pos="0">
              <a:schemeClr val="tx2">
                <a:lumMod val="40000"/>
                <a:lumOff val="60000"/>
              </a:schemeClr>
            </a:gs>
            <a:gs pos="78000">
              <a:schemeClr val="tx2">
                <a:lumMod val="60000"/>
                <a:lumOff val="4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latin typeface="Arial Black" panose="020B0A04020102020204" pitchFamily="34" charset="0"/>
            </a:rPr>
            <a:t>REGION</a:t>
          </a:r>
          <a:r>
            <a:rPr lang="en-IN" sz="1100" b="1" baseline="0">
              <a:latin typeface="Arial Black" panose="020B0A04020102020204" pitchFamily="34" charset="0"/>
            </a:rPr>
            <a:t> BASED DASHBOARD</a:t>
          </a:r>
          <a:endParaRPr lang="en-IN" sz="1100" b="1">
            <a:latin typeface="Arial Black" panose="020B0A04020102020204" pitchFamily="34" charset="0"/>
          </a:endParaRPr>
        </a:p>
      </xdr:txBody>
    </xdr:sp>
    <xdr:clientData/>
  </xdr:twoCellAnchor>
  <xdr:twoCellAnchor>
    <xdr:from>
      <xdr:col>21</xdr:col>
      <xdr:colOff>477671</xdr:colOff>
      <xdr:row>3</xdr:row>
      <xdr:rowOff>113732</xdr:rowOff>
    </xdr:from>
    <xdr:to>
      <xdr:col>26</xdr:col>
      <xdr:colOff>22745</xdr:colOff>
      <xdr:row>6</xdr:row>
      <xdr:rowOff>56866</xdr:rowOff>
    </xdr:to>
    <xdr:sp macro="" textlink="">
      <xdr:nvSpPr>
        <xdr:cNvPr id="77" name="Snip Diagonal Corner Rectangle 76">
          <a:hlinkClick xmlns:r="http://schemas.openxmlformats.org/officeDocument/2006/relationships" r:id="rId13"/>
        </xdr:cNvPr>
        <xdr:cNvSpPr/>
      </xdr:nvSpPr>
      <xdr:spPr>
        <a:xfrm>
          <a:off x="13279271" y="662372"/>
          <a:ext cx="2593074" cy="491774"/>
        </a:xfrm>
        <a:prstGeom prst="snip2DiagRect">
          <a:avLst/>
        </a:prstGeom>
        <a:gradFill>
          <a:gsLst>
            <a:gs pos="0">
              <a:schemeClr val="tx2">
                <a:lumMod val="40000"/>
                <a:lumOff val="60000"/>
                <a:alpha val="71000"/>
              </a:schemeClr>
            </a:gs>
            <a:gs pos="78000">
              <a:schemeClr val="tx2">
                <a:lumMod val="7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50" b="1">
              <a:latin typeface="Arial Black" panose="020B0A04020102020204" pitchFamily="34" charset="0"/>
            </a:rPr>
            <a:t>CITY BASED DASHBOARD</a:t>
          </a:r>
        </a:p>
      </xdr:txBody>
    </xdr:sp>
    <xdr:clientData/>
  </xdr:twoCellAnchor>
  <xdr:twoCellAnchor>
    <xdr:from>
      <xdr:col>21</xdr:col>
      <xdr:colOff>454926</xdr:colOff>
      <xdr:row>6</xdr:row>
      <xdr:rowOff>147851</xdr:rowOff>
    </xdr:from>
    <xdr:to>
      <xdr:col>26</xdr:col>
      <xdr:colOff>0</xdr:colOff>
      <xdr:row>9</xdr:row>
      <xdr:rowOff>90986</xdr:rowOff>
    </xdr:to>
    <xdr:sp macro="" textlink="">
      <xdr:nvSpPr>
        <xdr:cNvPr id="78" name="Snip Diagonal Corner Rectangle 77">
          <a:hlinkClick xmlns:r="http://schemas.openxmlformats.org/officeDocument/2006/relationships" r:id="rId14"/>
        </xdr:cNvPr>
        <xdr:cNvSpPr/>
      </xdr:nvSpPr>
      <xdr:spPr>
        <a:xfrm>
          <a:off x="13256526" y="1245131"/>
          <a:ext cx="2593074" cy="491775"/>
        </a:xfrm>
        <a:prstGeom prst="snip2DiagRect">
          <a:avLst/>
        </a:prstGeom>
        <a:gradFill>
          <a:gsLst>
            <a:gs pos="0">
              <a:schemeClr val="tx2">
                <a:lumMod val="40000"/>
                <a:lumOff val="60000"/>
                <a:alpha val="71000"/>
              </a:schemeClr>
            </a:gs>
            <a:gs pos="78000">
              <a:schemeClr val="tx2">
                <a:lumMod val="60000"/>
                <a:lumOff val="4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50" b="1">
              <a:latin typeface="Arial Black" panose="020B0A04020102020204" pitchFamily="34" charset="0"/>
            </a:rPr>
            <a:t>COUNTRY BASED DASHBOARD</a:t>
          </a:r>
        </a:p>
      </xdr:txBody>
    </xdr:sp>
    <xdr:clientData/>
  </xdr:twoCellAnchor>
  <xdr:twoCellAnchor>
    <xdr:from>
      <xdr:col>21</xdr:col>
      <xdr:colOff>466298</xdr:colOff>
      <xdr:row>9</xdr:row>
      <xdr:rowOff>170598</xdr:rowOff>
    </xdr:from>
    <xdr:to>
      <xdr:col>26</xdr:col>
      <xdr:colOff>11372</xdr:colOff>
      <xdr:row>12</xdr:row>
      <xdr:rowOff>113732</xdr:rowOff>
    </xdr:to>
    <xdr:sp macro="" textlink="">
      <xdr:nvSpPr>
        <xdr:cNvPr id="79" name="Snip Diagonal Corner Rectangle 78">
          <a:hlinkClick xmlns:r="http://schemas.openxmlformats.org/officeDocument/2006/relationships" r:id="rId15"/>
        </xdr:cNvPr>
        <xdr:cNvSpPr/>
      </xdr:nvSpPr>
      <xdr:spPr>
        <a:xfrm>
          <a:off x="13267898" y="1816518"/>
          <a:ext cx="2593074" cy="491774"/>
        </a:xfrm>
        <a:prstGeom prst="snip2DiagRect">
          <a:avLst/>
        </a:prstGeom>
        <a:gradFill>
          <a:gsLst>
            <a:gs pos="0">
              <a:schemeClr val="tx2">
                <a:lumMod val="40000"/>
                <a:lumOff val="60000"/>
                <a:alpha val="71000"/>
              </a:schemeClr>
            </a:gs>
            <a:gs pos="78000">
              <a:schemeClr val="tx2">
                <a:lumMod val="60000"/>
                <a:lumOff val="4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Arial Black" panose="020B0A04020102020204" pitchFamily="34" charset="0"/>
            </a:rPr>
            <a:t>DATASET</a:t>
          </a:r>
          <a:r>
            <a:rPr lang="en-IN" sz="1100" baseline="0"/>
            <a:t> </a:t>
          </a:r>
          <a:endParaRPr lang="en-IN" sz="1100"/>
        </a:p>
      </xdr:txBody>
    </xdr:sp>
    <xdr:clientData/>
  </xdr:twoCellAnchor>
  <xdr:twoCellAnchor editAs="oneCell">
    <xdr:from>
      <xdr:col>30</xdr:col>
      <xdr:colOff>0</xdr:colOff>
      <xdr:row>13</xdr:row>
      <xdr:rowOff>0</xdr:rowOff>
    </xdr:from>
    <xdr:to>
      <xdr:col>34</xdr:col>
      <xdr:colOff>0</xdr:colOff>
      <xdr:row>26</xdr:row>
      <xdr:rowOff>60960</xdr:rowOff>
    </xdr:to>
    <xdr:sp macro="" textlink="">
      <xdr:nvSpPr>
        <xdr:cNvPr id="80" name="AutoShape 114" descr="Sales  Icon"/>
        <xdr:cNvSpPr>
          <a:spLocks noChangeAspect="1" noChangeArrowheads="1"/>
        </xdr:cNvSpPr>
      </xdr:nvSpPr>
      <xdr:spPr bwMode="auto">
        <a:xfrm>
          <a:off x="18288000" y="2377440"/>
          <a:ext cx="2438400" cy="2438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29</xdr:col>
      <xdr:colOff>0</xdr:colOff>
      <xdr:row>15</xdr:row>
      <xdr:rowOff>0</xdr:rowOff>
    </xdr:from>
    <xdr:to>
      <xdr:col>33</xdr:col>
      <xdr:colOff>0</xdr:colOff>
      <xdr:row>28</xdr:row>
      <xdr:rowOff>60960</xdr:rowOff>
    </xdr:to>
    <xdr:sp macro="" textlink="">
      <xdr:nvSpPr>
        <xdr:cNvPr id="81" name="AutoShape 115" descr="Sales  Icon"/>
        <xdr:cNvSpPr>
          <a:spLocks noChangeAspect="1" noChangeArrowheads="1"/>
        </xdr:cNvSpPr>
      </xdr:nvSpPr>
      <xdr:spPr bwMode="auto">
        <a:xfrm>
          <a:off x="17678400" y="2743200"/>
          <a:ext cx="2438400" cy="2438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293913</xdr:colOff>
      <xdr:row>3</xdr:row>
      <xdr:rowOff>130629</xdr:rowOff>
    </xdr:from>
    <xdr:to>
      <xdr:col>4</xdr:col>
      <xdr:colOff>130628</xdr:colOff>
      <xdr:row>6</xdr:row>
      <xdr:rowOff>21772</xdr:rowOff>
    </xdr:to>
    <xdr:pic>
      <xdr:nvPicPr>
        <xdr:cNvPr id="82" name="Picture 81"/>
        <xdr:cNvPicPr>
          <a:picLocks noChangeAspect="1"/>
        </xdr:cNvPicPr>
      </xdr:nvPicPr>
      <xdr:blipFill>
        <a:blip xmlns:r="http://schemas.openxmlformats.org/officeDocument/2006/relationships" r:embed="rId16"/>
        <a:stretch>
          <a:fillRect/>
        </a:stretch>
      </xdr:blipFill>
      <xdr:spPr>
        <a:xfrm flipH="1">
          <a:off x="2122713" y="679269"/>
          <a:ext cx="446315" cy="439783"/>
        </a:xfrm>
        <a:prstGeom prst="rect">
          <a:avLst/>
        </a:prstGeom>
        <a:effectLst>
          <a:outerShdw blurRad="876300" dir="7560000" sx="95000" sy="95000" algn="ctr" rotWithShape="0">
            <a:srgbClr val="000000"/>
          </a:outerShdw>
        </a:effectLst>
      </xdr:spPr>
    </xdr:pic>
    <xdr:clientData/>
  </xdr:twoCellAnchor>
  <xdr:twoCellAnchor editAs="oneCell">
    <xdr:from>
      <xdr:col>11</xdr:col>
      <xdr:colOff>315685</xdr:colOff>
      <xdr:row>1</xdr:row>
      <xdr:rowOff>97971</xdr:rowOff>
    </xdr:from>
    <xdr:to>
      <xdr:col>13</xdr:col>
      <xdr:colOff>48985</xdr:colOff>
      <xdr:row>6</xdr:row>
      <xdr:rowOff>125185</xdr:rowOff>
    </xdr:to>
    <xdr:pic>
      <xdr:nvPicPr>
        <xdr:cNvPr id="83" name="Picture 82"/>
        <xdr:cNvPicPr>
          <a:picLocks noChangeAspect="1"/>
        </xdr:cNvPicPr>
      </xdr:nvPicPr>
      <xdr:blipFill>
        <a:blip xmlns:r="http://schemas.openxmlformats.org/officeDocument/2006/relationships" r:embed="rId17"/>
        <a:stretch>
          <a:fillRect/>
        </a:stretch>
      </xdr:blipFill>
      <xdr:spPr>
        <a:xfrm>
          <a:off x="7021285" y="280851"/>
          <a:ext cx="952500" cy="941614"/>
        </a:xfrm>
        <a:prstGeom prst="rect">
          <a:avLst/>
        </a:prstGeom>
        <a:effectLst>
          <a:glow rad="215900">
            <a:schemeClr val="accent1">
              <a:alpha val="23000"/>
            </a:schemeClr>
          </a:glow>
          <a:outerShdw blurRad="50800" dir="5400000" sx="86000" sy="86000" algn="ctr" rotWithShape="0">
            <a:srgbClr val="000000">
              <a:alpha val="42000"/>
            </a:srgbClr>
          </a:outerShdw>
          <a:reflection endPos="0" dir="5400000" sy="-100000" algn="bl" rotWithShape="0"/>
        </a:effectLst>
      </xdr:spPr>
    </xdr:pic>
    <xdr:clientData/>
  </xdr:twoCellAnchor>
  <xdr:twoCellAnchor editAs="oneCell">
    <xdr:from>
      <xdr:col>7</xdr:col>
      <xdr:colOff>359230</xdr:colOff>
      <xdr:row>2</xdr:row>
      <xdr:rowOff>174173</xdr:rowOff>
    </xdr:from>
    <xdr:to>
      <xdr:col>8</xdr:col>
      <xdr:colOff>337458</xdr:colOff>
      <xdr:row>6</xdr:row>
      <xdr:rowOff>21772</xdr:rowOff>
    </xdr:to>
    <xdr:pic>
      <xdr:nvPicPr>
        <xdr:cNvPr id="84" name="Picture 83"/>
        <xdr:cNvPicPr>
          <a:picLocks noChangeAspect="1"/>
        </xdr:cNvPicPr>
      </xdr:nvPicPr>
      <xdr:blipFill>
        <a:blip xmlns:r="http://schemas.openxmlformats.org/officeDocument/2006/relationships" r:embed="rId18"/>
        <a:stretch>
          <a:fillRect/>
        </a:stretch>
      </xdr:blipFill>
      <xdr:spPr>
        <a:xfrm>
          <a:off x="4626430" y="539933"/>
          <a:ext cx="587828" cy="579119"/>
        </a:xfrm>
        <a:prstGeom prst="rect">
          <a:avLst/>
        </a:prstGeom>
        <a:effectLst>
          <a:outerShdw blurRad="889000" sx="98000" sy="98000" algn="ctr" rotWithShape="0">
            <a:srgbClr val="000000">
              <a:alpha val="86000"/>
            </a:srgbClr>
          </a:outerShdw>
          <a:reflection stA="8000" endPos="0" dist="50800" dir="5400000" sy="-100000" algn="bl" rotWithShape="0"/>
        </a:effectLst>
      </xdr:spPr>
    </xdr:pic>
    <xdr:clientData/>
  </xdr:twoCellAnchor>
  <xdr:twoCellAnchor editAs="oneCell">
    <xdr:from>
      <xdr:col>16</xdr:col>
      <xdr:colOff>54429</xdr:colOff>
      <xdr:row>2</xdr:row>
      <xdr:rowOff>76200</xdr:rowOff>
    </xdr:from>
    <xdr:to>
      <xdr:col>17</xdr:col>
      <xdr:colOff>108857</xdr:colOff>
      <xdr:row>6</xdr:row>
      <xdr:rowOff>2176</xdr:rowOff>
    </xdr:to>
    <xdr:pic>
      <xdr:nvPicPr>
        <xdr:cNvPr id="85" name="Picture 84"/>
        <xdr:cNvPicPr>
          <a:picLocks noChangeAspect="1"/>
        </xdr:cNvPicPr>
      </xdr:nvPicPr>
      <xdr:blipFill>
        <a:blip xmlns:r="http://schemas.openxmlformats.org/officeDocument/2006/relationships" r:embed="rId19"/>
        <a:stretch>
          <a:fillRect/>
        </a:stretch>
      </xdr:blipFill>
      <xdr:spPr>
        <a:xfrm>
          <a:off x="9808029" y="441960"/>
          <a:ext cx="664028" cy="657496"/>
        </a:xfrm>
        <a:prstGeom prst="rect">
          <a:avLst/>
        </a:prstGeom>
        <a:effectLst>
          <a:outerShdw blurRad="736600" dist="50800" dir="5400000" sx="87000" sy="87000" algn="ctr" rotWithShape="0">
            <a:srgbClr val="000000">
              <a:alpha val="75000"/>
            </a:srgbClr>
          </a:outerShdw>
        </a:effectLst>
      </xdr:spPr>
    </xdr:pic>
    <xdr:clientData/>
  </xdr:twoCellAnchor>
  <xdr:twoCellAnchor editAs="oneCell">
    <xdr:from>
      <xdr:col>20</xdr:col>
      <xdr:colOff>402772</xdr:colOff>
      <xdr:row>3</xdr:row>
      <xdr:rowOff>10886</xdr:rowOff>
    </xdr:from>
    <xdr:to>
      <xdr:col>21</xdr:col>
      <xdr:colOff>304800</xdr:colOff>
      <xdr:row>5</xdr:row>
      <xdr:rowOff>152399</xdr:rowOff>
    </xdr:to>
    <xdr:pic>
      <xdr:nvPicPr>
        <xdr:cNvPr id="86" name="Picture 85"/>
        <xdr:cNvPicPr>
          <a:picLocks noChangeAspect="1"/>
        </xdr:cNvPicPr>
      </xdr:nvPicPr>
      <xdr:blipFill>
        <a:blip xmlns:r="http://schemas.openxmlformats.org/officeDocument/2006/relationships" r:embed="rId20"/>
        <a:stretch>
          <a:fillRect/>
        </a:stretch>
      </xdr:blipFill>
      <xdr:spPr>
        <a:xfrm>
          <a:off x="12594772" y="559526"/>
          <a:ext cx="511628" cy="507273"/>
        </a:xfrm>
        <a:prstGeom prst="rect">
          <a:avLst/>
        </a:prstGeom>
        <a:effectLst>
          <a:outerShdw blurRad="685800" dist="50800" dir="5400000" sx="39000" sy="39000" algn="ctr" rotWithShape="0">
            <a:srgbClr val="000000">
              <a:alpha val="19000"/>
            </a:srgbClr>
          </a:outerShdw>
        </a:effectLst>
      </xdr:spPr>
    </xdr:pic>
    <xdr:clientData/>
  </xdr:twoCellAnchor>
  <xdr:twoCellAnchor editAs="oneCell">
    <xdr:from>
      <xdr:col>24</xdr:col>
      <xdr:colOff>544286</xdr:colOff>
      <xdr:row>13</xdr:row>
      <xdr:rowOff>43543</xdr:rowOff>
    </xdr:from>
    <xdr:to>
      <xdr:col>25</xdr:col>
      <xdr:colOff>250372</xdr:colOff>
      <xdr:row>14</xdr:row>
      <xdr:rowOff>174172</xdr:rowOff>
    </xdr:to>
    <xdr:pic>
      <xdr:nvPicPr>
        <xdr:cNvPr id="87" name="Picture 86"/>
        <xdr:cNvPicPr>
          <a:picLocks noChangeAspect="1"/>
        </xdr:cNvPicPr>
      </xdr:nvPicPr>
      <xdr:blipFill>
        <a:blip xmlns:r="http://schemas.openxmlformats.org/officeDocument/2006/relationships" r:embed="rId21"/>
        <a:stretch>
          <a:fillRect/>
        </a:stretch>
      </xdr:blipFill>
      <xdr:spPr>
        <a:xfrm>
          <a:off x="15174686" y="2420983"/>
          <a:ext cx="315686" cy="313509"/>
        </a:xfrm>
        <a:prstGeom prst="rect">
          <a:avLst/>
        </a:prstGeom>
        <a:effectLst>
          <a:outerShdw blurRad="1270000" dist="50800" dir="9240000" sx="1000" sy="1000" algn="ctr" rotWithShape="0">
            <a:srgbClr val="000000">
              <a:alpha val="66000"/>
            </a:srgbClr>
          </a:outerShdw>
        </a:effectLst>
      </xdr:spPr>
    </xdr:pic>
    <xdr:clientData/>
  </xdr:twoCellAnchor>
  <xdr:twoCellAnchor>
    <xdr:from>
      <xdr:col>6</xdr:col>
      <xdr:colOff>306542</xdr:colOff>
      <xdr:row>14</xdr:row>
      <xdr:rowOff>85859</xdr:rowOff>
    </xdr:from>
    <xdr:to>
      <xdr:col>12</xdr:col>
      <xdr:colOff>304802</xdr:colOff>
      <xdr:row>26</xdr:row>
      <xdr:rowOff>43542</xdr:rowOff>
    </xdr:to>
    <xdr:graphicFrame macro="">
      <xdr:nvGraphicFramePr>
        <xdr:cNvPr id="88" name="Chart 8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8</xdr:col>
      <xdr:colOff>345440</xdr:colOff>
      <xdr:row>28</xdr:row>
      <xdr:rowOff>10886</xdr:rowOff>
    </xdr:from>
    <xdr:to>
      <xdr:col>14</xdr:col>
      <xdr:colOff>217714</xdr:colOff>
      <xdr:row>39</xdr:row>
      <xdr:rowOff>108857</xdr:rowOff>
    </xdr:to>
    <mc:AlternateContent xmlns:mc="http://schemas.openxmlformats.org/markup-compatibility/2006">
      <mc:Choice xmlns:cx="http://schemas.microsoft.com/office/drawing/2014/chartex" Requires="cx">
        <xdr:graphicFrame macro="">
          <xdr:nvGraphicFramePr>
            <xdr:cNvPr id="89" name="Chart 88"/>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23"/>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86405</xdr:colOff>
      <xdr:row>13</xdr:row>
      <xdr:rowOff>79612</xdr:rowOff>
    </xdr:from>
    <xdr:to>
      <xdr:col>6</xdr:col>
      <xdr:colOff>437931</xdr:colOff>
      <xdr:row>27</xdr:row>
      <xdr:rowOff>55041</xdr:rowOff>
    </xdr:to>
    <xdr:grpSp>
      <xdr:nvGrpSpPr>
        <xdr:cNvPr id="46" name="Group 45"/>
        <xdr:cNvGrpSpPr/>
      </xdr:nvGrpSpPr>
      <xdr:grpSpPr>
        <a:xfrm>
          <a:off x="86405" y="2457052"/>
          <a:ext cx="4009126" cy="2535749"/>
          <a:chOff x="86405" y="2457052"/>
          <a:chExt cx="4009126" cy="2535749"/>
        </a:xfrm>
      </xdr:grpSpPr>
      <xdr:grpSp>
        <xdr:nvGrpSpPr>
          <xdr:cNvPr id="48" name="Group 47"/>
          <xdr:cNvGrpSpPr/>
        </xdr:nvGrpSpPr>
        <xdr:grpSpPr>
          <a:xfrm>
            <a:off x="129182" y="2457052"/>
            <a:ext cx="3735247" cy="2310941"/>
            <a:chOff x="134470" y="2259730"/>
            <a:chExt cx="3999928" cy="2241803"/>
          </a:xfrm>
        </xdr:grpSpPr>
        <xdr:sp macro="" textlink="">
          <xdr:nvSpPr>
            <xdr:cNvPr id="49" name="Rounded Rectangle 48"/>
            <xdr:cNvSpPr/>
          </xdr:nvSpPr>
          <xdr:spPr>
            <a:xfrm>
              <a:off x="134470" y="2259730"/>
              <a:ext cx="3999928" cy="2241803"/>
            </a:xfrm>
            <a:prstGeom prst="roundRect">
              <a:avLst/>
            </a:prstGeom>
            <a:gradFill>
              <a:gsLst>
                <a:gs pos="82000">
                  <a:schemeClr val="tx2">
                    <a:lumMod val="50000"/>
                  </a:schemeClr>
                </a:gs>
                <a:gs pos="0">
                  <a:schemeClr val="tx2">
                    <a:lumMod val="40000"/>
                    <a:lumOff val="60000"/>
                    <a:alpha val="4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0" name="Rounded Rectangle 49"/>
            <xdr:cNvSpPr/>
          </xdr:nvSpPr>
          <xdr:spPr>
            <a:xfrm>
              <a:off x="367553" y="2304555"/>
              <a:ext cx="2613128" cy="247030"/>
            </a:xfrm>
            <a:prstGeom prst="roundRect">
              <a:avLst/>
            </a:prstGeom>
            <a:gradFill>
              <a:gsLst>
                <a:gs pos="0">
                  <a:schemeClr val="tx2">
                    <a:lumMod val="40000"/>
                    <a:lumOff val="60000"/>
                    <a:alpha val="71000"/>
                  </a:schemeClr>
                </a:gs>
                <a:gs pos="78000">
                  <a:schemeClr val="tx2">
                    <a:lumMod val="7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CITY</a:t>
              </a:r>
              <a:r>
                <a:rPr lang="en-IN" sz="1200" b="1" baseline="0"/>
                <a:t> WISE PROFIT MARGIN %</a:t>
              </a:r>
              <a:endParaRPr lang="en-IN" sz="1200" b="1"/>
            </a:p>
          </xdr:txBody>
        </xdr:sp>
      </xdr:grpSp>
      <xdr:graphicFrame macro="">
        <xdr:nvGraphicFramePr>
          <xdr:cNvPr id="90" name="Chart 89"/>
          <xdr:cNvGraphicFramePr>
            <a:graphicFrameLocks/>
          </xdr:cNvGraphicFramePr>
        </xdr:nvGraphicFramePr>
        <xdr:xfrm>
          <a:off x="86405" y="2669790"/>
          <a:ext cx="4009126" cy="2323011"/>
        </xdr:xfrm>
        <a:graphic>
          <a:graphicData uri="http://schemas.openxmlformats.org/drawingml/2006/chart">
            <c:chart xmlns:c="http://schemas.openxmlformats.org/drawingml/2006/chart" xmlns:r="http://schemas.openxmlformats.org/officeDocument/2006/relationships" r:id="rId24"/>
          </a:graphicData>
        </a:graphic>
      </xdr:graphicFrame>
    </xdr:grpSp>
    <xdr:clientData/>
  </xdr:twoCellAnchor>
  <xdr:twoCellAnchor>
    <xdr:from>
      <xdr:col>12</xdr:col>
      <xdr:colOff>381000</xdr:colOff>
      <xdr:row>15</xdr:row>
      <xdr:rowOff>10886</xdr:rowOff>
    </xdr:from>
    <xdr:to>
      <xdr:col>17</xdr:col>
      <xdr:colOff>478971</xdr:colOff>
      <xdr:row>27</xdr:row>
      <xdr:rowOff>10885</xdr:rowOff>
    </xdr:to>
    <xdr:graphicFrame macro="">
      <xdr:nvGraphicFramePr>
        <xdr:cNvPr id="94" name="Chart 9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17</xdr:col>
      <xdr:colOff>500743</xdr:colOff>
      <xdr:row>13</xdr:row>
      <xdr:rowOff>174171</xdr:rowOff>
    </xdr:from>
    <xdr:to>
      <xdr:col>21</xdr:col>
      <xdr:colOff>283028</xdr:colOff>
      <xdr:row>26</xdr:row>
      <xdr:rowOff>54428</xdr:rowOff>
    </xdr:to>
    <xdr:grpSp>
      <xdr:nvGrpSpPr>
        <xdr:cNvPr id="95" name="Group 94"/>
        <xdr:cNvGrpSpPr/>
      </xdr:nvGrpSpPr>
      <xdr:grpSpPr>
        <a:xfrm>
          <a:off x="10863943" y="2551611"/>
          <a:ext cx="2220685" cy="2257697"/>
          <a:chOff x="76200" y="2182009"/>
          <a:chExt cx="4549140" cy="2048436"/>
        </a:xfrm>
      </xdr:grpSpPr>
      <xdr:sp macro="" textlink="">
        <xdr:nvSpPr>
          <xdr:cNvPr id="96" name="Rounded Rectangle 95"/>
          <xdr:cNvSpPr/>
        </xdr:nvSpPr>
        <xdr:spPr>
          <a:xfrm>
            <a:off x="76200" y="2182009"/>
            <a:ext cx="4549140" cy="2048436"/>
          </a:xfrm>
          <a:prstGeom prst="roundRect">
            <a:avLst/>
          </a:prstGeom>
          <a:gradFill>
            <a:gsLst>
              <a:gs pos="82000">
                <a:schemeClr val="tx2">
                  <a:lumMod val="50000"/>
                </a:schemeClr>
              </a:gs>
              <a:gs pos="0">
                <a:schemeClr val="tx2">
                  <a:lumMod val="40000"/>
                  <a:lumOff val="60000"/>
                  <a:alpha val="4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7" name="Rounded Rectangle 96"/>
          <xdr:cNvSpPr/>
        </xdr:nvSpPr>
        <xdr:spPr>
          <a:xfrm>
            <a:off x="312418" y="2274398"/>
            <a:ext cx="4195283" cy="286091"/>
          </a:xfrm>
          <a:prstGeom prst="roundRect">
            <a:avLst/>
          </a:prstGeom>
          <a:gradFill>
            <a:gsLst>
              <a:gs pos="0">
                <a:schemeClr val="tx2">
                  <a:lumMod val="40000"/>
                  <a:lumOff val="60000"/>
                  <a:alpha val="71000"/>
                </a:schemeClr>
              </a:gs>
              <a:gs pos="78000">
                <a:schemeClr val="tx2">
                  <a:lumMod val="7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b="1" baseline="0"/>
              <a:t> QUANTITY OF EACH CATEGORY</a:t>
            </a:r>
            <a:endParaRPr lang="en-IN" sz="1050" b="1"/>
          </a:p>
        </xdr:txBody>
      </xdr:sp>
    </xdr:grpSp>
    <xdr:clientData/>
  </xdr:twoCellAnchor>
  <xdr:twoCellAnchor>
    <xdr:from>
      <xdr:col>17</xdr:col>
      <xdr:colOff>522516</xdr:colOff>
      <xdr:row>15</xdr:row>
      <xdr:rowOff>141514</xdr:rowOff>
    </xdr:from>
    <xdr:to>
      <xdr:col>21</xdr:col>
      <xdr:colOff>381001</xdr:colOff>
      <xdr:row>25</xdr:row>
      <xdr:rowOff>152400</xdr:rowOff>
    </xdr:to>
    <xdr:graphicFrame macro="">
      <xdr:nvGraphicFramePr>
        <xdr:cNvPr id="98" name="Chart 9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24</xdr:col>
      <xdr:colOff>1</xdr:colOff>
      <xdr:row>24</xdr:row>
      <xdr:rowOff>45544</xdr:rowOff>
    </xdr:from>
    <xdr:to>
      <xdr:col>26</xdr:col>
      <xdr:colOff>288072</xdr:colOff>
      <xdr:row>34</xdr:row>
      <xdr:rowOff>13263</xdr:rowOff>
    </xdr:to>
    <mc:AlternateContent xmlns:mc="http://schemas.openxmlformats.org/markup-compatibility/2006" xmlns:a14="http://schemas.microsoft.com/office/drawing/2010/main">
      <mc:Choice Requires="a14">
        <xdr:graphicFrame macro="">
          <xdr:nvGraphicFramePr>
            <xdr:cNvPr id="100" name="ProductCategory 6"/>
            <xdr:cNvGraphicFramePr/>
          </xdr:nvGraphicFramePr>
          <xdr:xfrm>
            <a:off x="0" y="0"/>
            <a:ext cx="0" cy="0"/>
          </xdr:xfrm>
          <a:graphic>
            <a:graphicData uri="http://schemas.microsoft.com/office/drawing/2010/slicer">
              <sle:slicer xmlns:sle="http://schemas.microsoft.com/office/drawing/2010/slicer" name="ProductCategory 6"/>
            </a:graphicData>
          </a:graphic>
        </xdr:graphicFrame>
      </mc:Choice>
      <mc:Fallback xmlns="">
        <xdr:sp macro="" textlink="">
          <xdr:nvSpPr>
            <xdr:cNvPr id="0" name=""/>
            <xdr:cNvSpPr>
              <a:spLocks noTextEdit="1"/>
            </xdr:cNvSpPr>
          </xdr:nvSpPr>
          <xdr:spPr>
            <a:xfrm>
              <a:off x="14681916" y="4424361"/>
              <a:ext cx="1511564" cy="17922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400705</xdr:colOff>
      <xdr:row>24</xdr:row>
      <xdr:rowOff>60115</xdr:rowOff>
    </xdr:from>
    <xdr:to>
      <xdr:col>23</xdr:col>
      <xdr:colOff>572892</xdr:colOff>
      <xdr:row>30</xdr:row>
      <xdr:rowOff>141514</xdr:rowOff>
    </xdr:to>
    <mc:AlternateContent xmlns:mc="http://schemas.openxmlformats.org/markup-compatibility/2006" xmlns:a14="http://schemas.microsoft.com/office/drawing/2010/main">
      <mc:Choice Requires="a14">
        <xdr:graphicFrame macro="">
          <xdr:nvGraphicFramePr>
            <xdr:cNvPr id="101" name="Channel 6"/>
            <xdr:cNvGraphicFramePr/>
          </xdr:nvGraphicFramePr>
          <xdr:xfrm>
            <a:off x="0" y="0"/>
            <a:ext cx="0" cy="0"/>
          </xdr:xfrm>
          <a:graphic>
            <a:graphicData uri="http://schemas.microsoft.com/office/drawing/2010/slicer">
              <sle:slicer xmlns:sle="http://schemas.microsoft.com/office/drawing/2010/slicer" name="Channel 6"/>
            </a:graphicData>
          </a:graphic>
        </xdr:graphicFrame>
      </mc:Choice>
      <mc:Fallback xmlns="">
        <xdr:sp macro="" textlink="">
          <xdr:nvSpPr>
            <xdr:cNvPr id="0" name=""/>
            <xdr:cNvSpPr>
              <a:spLocks noTextEdit="1"/>
            </xdr:cNvSpPr>
          </xdr:nvSpPr>
          <xdr:spPr>
            <a:xfrm>
              <a:off x="13247381" y="4438932"/>
              <a:ext cx="1395680" cy="11761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20662</xdr:colOff>
      <xdr:row>34</xdr:row>
      <xdr:rowOff>83127</xdr:rowOff>
    </xdr:from>
    <xdr:to>
      <xdr:col>26</xdr:col>
      <xdr:colOff>204137</xdr:colOff>
      <xdr:row>39</xdr:row>
      <xdr:rowOff>173378</xdr:rowOff>
    </xdr:to>
    <mc:AlternateContent xmlns:mc="http://schemas.openxmlformats.org/markup-compatibility/2006" xmlns:a14="http://schemas.microsoft.com/office/drawing/2010/main">
      <mc:Choice Requires="a14">
        <xdr:graphicFrame macro="">
          <xdr:nvGraphicFramePr>
            <xdr:cNvPr id="102" name="Year 6"/>
            <xdr:cNvGraphicFramePr/>
          </xdr:nvGraphicFramePr>
          <xdr:xfrm>
            <a:off x="0" y="0"/>
            <a:ext cx="0" cy="0"/>
          </xdr:xfrm>
          <a:graphic>
            <a:graphicData uri="http://schemas.microsoft.com/office/drawing/2010/slicer">
              <sle:slicer xmlns:sle="http://schemas.microsoft.com/office/drawing/2010/slicer" name="Year 6"/>
            </a:graphicData>
          </a:graphic>
        </xdr:graphicFrame>
      </mc:Choice>
      <mc:Fallback xmlns="">
        <xdr:sp macro="" textlink="">
          <xdr:nvSpPr>
            <xdr:cNvPr id="0" name=""/>
            <xdr:cNvSpPr>
              <a:spLocks noTextEdit="1"/>
            </xdr:cNvSpPr>
          </xdr:nvSpPr>
          <xdr:spPr>
            <a:xfrm>
              <a:off x="14702577" y="6286451"/>
              <a:ext cx="1406968" cy="10025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385223</xdr:colOff>
      <xdr:row>15</xdr:row>
      <xdr:rowOff>32723</xdr:rowOff>
    </xdr:from>
    <xdr:to>
      <xdr:col>23</xdr:col>
      <xdr:colOff>326570</xdr:colOff>
      <xdr:row>24</xdr:row>
      <xdr:rowOff>0</xdr:rowOff>
    </xdr:to>
    <mc:AlternateContent xmlns:mc="http://schemas.openxmlformats.org/markup-compatibility/2006" xmlns:a14="http://schemas.microsoft.com/office/drawing/2010/main">
      <mc:Choice Requires="a14">
        <xdr:graphicFrame macro="">
          <xdr:nvGraphicFramePr>
            <xdr:cNvPr id="103" name="City 2"/>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13231899" y="2769484"/>
              <a:ext cx="1164840" cy="1609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391885</xdr:colOff>
      <xdr:row>15</xdr:row>
      <xdr:rowOff>49539</xdr:rowOff>
    </xdr:from>
    <xdr:to>
      <xdr:col>26</xdr:col>
      <xdr:colOff>250370</xdr:colOff>
      <xdr:row>23</xdr:row>
      <xdr:rowOff>141516</xdr:rowOff>
    </xdr:to>
    <mc:AlternateContent xmlns:mc="http://schemas.openxmlformats.org/markup-compatibility/2006" xmlns:a14="http://schemas.microsoft.com/office/drawing/2010/main">
      <mc:Choice Requires="a14">
        <xdr:graphicFrame macro="">
          <xdr:nvGraphicFramePr>
            <xdr:cNvPr id="104" name="ProductName 1"/>
            <xdr:cNvGraphicFramePr/>
          </xdr:nvGraphicFramePr>
          <xdr:xfrm>
            <a:off x="0" y="0"/>
            <a:ext cx="0" cy="0"/>
          </xdr:xfrm>
          <a:graphic>
            <a:graphicData uri="http://schemas.microsoft.com/office/drawing/2010/slicer">
              <sle:slicer xmlns:sle="http://schemas.microsoft.com/office/drawing/2010/slicer" name="ProductName 1"/>
            </a:graphicData>
          </a:graphic>
        </xdr:graphicFrame>
      </mc:Choice>
      <mc:Fallback xmlns="">
        <xdr:sp macro="" textlink="">
          <xdr:nvSpPr>
            <xdr:cNvPr id="0" name=""/>
            <xdr:cNvSpPr>
              <a:spLocks noTextEdit="1"/>
            </xdr:cNvSpPr>
          </xdr:nvSpPr>
          <xdr:spPr>
            <a:xfrm>
              <a:off x="14462054" y="2786300"/>
              <a:ext cx="1693724" cy="15515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506671</xdr:colOff>
      <xdr:row>31</xdr:row>
      <xdr:rowOff>1463</xdr:rowOff>
    </xdr:from>
    <xdr:to>
      <xdr:col>23</xdr:col>
      <xdr:colOff>533400</xdr:colOff>
      <xdr:row>39</xdr:row>
      <xdr:rowOff>174171</xdr:rowOff>
    </xdr:to>
    <mc:AlternateContent xmlns:mc="http://schemas.openxmlformats.org/markup-compatibility/2006" xmlns:a14="http://schemas.microsoft.com/office/drawing/2010/main">
      <mc:Choice Requires="a14">
        <xdr:graphicFrame macro="">
          <xdr:nvGraphicFramePr>
            <xdr:cNvPr id="105" name="Quantity 1"/>
            <xdr:cNvGraphicFramePr/>
          </xdr:nvGraphicFramePr>
          <xdr:xfrm>
            <a:off x="0" y="0"/>
            <a:ext cx="0" cy="0"/>
          </xdr:xfrm>
          <a:graphic>
            <a:graphicData uri="http://schemas.microsoft.com/office/drawing/2010/slicer">
              <sle:slicer xmlns:sle="http://schemas.microsoft.com/office/drawing/2010/slicer" name="Quantity 1"/>
            </a:graphicData>
          </a:graphic>
        </xdr:graphicFrame>
      </mc:Choice>
      <mc:Fallback xmlns="">
        <xdr:sp macro="" textlink="">
          <xdr:nvSpPr>
            <xdr:cNvPr id="0" name=""/>
            <xdr:cNvSpPr>
              <a:spLocks noTextEdit="1"/>
            </xdr:cNvSpPr>
          </xdr:nvSpPr>
          <xdr:spPr>
            <a:xfrm>
              <a:off x="13353347" y="5657435"/>
              <a:ext cx="1250222" cy="16323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254000</xdr:colOff>
      <xdr:row>28</xdr:row>
      <xdr:rowOff>162560</xdr:rowOff>
    </xdr:from>
    <xdr:to>
      <xdr:col>8</xdr:col>
      <xdr:colOff>132080</xdr:colOff>
      <xdr:row>39</xdr:row>
      <xdr:rowOff>50800</xdr:rowOff>
    </xdr:to>
    <xdr:graphicFrame macro="">
      <xdr:nvGraphicFramePr>
        <xdr:cNvPr id="108" name="Chart 10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14</xdr:col>
      <xdr:colOff>407186</xdr:colOff>
      <xdr:row>26</xdr:row>
      <xdr:rowOff>169748</xdr:rowOff>
    </xdr:from>
    <xdr:to>
      <xdr:col>21</xdr:col>
      <xdr:colOff>416560</xdr:colOff>
      <xdr:row>40</xdr:row>
      <xdr:rowOff>102358</xdr:rowOff>
    </xdr:to>
    <xdr:grpSp>
      <xdr:nvGrpSpPr>
        <xdr:cNvPr id="51" name="Group 50"/>
        <xdr:cNvGrpSpPr/>
      </xdr:nvGrpSpPr>
      <xdr:grpSpPr>
        <a:xfrm>
          <a:off x="8941586" y="4924628"/>
          <a:ext cx="4276574" cy="2492930"/>
          <a:chOff x="8941586" y="4924628"/>
          <a:chExt cx="4276574" cy="2492930"/>
        </a:xfrm>
      </xdr:grpSpPr>
      <xdr:grpSp>
        <xdr:nvGrpSpPr>
          <xdr:cNvPr id="64" name="Group 63"/>
          <xdr:cNvGrpSpPr/>
        </xdr:nvGrpSpPr>
        <xdr:grpSpPr>
          <a:xfrm>
            <a:off x="8941586" y="4924628"/>
            <a:ext cx="4099236" cy="2492930"/>
            <a:chOff x="8982530" y="4491540"/>
            <a:chExt cx="4131080" cy="2192606"/>
          </a:xfrm>
        </xdr:grpSpPr>
        <xdr:sp macro="" textlink="">
          <xdr:nvSpPr>
            <xdr:cNvPr id="65" name="Rounded Rectangle 64"/>
            <xdr:cNvSpPr/>
          </xdr:nvSpPr>
          <xdr:spPr>
            <a:xfrm>
              <a:off x="8982530" y="4491540"/>
              <a:ext cx="4131080" cy="2192606"/>
            </a:xfrm>
            <a:prstGeom prst="roundRect">
              <a:avLst/>
            </a:prstGeom>
            <a:gradFill>
              <a:gsLst>
                <a:gs pos="82000">
                  <a:schemeClr val="tx2">
                    <a:lumMod val="50000"/>
                  </a:schemeClr>
                </a:gs>
                <a:gs pos="0">
                  <a:schemeClr val="tx2">
                    <a:lumMod val="40000"/>
                    <a:lumOff val="60000"/>
                    <a:alpha val="4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7" name="Rounded Rectangle 66"/>
            <xdr:cNvSpPr/>
          </xdr:nvSpPr>
          <xdr:spPr>
            <a:xfrm>
              <a:off x="9160931" y="4549254"/>
              <a:ext cx="3163084" cy="229890"/>
            </a:xfrm>
            <a:prstGeom prst="roundRect">
              <a:avLst/>
            </a:prstGeom>
            <a:gradFill>
              <a:gsLst>
                <a:gs pos="0">
                  <a:schemeClr val="tx2">
                    <a:lumMod val="40000"/>
                    <a:lumOff val="60000"/>
                    <a:alpha val="71000"/>
                  </a:schemeClr>
                </a:gs>
                <a:gs pos="78000">
                  <a:schemeClr val="tx2">
                    <a:lumMod val="7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PAYMENT</a:t>
              </a:r>
              <a:r>
                <a:rPr lang="en-IN" sz="1200" b="1" baseline="0"/>
                <a:t> METHOD USED IN EACH CITY</a:t>
              </a:r>
              <a:endParaRPr lang="en-IN" sz="1200" b="1"/>
            </a:p>
          </xdr:txBody>
        </xdr:sp>
      </xdr:grpSp>
      <xdr:graphicFrame macro="">
        <xdr:nvGraphicFramePr>
          <xdr:cNvPr id="93" name="Chart 92"/>
          <xdr:cNvGraphicFramePr>
            <a:graphicFrameLocks/>
          </xdr:cNvGraphicFramePr>
        </xdr:nvGraphicFramePr>
        <xdr:xfrm>
          <a:off x="9103360" y="5273040"/>
          <a:ext cx="4114800" cy="2082800"/>
        </xdr:xfrm>
        <a:graphic>
          <a:graphicData uri="http://schemas.openxmlformats.org/drawingml/2006/chart">
            <c:chart xmlns:c="http://schemas.openxmlformats.org/drawingml/2006/chart" xmlns:r="http://schemas.openxmlformats.org/officeDocument/2006/relationships" r:id="rId28"/>
          </a:graphicData>
        </a:graphic>
      </xdr:graphicFrame>
    </xdr:grp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280733</xdr:colOff>
      <xdr:row>34</xdr:row>
      <xdr:rowOff>87027</xdr:rowOff>
    </xdr:from>
    <xdr:to>
      <xdr:col>13</xdr:col>
      <xdr:colOff>607714</xdr:colOff>
      <xdr:row>49</xdr:row>
      <xdr:rowOff>87027</xdr:rowOff>
    </xdr:to>
    <mc:AlternateContent xmlns:mc="http://schemas.openxmlformats.org/markup-compatibility/2006">
      <mc:Choice xmlns:cx="http://schemas.microsoft.com/office/drawing/2014/chartex" Requires="cx">
        <xdr:graphicFrame macro="">
          <xdr:nvGraphicFramePr>
            <xdr:cNvPr id="3" name="PV region wise profit"/>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164637</xdr:colOff>
      <xdr:row>65</xdr:row>
      <xdr:rowOff>6975</xdr:rowOff>
    </xdr:from>
    <xdr:to>
      <xdr:col>7</xdr:col>
      <xdr:colOff>752281</xdr:colOff>
      <xdr:row>77</xdr:row>
      <xdr:rowOff>57990</xdr:rowOff>
    </xdr:to>
    <xdr:graphicFrame macro="">
      <xdr:nvGraphicFramePr>
        <xdr:cNvPr id="6" name="PV top 5 categorie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231322</xdr:colOff>
      <xdr:row>0</xdr:row>
      <xdr:rowOff>109275</xdr:rowOff>
    </xdr:from>
    <xdr:to>
      <xdr:col>11</xdr:col>
      <xdr:colOff>381446</xdr:colOff>
      <xdr:row>15</xdr:row>
      <xdr:rowOff>140526</xdr:rowOff>
    </xdr:to>
    <xdr:graphicFrame macro="">
      <xdr:nvGraphicFramePr>
        <xdr:cNvPr id="7" name="PV sales profit analysi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852535</xdr:colOff>
      <xdr:row>98</xdr:row>
      <xdr:rowOff>88271</xdr:rowOff>
    </xdr:from>
    <xdr:to>
      <xdr:col>8</xdr:col>
      <xdr:colOff>550753</xdr:colOff>
      <xdr:row>113</xdr:row>
      <xdr:rowOff>115431</xdr:rowOff>
    </xdr:to>
    <xdr:graphicFrame macro="">
      <xdr:nvGraphicFramePr>
        <xdr:cNvPr id="10" name="PV avg shipping days by region"/>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72478</xdr:colOff>
      <xdr:row>89</xdr:row>
      <xdr:rowOff>154461</xdr:rowOff>
    </xdr:from>
    <xdr:to>
      <xdr:col>9</xdr:col>
      <xdr:colOff>475701</xdr:colOff>
      <xdr:row>94</xdr:row>
      <xdr:rowOff>70562</xdr:rowOff>
    </xdr:to>
    <mc:AlternateContent xmlns:mc="http://schemas.openxmlformats.org/markup-compatibility/2006" xmlns:a14="http://schemas.microsoft.com/office/drawing/2010/main">
      <mc:Choice Requires="a14">
        <xdr:graphicFrame macro="">
          <xdr:nvGraphicFramePr>
            <xdr:cNvPr id="13"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955462" y="16831018"/>
              <a:ext cx="1502502" cy="8529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560823</xdr:colOff>
      <xdr:row>68</xdr:row>
      <xdr:rowOff>56919</xdr:rowOff>
    </xdr:from>
    <xdr:to>
      <xdr:col>9</xdr:col>
      <xdr:colOff>1012679</xdr:colOff>
      <xdr:row>76</xdr:row>
      <xdr:rowOff>18400</xdr:rowOff>
    </xdr:to>
    <mc:AlternateContent xmlns:mc="http://schemas.openxmlformats.org/markup-compatibility/2006" xmlns:a14="http://schemas.microsoft.com/office/drawing/2010/main">
      <mc:Choice Requires="a14">
        <xdr:graphicFrame macro="">
          <xdr:nvGraphicFramePr>
            <xdr:cNvPr id="14" name="ProductCategory 1"/>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7443807" y="12798558"/>
              <a:ext cx="1551135" cy="14604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708668</xdr:colOff>
      <xdr:row>83</xdr:row>
      <xdr:rowOff>9757</xdr:rowOff>
    </xdr:from>
    <xdr:to>
      <xdr:col>9</xdr:col>
      <xdr:colOff>78832</xdr:colOff>
      <xdr:row>88</xdr:row>
      <xdr:rowOff>74276</xdr:rowOff>
    </xdr:to>
    <mc:AlternateContent xmlns:mc="http://schemas.openxmlformats.org/markup-compatibility/2006" xmlns:a14="http://schemas.microsoft.com/office/drawing/2010/main">
      <mc:Choice Requires="a14">
        <xdr:graphicFrame macro="">
          <xdr:nvGraphicFramePr>
            <xdr:cNvPr id="16" name="Channel 1"/>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6829652" y="15562052"/>
              <a:ext cx="1231443" cy="10014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219345</xdr:colOff>
      <xdr:row>83</xdr:row>
      <xdr:rowOff>82281</xdr:rowOff>
    </xdr:from>
    <xdr:to>
      <xdr:col>10</xdr:col>
      <xdr:colOff>180793</xdr:colOff>
      <xdr:row>88</xdr:row>
      <xdr:rowOff>81704</xdr:rowOff>
    </xdr:to>
    <mc:AlternateContent xmlns:mc="http://schemas.openxmlformats.org/markup-compatibility/2006" xmlns:a14="http://schemas.microsoft.com/office/drawing/2010/main">
      <mc:Choice Requires="a14">
        <xdr:graphicFrame macro="">
          <xdr:nvGraphicFramePr>
            <xdr:cNvPr id="17"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201607" y="15634576"/>
              <a:ext cx="1048235" cy="9363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605420</xdr:colOff>
      <xdr:row>77</xdr:row>
      <xdr:rowOff>72501</xdr:rowOff>
    </xdr:from>
    <xdr:to>
      <xdr:col>9</xdr:col>
      <xdr:colOff>613787</xdr:colOff>
      <xdr:row>82</xdr:row>
      <xdr:rowOff>48617</xdr:rowOff>
    </xdr:to>
    <mc:AlternateContent xmlns:mc="http://schemas.openxmlformats.org/markup-compatibility/2006" xmlns:a14="http://schemas.microsoft.com/office/drawing/2010/main">
      <mc:Choice Requires="a14">
        <xdr:graphicFrame macro="">
          <xdr:nvGraphicFramePr>
            <xdr:cNvPr id="18"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488404" y="14500534"/>
              <a:ext cx="1107646" cy="913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0</xdr:colOff>
      <xdr:row>199</xdr:row>
      <xdr:rowOff>0</xdr:rowOff>
    </xdr:from>
    <xdr:to>
      <xdr:col>14</xdr:col>
      <xdr:colOff>452673</xdr:colOff>
      <xdr:row>214</xdr:row>
      <xdr:rowOff>27160</xdr:rowOff>
    </xdr:to>
    <xdr:graphicFrame macro="">
      <xdr:nvGraphicFramePr>
        <xdr:cNvPr id="20" name="monthly sales trend for regions"/>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0</xdr:colOff>
      <xdr:row>149</xdr:row>
      <xdr:rowOff>0</xdr:rowOff>
    </xdr:from>
    <xdr:to>
      <xdr:col>13</xdr:col>
      <xdr:colOff>807267</xdr:colOff>
      <xdr:row>164</xdr:row>
      <xdr:rowOff>27160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576648</xdr:colOff>
      <xdr:row>31</xdr:row>
      <xdr:rowOff>13180</xdr:rowOff>
    </xdr:from>
    <xdr:to>
      <xdr:col>34</xdr:col>
      <xdr:colOff>288323</xdr:colOff>
      <xdr:row>46</xdr:row>
      <xdr:rowOff>13181</xdr:rowOff>
    </xdr:to>
    <mc:AlternateContent xmlns:mc="http://schemas.openxmlformats.org/markup-compatibility/2006">
      <mc:Choice xmlns:cx="http://schemas.microsoft.com/office/drawing/2014/chartex" Requires="cx">
        <xdr:graphicFrame macro="">
          <xdr:nvGraphicFramePr>
            <xdr:cNvPr id="2" name="Chart 1"/>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7"/>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63294</xdr:colOff>
      <xdr:row>97</xdr:row>
      <xdr:rowOff>148830</xdr:rowOff>
    </xdr:from>
    <xdr:to>
      <xdr:col>27</xdr:col>
      <xdr:colOff>319216</xdr:colOff>
      <xdr:row>112</xdr:row>
      <xdr:rowOff>148831</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25</xdr:col>
      <xdr:colOff>92676</xdr:colOff>
      <xdr:row>145</xdr:row>
      <xdr:rowOff>148655</xdr:rowOff>
    </xdr:from>
    <xdr:to>
      <xdr:col>36</xdr:col>
      <xdr:colOff>202763</xdr:colOff>
      <xdr:row>161</xdr:row>
      <xdr:rowOff>4867</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21464</xdr:colOff>
      <xdr:row>200</xdr:row>
      <xdr:rowOff>82639</xdr:rowOff>
    </xdr:from>
    <xdr:to>
      <xdr:col>38</xdr:col>
      <xdr:colOff>0</xdr:colOff>
      <xdr:row>215</xdr:row>
      <xdr:rowOff>89079</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20</xdr:col>
      <xdr:colOff>61784</xdr:colOff>
      <xdr:row>1</xdr:row>
      <xdr:rowOff>144162</xdr:rowOff>
    </xdr:from>
    <xdr:to>
      <xdr:col>33</xdr:col>
      <xdr:colOff>30892</xdr:colOff>
      <xdr:row>16</xdr:row>
      <xdr:rowOff>107091</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15376</xdr:colOff>
      <xdr:row>64</xdr:row>
      <xdr:rowOff>127220</xdr:rowOff>
    </xdr:from>
    <xdr:to>
      <xdr:col>24</xdr:col>
      <xdr:colOff>325705</xdr:colOff>
      <xdr:row>79</xdr:row>
      <xdr:rowOff>90151</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782615</xdr:colOff>
      <xdr:row>246</xdr:row>
      <xdr:rowOff>2203</xdr:rowOff>
    </xdr:from>
    <xdr:to>
      <xdr:col>14</xdr:col>
      <xdr:colOff>614032</xdr:colOff>
      <xdr:row>255</xdr:row>
      <xdr:rowOff>101042</xdr:rowOff>
    </xdr:to>
    <mc:AlternateContent xmlns:mc="http://schemas.openxmlformats.org/markup-compatibility/2006" xmlns:a14="http://schemas.microsoft.com/office/drawing/2010/main">
      <mc:Choice Requires="a14">
        <xdr:graphicFrame macro="">
          <xdr:nvGraphicFramePr>
            <xdr:cNvPr id="23" name="ProductCategory 5"/>
            <xdr:cNvGraphicFramePr/>
          </xdr:nvGraphicFramePr>
          <xdr:xfrm>
            <a:off x="0" y="0"/>
            <a:ext cx="0" cy="0"/>
          </xdr:xfrm>
          <a:graphic>
            <a:graphicData uri="http://schemas.microsoft.com/office/drawing/2010/slicer">
              <sle:slicer xmlns:sle="http://schemas.microsoft.com/office/drawing/2010/slicer" name="ProductCategory 5"/>
            </a:graphicData>
          </a:graphic>
        </xdr:graphicFrame>
      </mc:Choice>
      <mc:Fallback xmlns="">
        <xdr:sp macro="" textlink="">
          <xdr:nvSpPr>
            <xdr:cNvPr id="0" name=""/>
            <xdr:cNvSpPr>
              <a:spLocks noTextEdit="1"/>
            </xdr:cNvSpPr>
          </xdr:nvSpPr>
          <xdr:spPr>
            <a:xfrm>
              <a:off x="10593365" y="46865203"/>
              <a:ext cx="2736542" cy="1813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37139</xdr:colOff>
      <xdr:row>261</xdr:row>
      <xdr:rowOff>75896</xdr:rowOff>
    </xdr:from>
    <xdr:to>
      <xdr:col>14</xdr:col>
      <xdr:colOff>570919</xdr:colOff>
      <xdr:row>269</xdr:row>
      <xdr:rowOff>107892</xdr:rowOff>
    </xdr:to>
    <mc:AlternateContent xmlns:mc="http://schemas.openxmlformats.org/markup-compatibility/2006" xmlns:a14="http://schemas.microsoft.com/office/drawing/2010/main">
      <mc:Choice Requires="a14">
        <xdr:graphicFrame macro="">
          <xdr:nvGraphicFramePr>
            <xdr:cNvPr id="24" name="Channel 5"/>
            <xdr:cNvGraphicFramePr/>
          </xdr:nvGraphicFramePr>
          <xdr:xfrm>
            <a:off x="0" y="0"/>
            <a:ext cx="0" cy="0"/>
          </xdr:xfrm>
          <a:graphic>
            <a:graphicData uri="http://schemas.microsoft.com/office/drawing/2010/slicer">
              <sle:slicer xmlns:sle="http://schemas.microsoft.com/office/drawing/2010/slicer" name="Channel 5"/>
            </a:graphicData>
          </a:graphic>
        </xdr:graphicFrame>
      </mc:Choice>
      <mc:Fallback xmlns="">
        <xdr:sp macro="" textlink="">
          <xdr:nvSpPr>
            <xdr:cNvPr id="0" name=""/>
            <xdr:cNvSpPr>
              <a:spLocks noTextEdit="1"/>
            </xdr:cNvSpPr>
          </xdr:nvSpPr>
          <xdr:spPr>
            <a:xfrm>
              <a:off x="11419514" y="49796396"/>
              <a:ext cx="1867280" cy="15559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25851</xdr:colOff>
      <xdr:row>255</xdr:row>
      <xdr:rowOff>151856</xdr:rowOff>
    </xdr:from>
    <xdr:to>
      <xdr:col>14</xdr:col>
      <xdr:colOff>570919</xdr:colOff>
      <xdr:row>261</xdr:row>
      <xdr:rowOff>29641</xdr:rowOff>
    </xdr:to>
    <mc:AlternateContent xmlns:mc="http://schemas.openxmlformats.org/markup-compatibility/2006" xmlns:a14="http://schemas.microsoft.com/office/drawing/2010/main">
      <mc:Choice Requires="a14">
        <xdr:graphicFrame macro="">
          <xdr:nvGraphicFramePr>
            <xdr:cNvPr id="25" name="Year 5"/>
            <xdr:cNvGraphicFramePr/>
          </xdr:nvGraphicFramePr>
          <xdr:xfrm>
            <a:off x="0" y="0"/>
            <a:ext cx="0" cy="0"/>
          </xdr:xfrm>
          <a:graphic>
            <a:graphicData uri="http://schemas.microsoft.com/office/drawing/2010/slicer">
              <sle:slicer xmlns:sle="http://schemas.microsoft.com/office/drawing/2010/slicer" name="Year 5"/>
            </a:graphicData>
          </a:graphic>
        </xdr:graphicFrame>
      </mc:Choice>
      <mc:Fallback xmlns="">
        <xdr:sp macro="" textlink="">
          <xdr:nvSpPr>
            <xdr:cNvPr id="0" name=""/>
            <xdr:cNvSpPr>
              <a:spLocks noTextEdit="1"/>
            </xdr:cNvSpPr>
          </xdr:nvSpPr>
          <xdr:spPr>
            <a:xfrm>
              <a:off x="11408226" y="48729356"/>
              <a:ext cx="1878568" cy="10207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36502</xdr:colOff>
      <xdr:row>255</xdr:row>
      <xdr:rowOff>124519</xdr:rowOff>
    </xdr:from>
    <xdr:to>
      <xdr:col>12</xdr:col>
      <xdr:colOff>915771</xdr:colOff>
      <xdr:row>270</xdr:row>
      <xdr:rowOff>38177</xdr:rowOff>
    </xdr:to>
    <mc:AlternateContent xmlns:mc="http://schemas.openxmlformats.org/markup-compatibility/2006" xmlns:a14="http://schemas.microsoft.com/office/drawing/2010/main">
      <mc:Choice Requires="a14">
        <xdr:graphicFrame macro="">
          <xdr:nvGraphicFramePr>
            <xdr:cNvPr id="26" name="month 4"/>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9371002" y="48702019"/>
              <a:ext cx="1355519" cy="27711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58283</xdr:colOff>
      <xdr:row>245</xdr:row>
      <xdr:rowOff>182058</xdr:rowOff>
    </xdr:from>
    <xdr:to>
      <xdr:col>10</xdr:col>
      <xdr:colOff>216244</xdr:colOff>
      <xdr:row>257</xdr:row>
      <xdr:rowOff>164757</xdr:rowOff>
    </xdr:to>
    <mc:AlternateContent xmlns:mc="http://schemas.openxmlformats.org/markup-compatibility/2006" xmlns:a14="http://schemas.microsoft.com/office/drawing/2010/main">
      <mc:Choice Requires="a14">
        <xdr:graphicFrame macro="">
          <xdr:nvGraphicFramePr>
            <xdr:cNvPr id="15"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987846" y="46854558"/>
              <a:ext cx="1229523" cy="2268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923254</xdr:colOff>
      <xdr:row>245</xdr:row>
      <xdr:rowOff>48603</xdr:rowOff>
    </xdr:from>
    <xdr:to>
      <xdr:col>7</xdr:col>
      <xdr:colOff>512030</xdr:colOff>
      <xdr:row>258</xdr:row>
      <xdr:rowOff>106010</xdr:rowOff>
    </xdr:to>
    <mc:AlternateContent xmlns:mc="http://schemas.openxmlformats.org/markup-compatibility/2006" xmlns:a14="http://schemas.microsoft.com/office/drawing/2010/main">
      <mc:Choice Requires="a14">
        <xdr:graphicFrame macro="">
          <xdr:nvGraphicFramePr>
            <xdr:cNvPr id="27"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257129" y="46721103"/>
              <a:ext cx="1816573" cy="25339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39</xdr:col>
      <xdr:colOff>195648</xdr:colOff>
      <xdr:row>2</xdr:row>
      <xdr:rowOff>64872</xdr:rowOff>
    </xdr:from>
    <xdr:to>
      <xdr:col>49</xdr:col>
      <xdr:colOff>504567</xdr:colOff>
      <xdr:row>17</xdr:row>
      <xdr:rowOff>27802</xdr:rowOff>
    </xdr:to>
    <xdr:graphicFrame macro="">
      <xdr:nvGraphicFramePr>
        <xdr:cNvPr id="28" name="Chart 2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39</xdr:col>
      <xdr:colOff>479474</xdr:colOff>
      <xdr:row>60</xdr:row>
      <xdr:rowOff>59871</xdr:rowOff>
    </xdr:from>
    <xdr:to>
      <xdr:col>47</xdr:col>
      <xdr:colOff>11546</xdr:colOff>
      <xdr:row>75</xdr:row>
      <xdr:rowOff>27214</xdr:rowOff>
    </xdr:to>
    <xdr:graphicFrame macro="">
      <xdr:nvGraphicFramePr>
        <xdr:cNvPr id="29" name="Chart 2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41</xdr:col>
      <xdr:colOff>342900</xdr:colOff>
      <xdr:row>31</xdr:row>
      <xdr:rowOff>158750</xdr:rowOff>
    </xdr:from>
    <xdr:to>
      <xdr:col>50</xdr:col>
      <xdr:colOff>723900</xdr:colOff>
      <xdr:row>47</xdr:row>
      <xdr:rowOff>57150</xdr:rowOff>
    </xdr:to>
    <mc:AlternateContent xmlns:mc="http://schemas.openxmlformats.org/markup-compatibility/2006">
      <mc:Choice xmlns:cx="http://schemas.microsoft.com/office/drawing/2014/chartex" Requires="cx">
        <xdr:graphicFrame macro="">
          <xdr:nvGraphicFramePr>
            <xdr:cNvPr id="31" name="Chart 30"/>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15"/>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48</xdr:col>
      <xdr:colOff>101599</xdr:colOff>
      <xdr:row>144</xdr:row>
      <xdr:rowOff>76200</xdr:rowOff>
    </xdr:from>
    <xdr:to>
      <xdr:col>54</xdr:col>
      <xdr:colOff>203199</xdr:colOff>
      <xdr:row>159</xdr:row>
      <xdr:rowOff>25400</xdr:rowOff>
    </xdr:to>
    <xdr:graphicFrame macro="">
      <xdr:nvGraphicFramePr>
        <xdr:cNvPr id="32" name="Chart 3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43</xdr:col>
      <xdr:colOff>730686</xdr:colOff>
      <xdr:row>199</xdr:row>
      <xdr:rowOff>136742</xdr:rowOff>
    </xdr:from>
    <xdr:to>
      <xdr:col>49</xdr:col>
      <xdr:colOff>1252604</xdr:colOff>
      <xdr:row>214</xdr:row>
      <xdr:rowOff>61586</xdr:rowOff>
    </xdr:to>
    <xdr:graphicFrame macro="">
      <xdr:nvGraphicFramePr>
        <xdr:cNvPr id="33" name="Chart 3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46</xdr:col>
      <xdr:colOff>221672</xdr:colOff>
      <xdr:row>217</xdr:row>
      <xdr:rowOff>103909</xdr:rowOff>
    </xdr:from>
    <xdr:to>
      <xdr:col>51</xdr:col>
      <xdr:colOff>55418</xdr:colOff>
      <xdr:row>232</xdr:row>
      <xdr:rowOff>145473</xdr:rowOff>
    </xdr:to>
    <xdr:graphicFrame macro="">
      <xdr:nvGraphicFramePr>
        <xdr:cNvPr id="34" name="Chart 3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55</xdr:col>
      <xdr:colOff>583230</xdr:colOff>
      <xdr:row>200</xdr:row>
      <xdr:rowOff>154603</xdr:rowOff>
    </xdr:from>
    <xdr:to>
      <xdr:col>57</xdr:col>
      <xdr:colOff>822645</xdr:colOff>
      <xdr:row>210</xdr:row>
      <xdr:rowOff>163144</xdr:rowOff>
    </xdr:to>
    <mc:AlternateContent xmlns:mc="http://schemas.openxmlformats.org/markup-compatibility/2006" xmlns:a14="http://schemas.microsoft.com/office/drawing/2010/main">
      <mc:Choice Requires="a14">
        <xdr:graphicFrame macro="">
          <xdr:nvGraphicFramePr>
            <xdr:cNvPr id="36" name="ProductCategory 4"/>
            <xdr:cNvGraphicFramePr/>
          </xdr:nvGraphicFramePr>
          <xdr:xfrm>
            <a:off x="0" y="0"/>
            <a:ext cx="0" cy="0"/>
          </xdr:xfrm>
          <a:graphic>
            <a:graphicData uri="http://schemas.microsoft.com/office/drawing/2010/slicer">
              <sle:slicer xmlns:sle="http://schemas.microsoft.com/office/drawing/2010/slicer" name="ProductCategory 4"/>
            </a:graphicData>
          </a:graphic>
        </xdr:graphicFrame>
      </mc:Choice>
      <mc:Fallback xmlns="">
        <xdr:sp macro="" textlink="">
          <xdr:nvSpPr>
            <xdr:cNvPr id="0" name=""/>
            <xdr:cNvSpPr>
              <a:spLocks noTextEdit="1"/>
            </xdr:cNvSpPr>
          </xdr:nvSpPr>
          <xdr:spPr>
            <a:xfrm>
              <a:off x="49375043" y="38254603"/>
              <a:ext cx="1644352" cy="19135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55</xdr:col>
      <xdr:colOff>494405</xdr:colOff>
      <xdr:row>214</xdr:row>
      <xdr:rowOff>43990</xdr:rowOff>
    </xdr:from>
    <xdr:to>
      <xdr:col>57</xdr:col>
      <xdr:colOff>361793</xdr:colOff>
      <xdr:row>222</xdr:row>
      <xdr:rowOff>152028</xdr:rowOff>
    </xdr:to>
    <mc:AlternateContent xmlns:mc="http://schemas.openxmlformats.org/markup-compatibility/2006" xmlns:a14="http://schemas.microsoft.com/office/drawing/2010/main">
      <mc:Choice Requires="a14">
        <xdr:graphicFrame macro="">
          <xdr:nvGraphicFramePr>
            <xdr:cNvPr id="37" name="Channel 4"/>
            <xdr:cNvGraphicFramePr/>
          </xdr:nvGraphicFramePr>
          <xdr:xfrm>
            <a:off x="0" y="0"/>
            <a:ext cx="0" cy="0"/>
          </xdr:xfrm>
          <a:graphic>
            <a:graphicData uri="http://schemas.microsoft.com/office/drawing/2010/slicer">
              <sle:slicer xmlns:sle="http://schemas.microsoft.com/office/drawing/2010/slicer" name="Channel 4"/>
            </a:graphicData>
          </a:graphic>
        </xdr:graphicFrame>
      </mc:Choice>
      <mc:Fallback xmlns="">
        <xdr:sp macro="" textlink="">
          <xdr:nvSpPr>
            <xdr:cNvPr id="0" name=""/>
            <xdr:cNvSpPr>
              <a:spLocks noTextEdit="1"/>
            </xdr:cNvSpPr>
          </xdr:nvSpPr>
          <xdr:spPr>
            <a:xfrm>
              <a:off x="40018471" y="40142679"/>
              <a:ext cx="1316437" cy="16070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53</xdr:col>
      <xdr:colOff>405557</xdr:colOff>
      <xdr:row>201</xdr:row>
      <xdr:rowOff>109183</xdr:rowOff>
    </xdr:from>
    <xdr:to>
      <xdr:col>55</xdr:col>
      <xdr:colOff>474732</xdr:colOff>
      <xdr:row>207</xdr:row>
      <xdr:rowOff>38870</xdr:rowOff>
    </xdr:to>
    <mc:AlternateContent xmlns:mc="http://schemas.openxmlformats.org/markup-compatibility/2006" xmlns:a14="http://schemas.microsoft.com/office/drawing/2010/main">
      <mc:Choice Requires="a14">
        <xdr:graphicFrame macro="">
          <xdr:nvGraphicFramePr>
            <xdr:cNvPr id="38" name="Year 4"/>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38680442" y="37771970"/>
              <a:ext cx="1318356" cy="1053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50</xdr:col>
      <xdr:colOff>382316</xdr:colOff>
      <xdr:row>189</xdr:row>
      <xdr:rowOff>5710</xdr:rowOff>
    </xdr:from>
    <xdr:to>
      <xdr:col>53</xdr:col>
      <xdr:colOff>305752</xdr:colOff>
      <xdr:row>202</xdr:row>
      <xdr:rowOff>101996</xdr:rowOff>
    </xdr:to>
    <mc:AlternateContent xmlns:mc="http://schemas.openxmlformats.org/markup-compatibility/2006" xmlns:a14="http://schemas.microsoft.com/office/drawing/2010/main">
      <mc:Choice Requires="a14">
        <xdr:graphicFrame macro="">
          <xdr:nvGraphicFramePr>
            <xdr:cNvPr id="40" name="City 1"/>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36783431" y="35419972"/>
              <a:ext cx="1797207" cy="25321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50</xdr:col>
      <xdr:colOff>538432</xdr:colOff>
      <xdr:row>208</xdr:row>
      <xdr:rowOff>158598</xdr:rowOff>
    </xdr:from>
    <xdr:to>
      <xdr:col>53</xdr:col>
      <xdr:colOff>454191</xdr:colOff>
      <xdr:row>222</xdr:row>
      <xdr:rowOff>77991</xdr:rowOff>
    </xdr:to>
    <mc:AlternateContent xmlns:mc="http://schemas.openxmlformats.org/markup-compatibility/2006" xmlns:a14="http://schemas.microsoft.com/office/drawing/2010/main">
      <mc:Choice Requires="a14">
        <xdr:graphicFrame macro="">
          <xdr:nvGraphicFramePr>
            <xdr:cNvPr id="41" name="ProductName"/>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mlns="">
        <xdr:sp macro="" textlink="">
          <xdr:nvSpPr>
            <xdr:cNvPr id="0" name=""/>
            <xdr:cNvSpPr>
              <a:spLocks noTextEdit="1"/>
            </xdr:cNvSpPr>
          </xdr:nvSpPr>
          <xdr:spPr>
            <a:xfrm>
              <a:off x="45567870" y="39782598"/>
              <a:ext cx="1817214" cy="25863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53</xdr:col>
      <xdr:colOff>453418</xdr:colOff>
      <xdr:row>184</xdr:row>
      <xdr:rowOff>159508</xdr:rowOff>
    </xdr:from>
    <xdr:to>
      <xdr:col>56</xdr:col>
      <xdr:colOff>275921</xdr:colOff>
      <xdr:row>198</xdr:row>
      <xdr:rowOff>82983</xdr:rowOff>
    </xdr:to>
    <mc:AlternateContent xmlns:mc="http://schemas.openxmlformats.org/markup-compatibility/2006" xmlns:a14="http://schemas.microsoft.com/office/drawing/2010/main">
      <mc:Choice Requires="a14">
        <xdr:graphicFrame macro="">
          <xdr:nvGraphicFramePr>
            <xdr:cNvPr id="42" name="Quantity"/>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38728303" y="34636885"/>
              <a:ext cx="1796208" cy="25467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40</xdr:col>
      <xdr:colOff>108858</xdr:colOff>
      <xdr:row>100</xdr:row>
      <xdr:rowOff>5443</xdr:rowOff>
    </xdr:from>
    <xdr:to>
      <xdr:col>47</xdr:col>
      <xdr:colOff>337458</xdr:colOff>
      <xdr:row>114</xdr:row>
      <xdr:rowOff>157843</xdr:rowOff>
    </xdr:to>
    <xdr:graphicFrame macro="">
      <xdr:nvGraphicFramePr>
        <xdr:cNvPr id="21" name="Chart 2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106680</xdr:rowOff>
    </xdr:from>
    <xdr:to>
      <xdr:col>0</xdr:col>
      <xdr:colOff>2019300</xdr:colOff>
      <xdr:row>14</xdr:row>
      <xdr:rowOff>137160</xdr:rowOff>
    </xdr:to>
    <xdr:sp macro="" textlink="">
      <xdr:nvSpPr>
        <xdr:cNvPr id="7" name="Rectangle 6"/>
        <xdr:cNvSpPr/>
      </xdr:nvSpPr>
      <xdr:spPr>
        <a:xfrm>
          <a:off x="0" y="106680"/>
          <a:ext cx="2019300" cy="2590800"/>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22860</xdr:colOff>
      <xdr:row>1</xdr:row>
      <xdr:rowOff>45720</xdr:rowOff>
    </xdr:from>
    <xdr:to>
      <xdr:col>0</xdr:col>
      <xdr:colOff>1979511</xdr:colOff>
      <xdr:row>3</xdr:row>
      <xdr:rowOff>163740</xdr:rowOff>
    </xdr:to>
    <xdr:sp macro="" textlink="">
      <xdr:nvSpPr>
        <xdr:cNvPr id="2" name="Snip Diagonal Corner Rectangle 1">
          <a:hlinkClick xmlns:r="http://schemas.openxmlformats.org/officeDocument/2006/relationships" r:id="rId1"/>
        </xdr:cNvPr>
        <xdr:cNvSpPr/>
      </xdr:nvSpPr>
      <xdr:spPr>
        <a:xfrm>
          <a:off x="22860" y="228600"/>
          <a:ext cx="1956651" cy="483780"/>
        </a:xfrm>
        <a:prstGeom prst="snip2DiagRect">
          <a:avLst/>
        </a:prstGeom>
        <a:gradFill>
          <a:gsLst>
            <a:gs pos="0">
              <a:schemeClr val="tx2">
                <a:lumMod val="40000"/>
                <a:lumOff val="60000"/>
                <a:alpha val="71000"/>
              </a:schemeClr>
            </a:gs>
            <a:gs pos="78000">
              <a:schemeClr val="tx2">
                <a:lumMod val="60000"/>
                <a:lumOff val="4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900" b="1">
              <a:latin typeface="Arial Black" panose="020B0A04020102020204" pitchFamily="34" charset="0"/>
            </a:rPr>
            <a:t>REGION</a:t>
          </a:r>
          <a:r>
            <a:rPr lang="en-IN" sz="900" b="1" baseline="0">
              <a:latin typeface="Arial Black" panose="020B0A04020102020204" pitchFamily="34" charset="0"/>
            </a:rPr>
            <a:t> BASED DASHBOARD</a:t>
          </a:r>
          <a:endParaRPr lang="en-IN" sz="900" b="1">
            <a:latin typeface="Arial Black" panose="020B0A04020102020204" pitchFamily="34" charset="0"/>
          </a:endParaRPr>
        </a:p>
      </xdr:txBody>
    </xdr:sp>
    <xdr:clientData/>
  </xdr:twoCellAnchor>
  <xdr:twoCellAnchor>
    <xdr:from>
      <xdr:col>0</xdr:col>
      <xdr:colOff>35922</xdr:colOff>
      <xdr:row>4</xdr:row>
      <xdr:rowOff>45720</xdr:rowOff>
    </xdr:from>
    <xdr:to>
      <xdr:col>0</xdr:col>
      <xdr:colOff>1992573</xdr:colOff>
      <xdr:row>7</xdr:row>
      <xdr:rowOff>45719</xdr:rowOff>
    </xdr:to>
    <xdr:sp macro="" textlink="">
      <xdr:nvSpPr>
        <xdr:cNvPr id="3" name="Snip Diagonal Corner Rectangle 2">
          <a:hlinkClick xmlns:r="http://schemas.openxmlformats.org/officeDocument/2006/relationships" r:id="rId2"/>
        </xdr:cNvPr>
        <xdr:cNvSpPr/>
      </xdr:nvSpPr>
      <xdr:spPr>
        <a:xfrm>
          <a:off x="35922" y="777240"/>
          <a:ext cx="1956651" cy="548639"/>
        </a:xfrm>
        <a:prstGeom prst="snip2DiagRect">
          <a:avLst/>
        </a:prstGeom>
        <a:gradFill>
          <a:gsLst>
            <a:gs pos="77000">
              <a:schemeClr val="tx2">
                <a:lumMod val="60000"/>
                <a:lumOff val="40000"/>
              </a:schemeClr>
            </a:gs>
            <a:gs pos="1000">
              <a:schemeClr val="tx2">
                <a:lumMod val="40000"/>
                <a:lumOff val="6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900" b="1">
              <a:latin typeface="Arial Black" panose="020B0A04020102020204" pitchFamily="34" charset="0"/>
            </a:rPr>
            <a:t>CITY BASED DASHBOARD</a:t>
          </a:r>
        </a:p>
      </xdr:txBody>
    </xdr:sp>
    <xdr:clientData/>
  </xdr:twoCellAnchor>
  <xdr:twoCellAnchor>
    <xdr:from>
      <xdr:col>0</xdr:col>
      <xdr:colOff>58897</xdr:colOff>
      <xdr:row>7</xdr:row>
      <xdr:rowOff>111782</xdr:rowOff>
    </xdr:from>
    <xdr:to>
      <xdr:col>0</xdr:col>
      <xdr:colOff>2015548</xdr:colOff>
      <xdr:row>10</xdr:row>
      <xdr:rowOff>167640</xdr:rowOff>
    </xdr:to>
    <xdr:sp macro="" textlink="">
      <xdr:nvSpPr>
        <xdr:cNvPr id="4" name="Snip Diagonal Corner Rectangle 3">
          <a:hlinkClick xmlns:r="http://schemas.openxmlformats.org/officeDocument/2006/relationships" r:id="rId3"/>
        </xdr:cNvPr>
        <xdr:cNvSpPr/>
      </xdr:nvSpPr>
      <xdr:spPr>
        <a:xfrm>
          <a:off x="58897" y="1391942"/>
          <a:ext cx="1956651" cy="604498"/>
        </a:xfrm>
        <a:prstGeom prst="snip2DiagRect">
          <a:avLst/>
        </a:prstGeom>
        <a:gradFill>
          <a:gsLst>
            <a:gs pos="0">
              <a:schemeClr val="tx2">
                <a:lumMod val="40000"/>
                <a:lumOff val="60000"/>
                <a:alpha val="71000"/>
              </a:schemeClr>
            </a:gs>
            <a:gs pos="78000">
              <a:schemeClr val="tx2">
                <a:lumMod val="60000"/>
                <a:lumOff val="4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900" b="1">
              <a:latin typeface="Arial Black" panose="020B0A04020102020204" pitchFamily="34" charset="0"/>
            </a:rPr>
            <a:t>COUNTRY BASED DASHBOARD</a:t>
          </a:r>
        </a:p>
      </xdr:txBody>
    </xdr:sp>
    <xdr:clientData/>
  </xdr:twoCellAnchor>
  <xdr:twoCellAnchor>
    <xdr:from>
      <xdr:col>0</xdr:col>
      <xdr:colOff>70269</xdr:colOff>
      <xdr:row>11</xdr:row>
      <xdr:rowOff>49620</xdr:rowOff>
    </xdr:from>
    <xdr:to>
      <xdr:col>0</xdr:col>
      <xdr:colOff>2026920</xdr:colOff>
      <xdr:row>13</xdr:row>
      <xdr:rowOff>167640</xdr:rowOff>
    </xdr:to>
    <xdr:sp macro="" textlink="">
      <xdr:nvSpPr>
        <xdr:cNvPr id="5" name="Snip Diagonal Corner Rectangle 4">
          <a:hlinkClick xmlns:r="http://schemas.openxmlformats.org/officeDocument/2006/relationships" r:id="rId4"/>
        </xdr:cNvPr>
        <xdr:cNvSpPr/>
      </xdr:nvSpPr>
      <xdr:spPr>
        <a:xfrm>
          <a:off x="70269" y="2061300"/>
          <a:ext cx="1956651" cy="483780"/>
        </a:xfrm>
        <a:prstGeom prst="snip2DiagRect">
          <a:avLst/>
        </a:prstGeom>
        <a:gradFill>
          <a:gsLst>
            <a:gs pos="0">
              <a:schemeClr val="tx2">
                <a:lumMod val="40000"/>
                <a:lumOff val="60000"/>
                <a:alpha val="71000"/>
              </a:schemeClr>
            </a:gs>
            <a:gs pos="78000">
              <a:schemeClr val="tx2">
                <a:lumMod val="7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latin typeface="Arial Black" panose="020B0A04020102020204" pitchFamily="34" charset="0"/>
            </a:rPr>
            <a:t>DATASET</a:t>
          </a:r>
          <a:r>
            <a:rPr lang="en-IN" sz="1100" baseline="0"/>
            <a:t> </a:t>
          </a:r>
          <a:endParaRPr lang="en-IN"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29593</xdr:colOff>
      <xdr:row>15</xdr:row>
      <xdr:rowOff>163499</xdr:rowOff>
    </xdr:from>
    <xdr:to>
      <xdr:col>2</xdr:col>
      <xdr:colOff>14797</xdr:colOff>
      <xdr:row>20</xdr:row>
      <xdr:rowOff>66584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110971</xdr:colOff>
      <xdr:row>15</xdr:row>
      <xdr:rowOff>141303</xdr:rowOff>
    </xdr:from>
    <xdr:to>
      <xdr:col>4</xdr:col>
      <xdr:colOff>651029</xdr:colOff>
      <xdr:row>18</xdr:row>
      <xdr:rowOff>59185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244137</xdr:colOff>
      <xdr:row>16</xdr:row>
      <xdr:rowOff>22934</xdr:rowOff>
    </xdr:from>
    <xdr:to>
      <xdr:col>7</xdr:col>
      <xdr:colOff>747205</xdr:colOff>
      <xdr:row>18</xdr:row>
      <xdr:rowOff>133166</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147961</xdr:colOff>
      <xdr:row>16</xdr:row>
      <xdr:rowOff>30332</xdr:rowOff>
    </xdr:from>
    <xdr:to>
      <xdr:col>10</xdr:col>
      <xdr:colOff>628835</xdr:colOff>
      <xdr:row>18</xdr:row>
      <xdr:rowOff>59185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199747</xdr:colOff>
      <xdr:row>15</xdr:row>
      <xdr:rowOff>178294</xdr:rowOff>
    </xdr:from>
    <xdr:to>
      <xdr:col>13</xdr:col>
      <xdr:colOff>902563</xdr:colOff>
      <xdr:row>18</xdr:row>
      <xdr:rowOff>81379</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064.596256249999" createdVersion="6" refreshedVersion="6" minRefreshableVersion="3" recordCount="1000">
  <cacheSource type="worksheet">
    <worksheetSource ref="B1:T1001" sheet="sales data set"/>
  </cacheSource>
  <cacheFields count="20">
    <cacheField name="id" numFmtId="0">
      <sharedItems containsSemiMixedTypes="0" containsString="0" containsNumber="1" containsInteger="1" minValue="1" maxValue="1000"/>
    </cacheField>
    <cacheField name="OrderID" numFmtId="0">
      <sharedItems count="1000">
        <s v="ORD00001"/>
        <s v="ORD00002"/>
        <s v="ORD00003"/>
        <s v="ORD00004"/>
        <s v="ORD00005"/>
        <s v="ORD00006"/>
        <s v="ORD00007"/>
        <s v="ORD00008"/>
        <s v="ORD00009"/>
        <s v="ORD00010"/>
        <s v="ORD00011"/>
        <s v="ORD00012"/>
        <s v="ORD00013"/>
        <s v="ORD00014"/>
        <s v="ORD00015"/>
        <s v="ORD00016"/>
        <s v="ORD00017"/>
        <s v="ORD00018"/>
        <s v="ORD00019"/>
        <s v="ORD00020"/>
        <s v="ORD00021"/>
        <s v="ORD00022"/>
        <s v="ORD00023"/>
        <s v="ORD00024"/>
        <s v="ORD00025"/>
        <s v="ORD00026"/>
        <s v="ORD00027"/>
        <s v="ORD00028"/>
        <s v="ORD00029"/>
        <s v="ORD00030"/>
        <s v="ORD00031"/>
        <s v="ORD00032"/>
        <s v="ORD00033"/>
        <s v="ORD00034"/>
        <s v="ORD00035"/>
        <s v="ORD00036"/>
        <s v="ORD00037"/>
        <s v="ORD00038"/>
        <s v="ORD00039"/>
        <s v="ORD00040"/>
        <s v="ORD00041"/>
        <s v="ORD00042"/>
        <s v="ORD00043"/>
        <s v="ORD00044"/>
        <s v="ORD00045"/>
        <s v="ORD00046"/>
        <s v="ORD00047"/>
        <s v="ORD00048"/>
        <s v="ORD00049"/>
        <s v="ORD00050"/>
        <s v="ORD00051"/>
        <s v="ORD00052"/>
        <s v="ORD00053"/>
        <s v="ORD00054"/>
        <s v="ORD00055"/>
        <s v="ORD00056"/>
        <s v="ORD00057"/>
        <s v="ORD00058"/>
        <s v="ORD00059"/>
        <s v="ORD00060"/>
        <s v="ORD00061"/>
        <s v="ORD00062"/>
        <s v="ORD00063"/>
        <s v="ORD00064"/>
        <s v="ORD00065"/>
        <s v="ORD00066"/>
        <s v="ORD00067"/>
        <s v="ORD00068"/>
        <s v="ORD00069"/>
        <s v="ORD00070"/>
        <s v="ORD00071"/>
        <s v="ORD00072"/>
        <s v="ORD00073"/>
        <s v="ORD00074"/>
        <s v="ORD00075"/>
        <s v="ORD00076"/>
        <s v="ORD00077"/>
        <s v="ORD00078"/>
        <s v="ORD00079"/>
        <s v="ORD00080"/>
        <s v="ORD00081"/>
        <s v="ORD00082"/>
        <s v="ORD00083"/>
        <s v="ORD00084"/>
        <s v="ORD00085"/>
        <s v="ORD00086"/>
        <s v="ORD00087"/>
        <s v="ORD00088"/>
        <s v="ORD00089"/>
        <s v="ORD00090"/>
        <s v="ORD00091"/>
        <s v="ORD00092"/>
        <s v="ORD00093"/>
        <s v="ORD00094"/>
        <s v="ORD00095"/>
        <s v="ORD00096"/>
        <s v="ORD00097"/>
        <s v="ORD00098"/>
        <s v="ORD00099"/>
        <s v="ORD00100"/>
        <s v="ORD00101"/>
        <s v="ORD00102"/>
        <s v="ORD00103"/>
        <s v="ORD00104"/>
        <s v="ORD00105"/>
        <s v="ORD00106"/>
        <s v="ORD00107"/>
        <s v="ORD00108"/>
        <s v="ORD00109"/>
        <s v="ORD00110"/>
        <s v="ORD00111"/>
        <s v="ORD00112"/>
        <s v="ORD00113"/>
        <s v="ORD00114"/>
        <s v="ORD00115"/>
        <s v="ORD00116"/>
        <s v="ORD00117"/>
        <s v="ORD00118"/>
        <s v="ORD00119"/>
        <s v="ORD00120"/>
        <s v="ORD00121"/>
        <s v="ORD00122"/>
        <s v="ORD00123"/>
        <s v="ORD00124"/>
        <s v="ORD00125"/>
        <s v="ORD00126"/>
        <s v="ORD00127"/>
        <s v="ORD00128"/>
        <s v="ORD00129"/>
        <s v="ORD00130"/>
        <s v="ORD00131"/>
        <s v="ORD00132"/>
        <s v="ORD00133"/>
        <s v="ORD00134"/>
        <s v="ORD00135"/>
        <s v="ORD00136"/>
        <s v="ORD00137"/>
        <s v="ORD00138"/>
        <s v="ORD00139"/>
        <s v="ORD00140"/>
        <s v="ORD00141"/>
        <s v="ORD00142"/>
        <s v="ORD00143"/>
        <s v="ORD00144"/>
        <s v="ORD00145"/>
        <s v="ORD00146"/>
        <s v="ORD00147"/>
        <s v="ORD00148"/>
        <s v="ORD00149"/>
        <s v="ORD00150"/>
        <s v="ORD00151"/>
        <s v="ORD00152"/>
        <s v="ORD00153"/>
        <s v="ORD00154"/>
        <s v="ORD00155"/>
        <s v="ORD00156"/>
        <s v="ORD00157"/>
        <s v="ORD00158"/>
        <s v="ORD00159"/>
        <s v="ORD00160"/>
        <s v="ORD00161"/>
        <s v="ORD00162"/>
        <s v="ORD00163"/>
        <s v="ORD00164"/>
        <s v="ORD00165"/>
        <s v="ORD00166"/>
        <s v="ORD00167"/>
        <s v="ORD00168"/>
        <s v="ORD00169"/>
        <s v="ORD00170"/>
        <s v="ORD00171"/>
        <s v="ORD00172"/>
        <s v="ORD00173"/>
        <s v="ORD00174"/>
        <s v="ORD00175"/>
        <s v="ORD00176"/>
        <s v="ORD00177"/>
        <s v="ORD00178"/>
        <s v="ORD00179"/>
        <s v="ORD00180"/>
        <s v="ORD00181"/>
        <s v="ORD00182"/>
        <s v="ORD00183"/>
        <s v="ORD00184"/>
        <s v="ORD00185"/>
        <s v="ORD00186"/>
        <s v="ORD00187"/>
        <s v="ORD00188"/>
        <s v="ORD00189"/>
        <s v="ORD00190"/>
        <s v="ORD00191"/>
        <s v="ORD00192"/>
        <s v="ORD00193"/>
        <s v="ORD00194"/>
        <s v="ORD00195"/>
        <s v="ORD00196"/>
        <s v="ORD00197"/>
        <s v="ORD00198"/>
        <s v="ORD00199"/>
        <s v="ORD00200"/>
        <s v="ORD00201"/>
        <s v="ORD00202"/>
        <s v="ORD00203"/>
        <s v="ORD00204"/>
        <s v="ORD00205"/>
        <s v="ORD00206"/>
        <s v="ORD00207"/>
        <s v="ORD00208"/>
        <s v="ORD00209"/>
        <s v="ORD00210"/>
        <s v="ORD00211"/>
        <s v="ORD00212"/>
        <s v="ORD00213"/>
        <s v="ORD00214"/>
        <s v="ORD00215"/>
        <s v="ORD00216"/>
        <s v="ORD00217"/>
        <s v="ORD00218"/>
        <s v="ORD00219"/>
        <s v="ORD00220"/>
        <s v="ORD00221"/>
        <s v="ORD00222"/>
        <s v="ORD00223"/>
        <s v="ORD00224"/>
        <s v="ORD00225"/>
        <s v="ORD00226"/>
        <s v="ORD00227"/>
        <s v="ORD00228"/>
        <s v="ORD00229"/>
        <s v="ORD00230"/>
        <s v="ORD00231"/>
        <s v="ORD00232"/>
        <s v="ORD00233"/>
        <s v="ORD00234"/>
        <s v="ORD00235"/>
        <s v="ORD00236"/>
        <s v="ORD00237"/>
        <s v="ORD00238"/>
        <s v="ORD00239"/>
        <s v="ORD00240"/>
        <s v="ORD00241"/>
        <s v="ORD00242"/>
        <s v="ORD00243"/>
        <s v="ORD00244"/>
        <s v="ORD00245"/>
        <s v="ORD00246"/>
        <s v="ORD00247"/>
        <s v="ORD00248"/>
        <s v="ORD00249"/>
        <s v="ORD00250"/>
        <s v="ORD00251"/>
        <s v="ORD00252"/>
        <s v="ORD00253"/>
        <s v="ORD00254"/>
        <s v="ORD00255"/>
        <s v="ORD00256"/>
        <s v="ORD00257"/>
        <s v="ORD00258"/>
        <s v="ORD00259"/>
        <s v="ORD00260"/>
        <s v="ORD00261"/>
        <s v="ORD00262"/>
        <s v="ORD00263"/>
        <s v="ORD00264"/>
        <s v="ORD00265"/>
        <s v="ORD00266"/>
        <s v="ORD00267"/>
        <s v="ORD00268"/>
        <s v="ORD00269"/>
        <s v="ORD00270"/>
        <s v="ORD00271"/>
        <s v="ORD00272"/>
        <s v="ORD00273"/>
        <s v="ORD00274"/>
        <s v="ORD00275"/>
        <s v="ORD00276"/>
        <s v="ORD00277"/>
        <s v="ORD00278"/>
        <s v="ORD00279"/>
        <s v="ORD00280"/>
        <s v="ORD00281"/>
        <s v="ORD00282"/>
        <s v="ORD00283"/>
        <s v="ORD00284"/>
        <s v="ORD00285"/>
        <s v="ORD00286"/>
        <s v="ORD00287"/>
        <s v="ORD00288"/>
        <s v="ORD00289"/>
        <s v="ORD00290"/>
        <s v="ORD00291"/>
        <s v="ORD00292"/>
        <s v="ORD00293"/>
        <s v="ORD00294"/>
        <s v="ORD00295"/>
        <s v="ORD00296"/>
        <s v="ORD00297"/>
        <s v="ORD00298"/>
        <s v="ORD00299"/>
        <s v="ORD00300"/>
        <s v="ORD00301"/>
        <s v="ORD00302"/>
        <s v="ORD00303"/>
        <s v="ORD00304"/>
        <s v="ORD00305"/>
        <s v="ORD00306"/>
        <s v="ORD00307"/>
        <s v="ORD00308"/>
        <s v="ORD00309"/>
        <s v="ORD00310"/>
        <s v="ORD00311"/>
        <s v="ORD00312"/>
        <s v="ORD00313"/>
        <s v="ORD00314"/>
        <s v="ORD00315"/>
        <s v="ORD00316"/>
        <s v="ORD00317"/>
        <s v="ORD00318"/>
        <s v="ORD00319"/>
        <s v="ORD00320"/>
        <s v="ORD00321"/>
        <s v="ORD00322"/>
        <s v="ORD00323"/>
        <s v="ORD00324"/>
        <s v="ORD00325"/>
        <s v="ORD00326"/>
        <s v="ORD00327"/>
        <s v="ORD00328"/>
        <s v="ORD00329"/>
        <s v="ORD00330"/>
        <s v="ORD00331"/>
        <s v="ORD00332"/>
        <s v="ORD00333"/>
        <s v="ORD00334"/>
        <s v="ORD00335"/>
        <s v="ORD00336"/>
        <s v="ORD00337"/>
        <s v="ORD00338"/>
        <s v="ORD00339"/>
        <s v="ORD00340"/>
        <s v="ORD00341"/>
        <s v="ORD00342"/>
        <s v="ORD00343"/>
        <s v="ORD00344"/>
        <s v="ORD00345"/>
        <s v="ORD00346"/>
        <s v="ORD00347"/>
        <s v="ORD00348"/>
        <s v="ORD00349"/>
        <s v="ORD00350"/>
        <s v="ORD00351"/>
        <s v="ORD00352"/>
        <s v="ORD00353"/>
        <s v="ORD00354"/>
        <s v="ORD00355"/>
        <s v="ORD00356"/>
        <s v="ORD00357"/>
        <s v="ORD00358"/>
        <s v="ORD00359"/>
        <s v="ORD00360"/>
        <s v="ORD00361"/>
        <s v="ORD00362"/>
        <s v="ORD00363"/>
        <s v="ORD00364"/>
        <s v="ORD00365"/>
        <s v="ORD00366"/>
        <s v="ORD00367"/>
        <s v="ORD00368"/>
        <s v="ORD00369"/>
        <s v="ORD00370"/>
        <s v="ORD00371"/>
        <s v="ORD00372"/>
        <s v="ORD00373"/>
        <s v="ORD00374"/>
        <s v="ORD00375"/>
        <s v="ORD00376"/>
        <s v="ORD00377"/>
        <s v="ORD00378"/>
        <s v="ORD00379"/>
        <s v="ORD00380"/>
        <s v="ORD00381"/>
        <s v="ORD00382"/>
        <s v="ORD00383"/>
        <s v="ORD00384"/>
        <s v="ORD00385"/>
        <s v="ORD00386"/>
        <s v="ORD00387"/>
        <s v="ORD00388"/>
        <s v="ORD00389"/>
        <s v="ORD00390"/>
        <s v="ORD00391"/>
        <s v="ORD00392"/>
        <s v="ORD00393"/>
        <s v="ORD00394"/>
        <s v="ORD00395"/>
        <s v="ORD00396"/>
        <s v="ORD00397"/>
        <s v="ORD00398"/>
        <s v="ORD00399"/>
        <s v="ORD00400"/>
        <s v="ORD00401"/>
        <s v="ORD00402"/>
        <s v="ORD00403"/>
        <s v="ORD00404"/>
        <s v="ORD00405"/>
        <s v="ORD00406"/>
        <s v="ORD00407"/>
        <s v="ORD00408"/>
        <s v="ORD00409"/>
        <s v="ORD00410"/>
        <s v="ORD00411"/>
        <s v="ORD00412"/>
        <s v="ORD00413"/>
        <s v="ORD00414"/>
        <s v="ORD00415"/>
        <s v="ORD00416"/>
        <s v="ORD00417"/>
        <s v="ORD00418"/>
        <s v="ORD00419"/>
        <s v="ORD00420"/>
        <s v="ORD00421"/>
        <s v="ORD00422"/>
        <s v="ORD00423"/>
        <s v="ORD00424"/>
        <s v="ORD00425"/>
        <s v="ORD00426"/>
        <s v="ORD00427"/>
        <s v="ORD00428"/>
        <s v="ORD00429"/>
        <s v="ORD00430"/>
        <s v="ORD00431"/>
        <s v="ORD00432"/>
        <s v="ORD00433"/>
        <s v="ORD00434"/>
        <s v="ORD00435"/>
        <s v="ORD00436"/>
        <s v="ORD00437"/>
        <s v="ORD00438"/>
        <s v="ORD00439"/>
        <s v="ORD00440"/>
        <s v="ORD00441"/>
        <s v="ORD00442"/>
        <s v="ORD00443"/>
        <s v="ORD00444"/>
        <s v="ORD00445"/>
        <s v="ORD00446"/>
        <s v="ORD00447"/>
        <s v="ORD00448"/>
        <s v="ORD00449"/>
        <s v="ORD00450"/>
        <s v="ORD00451"/>
        <s v="ORD00452"/>
        <s v="ORD00453"/>
        <s v="ORD00454"/>
        <s v="ORD00455"/>
        <s v="ORD00456"/>
        <s v="ORD00457"/>
        <s v="ORD00458"/>
        <s v="ORD00459"/>
        <s v="ORD00460"/>
        <s v="ORD00461"/>
        <s v="ORD00462"/>
        <s v="ORD00463"/>
        <s v="ORD00464"/>
        <s v="ORD00465"/>
        <s v="ORD00466"/>
        <s v="ORD00467"/>
        <s v="ORD00468"/>
        <s v="ORD00469"/>
        <s v="ORD00470"/>
        <s v="ORD00471"/>
        <s v="ORD00472"/>
        <s v="ORD00473"/>
        <s v="ORD00474"/>
        <s v="ORD00475"/>
        <s v="ORD00476"/>
        <s v="ORD00477"/>
        <s v="ORD00478"/>
        <s v="ORD00479"/>
        <s v="ORD00480"/>
        <s v="ORD00481"/>
        <s v="ORD00482"/>
        <s v="ORD00483"/>
        <s v="ORD00484"/>
        <s v="ORD00485"/>
        <s v="ORD00486"/>
        <s v="ORD00487"/>
        <s v="ORD00488"/>
        <s v="ORD00489"/>
        <s v="ORD00490"/>
        <s v="ORD00491"/>
        <s v="ORD00492"/>
        <s v="ORD00493"/>
        <s v="ORD00494"/>
        <s v="ORD00495"/>
        <s v="ORD00496"/>
        <s v="ORD00497"/>
        <s v="ORD00498"/>
        <s v="ORD00499"/>
        <s v="ORD00500"/>
        <s v="ORD00501"/>
        <s v="ORD00502"/>
        <s v="ORD00503"/>
        <s v="ORD00504"/>
        <s v="ORD00505"/>
        <s v="ORD00506"/>
        <s v="ORD00507"/>
        <s v="ORD00508"/>
        <s v="ORD00509"/>
        <s v="ORD00510"/>
        <s v="ORD00511"/>
        <s v="ORD00512"/>
        <s v="ORD00513"/>
        <s v="ORD00514"/>
        <s v="ORD00515"/>
        <s v="ORD00516"/>
        <s v="ORD00517"/>
        <s v="ORD00518"/>
        <s v="ORD00519"/>
        <s v="ORD00520"/>
        <s v="ORD00521"/>
        <s v="ORD00522"/>
        <s v="ORD00523"/>
        <s v="ORD00524"/>
        <s v="ORD00525"/>
        <s v="ORD00526"/>
        <s v="ORD00527"/>
        <s v="ORD00528"/>
        <s v="ORD00529"/>
        <s v="ORD00530"/>
        <s v="ORD00531"/>
        <s v="ORD00532"/>
        <s v="ORD00533"/>
        <s v="ORD00534"/>
        <s v="ORD00535"/>
        <s v="ORD00536"/>
        <s v="ORD00537"/>
        <s v="ORD00538"/>
        <s v="ORD00539"/>
        <s v="ORD00540"/>
        <s v="ORD00541"/>
        <s v="ORD00542"/>
        <s v="ORD00543"/>
        <s v="ORD00544"/>
        <s v="ORD00545"/>
        <s v="ORD00546"/>
        <s v="ORD00547"/>
        <s v="ORD00548"/>
        <s v="ORD00549"/>
        <s v="ORD00550"/>
        <s v="ORD00551"/>
        <s v="ORD00552"/>
        <s v="ORD00553"/>
        <s v="ORD00554"/>
        <s v="ORD00555"/>
        <s v="ORD00556"/>
        <s v="ORD00557"/>
        <s v="ORD00558"/>
        <s v="ORD00559"/>
        <s v="ORD00560"/>
        <s v="ORD00561"/>
        <s v="ORD00562"/>
        <s v="ORD00563"/>
        <s v="ORD00564"/>
        <s v="ORD00565"/>
        <s v="ORD00566"/>
        <s v="ORD00567"/>
        <s v="ORD00568"/>
        <s v="ORD00569"/>
        <s v="ORD00570"/>
        <s v="ORD00571"/>
        <s v="ORD00572"/>
        <s v="ORD00573"/>
        <s v="ORD00574"/>
        <s v="ORD00575"/>
        <s v="ORD00576"/>
        <s v="ORD00577"/>
        <s v="ORD00578"/>
        <s v="ORD00579"/>
        <s v="ORD00580"/>
        <s v="ORD00581"/>
        <s v="ORD00582"/>
        <s v="ORD00583"/>
        <s v="ORD00584"/>
        <s v="ORD00585"/>
        <s v="ORD00586"/>
        <s v="ORD00587"/>
        <s v="ORD00588"/>
        <s v="ORD00589"/>
        <s v="ORD00590"/>
        <s v="ORD00591"/>
        <s v="ORD00592"/>
        <s v="ORD00593"/>
        <s v="ORD00594"/>
        <s v="ORD00595"/>
        <s v="ORD00596"/>
        <s v="ORD00597"/>
        <s v="ORD00598"/>
        <s v="ORD00599"/>
        <s v="ORD00600"/>
        <s v="ORD00601"/>
        <s v="ORD00602"/>
        <s v="ORD00603"/>
        <s v="ORD00604"/>
        <s v="ORD00605"/>
        <s v="ORD00606"/>
        <s v="ORD00607"/>
        <s v="ORD00608"/>
        <s v="ORD00609"/>
        <s v="ORD00610"/>
        <s v="ORD00611"/>
        <s v="ORD00612"/>
        <s v="ORD00613"/>
        <s v="ORD00614"/>
        <s v="ORD00615"/>
        <s v="ORD00616"/>
        <s v="ORD00617"/>
        <s v="ORD00618"/>
        <s v="ORD00619"/>
        <s v="ORD00620"/>
        <s v="ORD00621"/>
        <s v="ORD00622"/>
        <s v="ORD00623"/>
        <s v="ORD00624"/>
        <s v="ORD00625"/>
        <s v="ORD00626"/>
        <s v="ORD00627"/>
        <s v="ORD00628"/>
        <s v="ORD00629"/>
        <s v="ORD00630"/>
        <s v="ORD00631"/>
        <s v="ORD00632"/>
        <s v="ORD00633"/>
        <s v="ORD00634"/>
        <s v="ORD00635"/>
        <s v="ORD00636"/>
        <s v="ORD00637"/>
        <s v="ORD00638"/>
        <s v="ORD00639"/>
        <s v="ORD00640"/>
        <s v="ORD00641"/>
        <s v="ORD00642"/>
        <s v="ORD00643"/>
        <s v="ORD00644"/>
        <s v="ORD00645"/>
        <s v="ORD00646"/>
        <s v="ORD00647"/>
        <s v="ORD00648"/>
        <s v="ORD00649"/>
        <s v="ORD00650"/>
        <s v="ORD00651"/>
        <s v="ORD00652"/>
        <s v="ORD00653"/>
        <s v="ORD00654"/>
        <s v="ORD00655"/>
        <s v="ORD00656"/>
        <s v="ORD00657"/>
        <s v="ORD00658"/>
        <s v="ORD00659"/>
        <s v="ORD00660"/>
        <s v="ORD00661"/>
        <s v="ORD00662"/>
        <s v="ORD00663"/>
        <s v="ORD00664"/>
        <s v="ORD00665"/>
        <s v="ORD00666"/>
        <s v="ORD00667"/>
        <s v="ORD00668"/>
        <s v="ORD00669"/>
        <s v="ORD00670"/>
        <s v="ORD00671"/>
        <s v="ORD00672"/>
        <s v="ORD00673"/>
        <s v="ORD00674"/>
        <s v="ORD00675"/>
        <s v="ORD00676"/>
        <s v="ORD00677"/>
        <s v="ORD00678"/>
        <s v="ORD00679"/>
        <s v="ORD00680"/>
        <s v="ORD00681"/>
        <s v="ORD00682"/>
        <s v="ORD00683"/>
        <s v="ORD00684"/>
        <s v="ORD00685"/>
        <s v="ORD00686"/>
        <s v="ORD00687"/>
        <s v="ORD00688"/>
        <s v="ORD00689"/>
        <s v="ORD00690"/>
        <s v="ORD00691"/>
        <s v="ORD00692"/>
        <s v="ORD00693"/>
        <s v="ORD00694"/>
        <s v="ORD00695"/>
        <s v="ORD00696"/>
        <s v="ORD00697"/>
        <s v="ORD00698"/>
        <s v="ORD00699"/>
        <s v="ORD00700"/>
        <s v="ORD00701"/>
        <s v="ORD00702"/>
        <s v="ORD00703"/>
        <s v="ORD00704"/>
        <s v="ORD00705"/>
        <s v="ORD00706"/>
        <s v="ORD00707"/>
        <s v="ORD00708"/>
        <s v="ORD00709"/>
        <s v="ORD00710"/>
        <s v="ORD00711"/>
        <s v="ORD00712"/>
        <s v="ORD00713"/>
        <s v="ORD00714"/>
        <s v="ORD00715"/>
        <s v="ORD00716"/>
        <s v="ORD00717"/>
        <s v="ORD00718"/>
        <s v="ORD00719"/>
        <s v="ORD00720"/>
        <s v="ORD00721"/>
        <s v="ORD00722"/>
        <s v="ORD00723"/>
        <s v="ORD00724"/>
        <s v="ORD00725"/>
        <s v="ORD00726"/>
        <s v="ORD00727"/>
        <s v="ORD00728"/>
        <s v="ORD00729"/>
        <s v="ORD00730"/>
        <s v="ORD00731"/>
        <s v="ORD00732"/>
        <s v="ORD00733"/>
        <s v="ORD00734"/>
        <s v="ORD00735"/>
        <s v="ORD00736"/>
        <s v="ORD00737"/>
        <s v="ORD00738"/>
        <s v="ORD00739"/>
        <s v="ORD00740"/>
        <s v="ORD00741"/>
        <s v="ORD00742"/>
        <s v="ORD00743"/>
        <s v="ORD00744"/>
        <s v="ORD00745"/>
        <s v="ORD00746"/>
        <s v="ORD00747"/>
        <s v="ORD00748"/>
        <s v="ORD00749"/>
        <s v="ORD00750"/>
        <s v="ORD00751"/>
        <s v="ORD00752"/>
        <s v="ORD00753"/>
        <s v="ORD00754"/>
        <s v="ORD00755"/>
        <s v="ORD00756"/>
        <s v="ORD00757"/>
        <s v="ORD00758"/>
        <s v="ORD00759"/>
        <s v="ORD00760"/>
        <s v="ORD00761"/>
        <s v="ORD00762"/>
        <s v="ORD00763"/>
        <s v="ORD00764"/>
        <s v="ORD00765"/>
        <s v="ORD00766"/>
        <s v="ORD00767"/>
        <s v="ORD00768"/>
        <s v="ORD00769"/>
        <s v="ORD00770"/>
        <s v="ORD00771"/>
        <s v="ORD00772"/>
        <s v="ORD00773"/>
        <s v="ORD00774"/>
        <s v="ORD00775"/>
        <s v="ORD00776"/>
        <s v="ORD00777"/>
        <s v="ORD00778"/>
        <s v="ORD00779"/>
        <s v="ORD00780"/>
        <s v="ORD00781"/>
        <s v="ORD00782"/>
        <s v="ORD00783"/>
        <s v="ORD00784"/>
        <s v="ORD00785"/>
        <s v="ORD00786"/>
        <s v="ORD00787"/>
        <s v="ORD00788"/>
        <s v="ORD00789"/>
        <s v="ORD00790"/>
        <s v="ORD00791"/>
        <s v="ORD00792"/>
        <s v="ORD00793"/>
        <s v="ORD00794"/>
        <s v="ORD00795"/>
        <s v="ORD00796"/>
        <s v="ORD00797"/>
        <s v="ORD00798"/>
        <s v="ORD00799"/>
        <s v="ORD00800"/>
        <s v="ORD00801"/>
        <s v="ORD00802"/>
        <s v="ORD00803"/>
        <s v="ORD00804"/>
        <s v="ORD00805"/>
        <s v="ORD00806"/>
        <s v="ORD00807"/>
        <s v="ORD00808"/>
        <s v="ORD00809"/>
        <s v="ORD00810"/>
        <s v="ORD00811"/>
        <s v="ORD00812"/>
        <s v="ORD00813"/>
        <s v="ORD00814"/>
        <s v="ORD00815"/>
        <s v="ORD00816"/>
        <s v="ORD00817"/>
        <s v="ORD00818"/>
        <s v="ORD00819"/>
        <s v="ORD00820"/>
        <s v="ORD00821"/>
        <s v="ORD00822"/>
        <s v="ORD00823"/>
        <s v="ORD00824"/>
        <s v="ORD00825"/>
        <s v="ORD00826"/>
        <s v="ORD00827"/>
        <s v="ORD00828"/>
        <s v="ORD00829"/>
        <s v="ORD00830"/>
        <s v="ORD00831"/>
        <s v="ORD00832"/>
        <s v="ORD00833"/>
        <s v="ORD00834"/>
        <s v="ORD00835"/>
        <s v="ORD00836"/>
        <s v="ORD00837"/>
        <s v="ORD00838"/>
        <s v="ORD00839"/>
        <s v="ORD00840"/>
        <s v="ORD00841"/>
        <s v="ORD00842"/>
        <s v="ORD00843"/>
        <s v="ORD00844"/>
        <s v="ORD00845"/>
        <s v="ORD00846"/>
        <s v="ORD00847"/>
        <s v="ORD00848"/>
        <s v="ORD00849"/>
        <s v="ORD00850"/>
        <s v="ORD00851"/>
        <s v="ORD00852"/>
        <s v="ORD00853"/>
        <s v="ORD00854"/>
        <s v="ORD00855"/>
        <s v="ORD00856"/>
        <s v="ORD00857"/>
        <s v="ORD00858"/>
        <s v="ORD00859"/>
        <s v="ORD00860"/>
        <s v="ORD00861"/>
        <s v="ORD00862"/>
        <s v="ORD00863"/>
        <s v="ORD00864"/>
        <s v="ORD00865"/>
        <s v="ORD00866"/>
        <s v="ORD00867"/>
        <s v="ORD00868"/>
        <s v="ORD00869"/>
        <s v="ORD00870"/>
        <s v="ORD00871"/>
        <s v="ORD00872"/>
        <s v="ORD00873"/>
        <s v="ORD00874"/>
        <s v="ORD00875"/>
        <s v="ORD00876"/>
        <s v="ORD00877"/>
        <s v="ORD00878"/>
        <s v="ORD00879"/>
        <s v="ORD00880"/>
        <s v="ORD00881"/>
        <s v="ORD00882"/>
        <s v="ORD00883"/>
        <s v="ORD00884"/>
        <s v="ORD00885"/>
        <s v="ORD00886"/>
        <s v="ORD00887"/>
        <s v="ORD00888"/>
        <s v="ORD00889"/>
        <s v="ORD00890"/>
        <s v="ORD00891"/>
        <s v="ORD00892"/>
        <s v="ORD00893"/>
        <s v="ORD00894"/>
        <s v="ORD00895"/>
        <s v="ORD00896"/>
        <s v="ORD00897"/>
        <s v="ORD00898"/>
        <s v="ORD00899"/>
        <s v="ORD00900"/>
        <s v="ORD00901"/>
        <s v="ORD00902"/>
        <s v="ORD00903"/>
        <s v="ORD00904"/>
        <s v="ORD00905"/>
        <s v="ORD00906"/>
        <s v="ORD00907"/>
        <s v="ORD00908"/>
        <s v="ORD00909"/>
        <s v="ORD00910"/>
        <s v="ORD00911"/>
        <s v="ORD00912"/>
        <s v="ORD00913"/>
        <s v="ORD00914"/>
        <s v="ORD00915"/>
        <s v="ORD00916"/>
        <s v="ORD00917"/>
        <s v="ORD00918"/>
        <s v="ORD00919"/>
        <s v="ORD00920"/>
        <s v="ORD00921"/>
        <s v="ORD00922"/>
        <s v="ORD00923"/>
        <s v="ORD00924"/>
        <s v="ORD00925"/>
        <s v="ORD00926"/>
        <s v="ORD00927"/>
        <s v="ORD00928"/>
        <s v="ORD00929"/>
        <s v="ORD00930"/>
        <s v="ORD00931"/>
        <s v="ORD00932"/>
        <s v="ORD00933"/>
        <s v="ORD00934"/>
        <s v="ORD00935"/>
        <s v="ORD00936"/>
        <s v="ORD00937"/>
        <s v="ORD00938"/>
        <s v="ORD00939"/>
        <s v="ORD00940"/>
        <s v="ORD00941"/>
        <s v="ORD00942"/>
        <s v="ORD00943"/>
        <s v="ORD00944"/>
        <s v="ORD00945"/>
        <s v="ORD00946"/>
        <s v="ORD00947"/>
        <s v="ORD00948"/>
        <s v="ORD00949"/>
        <s v="ORD00950"/>
        <s v="ORD00951"/>
        <s v="ORD00952"/>
        <s v="ORD00953"/>
        <s v="ORD00954"/>
        <s v="ORD00955"/>
        <s v="ORD00956"/>
        <s v="ORD00957"/>
        <s v="ORD00958"/>
        <s v="ORD00959"/>
        <s v="ORD00960"/>
        <s v="ORD00961"/>
        <s v="ORD00962"/>
        <s v="ORD00963"/>
        <s v="ORD00964"/>
        <s v="ORD00965"/>
        <s v="ORD00966"/>
        <s v="ORD00967"/>
        <s v="ORD00968"/>
        <s v="ORD00969"/>
        <s v="ORD00970"/>
        <s v="ORD00971"/>
        <s v="ORD00972"/>
        <s v="ORD00973"/>
        <s v="ORD00974"/>
        <s v="ORD00975"/>
        <s v="ORD00976"/>
        <s v="ORD00977"/>
        <s v="ORD00978"/>
        <s v="ORD00979"/>
        <s v="ORD00980"/>
        <s v="ORD00981"/>
        <s v="ORD00982"/>
        <s v="ORD00983"/>
        <s v="ORD00984"/>
        <s v="ORD00985"/>
        <s v="ORD00986"/>
        <s v="ORD00987"/>
        <s v="ORD00988"/>
        <s v="ORD00989"/>
        <s v="ORD00990"/>
        <s v="ORD00991"/>
        <s v="ORD00992"/>
        <s v="ORD00993"/>
        <s v="ORD00994"/>
        <s v="ORD00995"/>
        <s v="ORD00996"/>
        <s v="ORD00997"/>
        <s v="ORD00998"/>
        <s v="ORD00999"/>
        <s v="ORD01000"/>
      </sharedItems>
    </cacheField>
    <cacheField name="OrderDate" numFmtId="0">
      <sharedItems count="559">
        <s v="2024-11-14"/>
        <s v="2024-06-01"/>
        <s v="2025-11-13"/>
        <s v="2024-02-18"/>
        <s v="2024-05-31"/>
        <s v="2024-12-27"/>
        <s v="2024-07-12"/>
        <s v="2024-01-20"/>
        <s v="2024-10-22"/>
        <s v="2024-03-05"/>
        <s v="2024-07-03"/>
        <s v="2024-08-06"/>
        <s v="2025-05-31"/>
        <s v="2025-01-28"/>
        <s v="2025-06-23"/>
        <s v="2024-11-06"/>
        <s v="2024-06-12"/>
        <s v="2025-05-23"/>
        <s v="2025-04-01"/>
        <s v="2025-07-28"/>
        <s v="2024-03-21"/>
        <s v="2024-02-22"/>
        <s v="2024-03-06"/>
        <s v="2025-08-11"/>
        <s v="2024-09-13"/>
        <s v="2025-09-14"/>
        <s v="2024-05-23"/>
        <s v="2025-08-15"/>
        <s v="2024-01-04"/>
        <s v="2025-03-11"/>
        <s v="2024-12-09"/>
        <s v="2025-02-08"/>
        <s v="2024-04-08"/>
        <s v="2024-05-03"/>
        <s v="2025-08-19"/>
        <s v="2025-03-01"/>
        <s v="2025-12-18"/>
        <s v="2025-07-05"/>
        <s v="2025-09-05"/>
        <s v="2024-09-07"/>
        <s v="2025-09-22"/>
        <s v="2024-12-12"/>
        <s v="2024-11-04"/>
        <s v="2024-05-24"/>
        <s v="2025-05-10"/>
        <s v="2025-11-22"/>
        <s v="2024-04-21"/>
        <s v="2024-03-30"/>
        <s v="2024-08-08"/>
        <s v="2024-05-25"/>
        <s v="2024-12-06"/>
        <s v="2024-11-11"/>
        <s v="2024-09-23"/>
        <s v="2024-10-04"/>
        <s v="2024-08-19"/>
        <s v="2024-01-17"/>
        <s v="2024-07-18"/>
        <s v="2025-06-05"/>
        <s v="2024-10-12"/>
        <s v="2024-12-05"/>
        <s v="2024-12-23"/>
        <s v="2024-07-31"/>
        <s v="2025-10-11"/>
        <s v="2024-12-24"/>
        <s v="2024-05-16"/>
        <s v="2024-12-30"/>
        <s v="2025-01-13"/>
        <s v="2025-07-03"/>
        <s v="2025-06-28"/>
        <s v="2025-04-15"/>
        <s v="2025-08-26"/>
        <s v="2025-12-16"/>
        <s v="2024-05-08"/>
        <s v="2024-11-20"/>
        <s v="2025-12-15"/>
        <s v="2025-08-02"/>
        <s v="2024-12-14"/>
        <s v="2024-08-07"/>
        <s v="2025-01-02"/>
        <s v="2025-03-28"/>
        <s v="2025-02-16"/>
        <s v="2024-06-22"/>
        <s v="2024-06-04"/>
        <s v="2024-08-02"/>
        <s v="2025-12-10"/>
        <s v="2024-09-25"/>
        <s v="2025-01-06"/>
        <s v="2025-11-04"/>
        <s v="2024-06-29"/>
        <s v="2024-04-07"/>
        <s v="2025-11-28"/>
        <s v="2024-09-20"/>
        <s v="2025-04-03"/>
        <s v="2025-07-11"/>
        <s v="2024-05-06"/>
        <s v="2024-07-28"/>
        <s v="2025-08-01"/>
        <s v="2025-03-08"/>
        <s v="2024-08-27"/>
        <s v="2025-10-20"/>
        <s v="2025-12-28"/>
        <s v="2024-12-15"/>
        <s v="2025-08-25"/>
        <s v="2025-11-21"/>
        <s v="2025-10-08"/>
        <s v="2025-11-09"/>
        <s v="2025-02-14"/>
        <s v="2024-07-07"/>
        <s v="2025-05-13"/>
        <s v="2025-12-09"/>
        <s v="2024-06-05"/>
        <s v="2024-07-21"/>
        <s v="2025-10-29"/>
        <s v="2024-03-02"/>
        <s v="2024-11-16"/>
        <s v="2024-04-18"/>
        <s v="2024-08-22"/>
        <s v="2025-11-27"/>
        <s v="2025-08-29"/>
        <s v="2025-10-10"/>
        <s v="2025-04-17"/>
        <s v="2025-05-18"/>
        <s v="2024-10-05"/>
        <s v="2024-11-19"/>
        <s v="2025-11-23"/>
        <s v="2024-06-30"/>
        <s v="2024-01-23"/>
        <s v="2025-08-05"/>
        <s v="2024-10-01"/>
        <s v="2025-04-18"/>
        <s v="2024-12-29"/>
        <s v="2024-12-26"/>
        <s v="2025-01-27"/>
        <s v="2025-03-15"/>
        <s v="2025-06-22"/>
        <s v="2024-10-27"/>
        <s v="2024-06-16"/>
        <s v="2025-04-19"/>
        <s v="2024-05-12"/>
        <s v="2025-02-19"/>
        <s v="2025-04-14"/>
        <s v="2025-02-10"/>
        <s v="2025-12-20"/>
        <s v="2024-12-08"/>
        <s v="2025-12-31"/>
        <s v="2024-01-09"/>
        <s v="2024-08-03"/>
        <s v="2024-02-27"/>
        <s v="2024-03-11"/>
        <s v="2025-05-08"/>
        <s v="2025-01-18"/>
        <s v="2024-09-04"/>
        <s v="2025-09-18"/>
        <s v="2024-12-25"/>
        <s v="2024-09-28"/>
        <s v="2024-03-14"/>
        <s v="2025-03-03"/>
        <s v="2025-11-26"/>
        <s v="2025-10-23"/>
        <s v="2024-11-26"/>
        <s v="2025-10-06"/>
        <s v="2025-07-18"/>
        <s v="2024-01-26"/>
        <s v="2024-01-05"/>
        <s v="2024-09-02"/>
        <s v="2025-01-10"/>
        <s v="2024-02-25"/>
        <s v="2024-06-25"/>
        <s v="2024-06-20"/>
        <s v="2024-04-05"/>
        <s v="2024-04-04"/>
        <s v="2024-04-09"/>
        <s v="2024-11-15"/>
        <s v="2025-06-09"/>
        <s v="2024-02-01"/>
        <s v="2024-03-20"/>
        <s v="2024-11-30"/>
        <s v="2025-10-28"/>
        <s v="2025-01-15"/>
        <s v="2025-10-14"/>
        <s v="2024-06-28"/>
        <s v="2024-06-02"/>
        <s v="2024-05-11"/>
        <s v="2025-04-10"/>
        <s v="2025-09-09"/>
        <s v="2025-03-02"/>
        <s v="2025-10-03"/>
        <s v="2025-12-13"/>
        <s v="2024-10-08"/>
        <s v="2024-09-27"/>
        <s v="2024-10-03"/>
        <s v="2025-08-13"/>
        <s v="2025-05-16"/>
        <s v="2024-03-24"/>
        <s v="2025-07-10"/>
        <s v="2025-09-28"/>
        <s v="2025-04-07"/>
        <s v="2025-06-02"/>
        <s v="2024-08-15"/>
        <s v="2025-03-23"/>
        <s v="2025-02-18"/>
        <s v="2024-07-22"/>
        <s v="2024-11-22"/>
        <s v="2025-07-26"/>
        <s v="2024-02-20"/>
        <s v="2024-01-24"/>
        <s v="2025-10-26"/>
        <s v="2024-09-01"/>
        <s v="2025-01-05"/>
        <s v="2025-07-30"/>
        <s v="2025-01-04"/>
        <s v="2024-03-26"/>
        <s v="2024-12-19"/>
        <s v="2024-03-07"/>
        <s v="2025-05-28"/>
        <s v="2025-03-09"/>
        <s v="2024-12-13"/>
        <s v="2025-12-22"/>
        <s v="2025-05-14"/>
        <s v="2025-08-08"/>
        <s v="2025-05-01"/>
        <s v="2024-11-18"/>
        <s v="2024-08-29"/>
        <s v="2024-11-13"/>
        <s v="2024-11-08"/>
        <s v="2025-02-25"/>
        <s v="2025-02-05"/>
        <s v="2025-06-21"/>
        <s v="2025-11-08"/>
        <s v="2024-04-06"/>
        <s v="2024-02-17"/>
        <s v="2024-04-10"/>
        <s v="2024-01-28"/>
        <s v="2024-11-24"/>
        <s v="2025-12-08"/>
        <s v="2024-01-07"/>
        <s v="2024-07-23"/>
        <s v="2025-05-04"/>
        <s v="2025-05-20"/>
        <s v="2025-01-25"/>
        <s v="2024-05-27"/>
        <s v="2025-05-09"/>
        <s v="2024-04-03"/>
        <s v="2024-02-11"/>
        <s v="2025-07-16"/>
        <s v="2025-04-27"/>
        <s v="2025-07-09"/>
        <s v="2025-12-05"/>
        <s v="2024-05-29"/>
        <s v="2025-02-23"/>
        <s v="2024-07-26"/>
        <s v="2024-12-04"/>
        <s v="2025-04-24"/>
        <s v="2025-09-25"/>
        <s v="2024-10-09"/>
        <s v="2025-01-30"/>
        <s v="2025-01-16"/>
        <s v="2025-12-11"/>
        <s v="2024-09-12"/>
        <s v="2024-07-04"/>
        <s v="2025-04-11"/>
        <s v="2024-07-05"/>
        <s v="2024-03-15"/>
        <s v="2025-03-18"/>
        <s v="2025-07-01"/>
        <s v="2024-02-06"/>
        <s v="2024-06-08"/>
        <s v="2025-03-31"/>
        <s v="2024-10-10"/>
        <s v="2024-04-17"/>
        <s v="2025-06-11"/>
        <s v="2024-02-03"/>
        <s v="2024-01-08"/>
        <s v="2024-02-05"/>
        <s v="2024-01-11"/>
        <s v="2024-10-17"/>
        <s v="2024-10-15"/>
        <s v="2025-09-24"/>
        <s v="2025-06-07"/>
        <s v="2025-05-30"/>
        <s v="2025-08-14"/>
        <s v="2025-12-21"/>
        <s v="2024-07-06"/>
        <s v="2025-09-07"/>
        <s v="2024-11-07"/>
        <s v="2025-02-04"/>
        <s v="2024-07-13"/>
        <s v="2024-10-11"/>
        <s v="2024-03-03"/>
        <s v="2024-09-19"/>
        <s v="2025-03-20"/>
        <s v="2024-05-30"/>
        <s v="2025-09-26"/>
        <s v="2024-10-07"/>
        <s v="2025-11-16"/>
        <s v="2025-02-24"/>
        <s v="2024-08-09"/>
        <s v="2024-10-18"/>
        <s v="2024-06-26"/>
        <s v="2025-07-14"/>
        <s v="2024-05-22"/>
        <s v="2024-01-10"/>
        <s v="2024-12-17"/>
        <s v="2024-08-12"/>
        <s v="2025-04-22"/>
        <s v="2024-12-10"/>
        <s v="2025-03-14"/>
        <s v="2025-08-07"/>
        <s v="2025-10-27"/>
        <s v="2025-04-26"/>
        <s v="2024-08-26"/>
        <s v="2024-07-17"/>
        <s v="2024-07-14"/>
        <s v="2024-01-25"/>
        <s v="2025-04-21"/>
        <s v="2024-12-20"/>
        <s v="2025-06-27"/>
        <s v="2025-07-12"/>
        <s v="2025-03-06"/>
        <s v="2024-10-20"/>
        <s v="2024-12-22"/>
        <s v="2025-10-16"/>
        <s v="2024-06-09"/>
        <s v="2025-12-25"/>
        <s v="2025-01-07"/>
        <s v="2025-05-15"/>
        <s v="2025-06-10"/>
        <s v="2025-11-11"/>
        <s v="2024-08-10"/>
        <s v="2025-06-16"/>
        <s v="2025-12-24"/>
        <s v="2025-05-21"/>
        <s v="2024-04-24"/>
        <s v="2025-10-09"/>
        <s v="2024-09-16"/>
        <s v="2025-02-06"/>
        <s v="2025-07-17"/>
        <s v="2025-07-15"/>
        <s v="2024-06-21"/>
        <s v="2024-05-14"/>
        <s v="2024-05-10"/>
        <s v="2024-04-30"/>
        <s v="2024-02-26"/>
        <s v="2024-10-30"/>
        <s v="2025-11-24"/>
        <s v="2025-01-09"/>
        <s v="2025-09-16"/>
        <s v="2024-09-03"/>
        <s v="2024-12-16"/>
        <s v="2024-07-16"/>
        <s v="2024-12-18"/>
        <s v="2024-03-27"/>
        <s v="2024-02-24"/>
        <s v="2024-01-02"/>
        <s v="2025-08-12"/>
        <s v="2025-05-12"/>
        <s v="2025-03-13"/>
        <s v="2024-03-22"/>
        <s v="2024-02-04"/>
        <s v="2024-08-28"/>
        <s v="2025-03-04"/>
        <s v="2024-08-04"/>
        <s v="2024-08-23"/>
        <s v="2024-01-21"/>
        <s v="2025-01-17"/>
        <s v="2024-05-07"/>
        <s v="2025-09-02"/>
        <s v="2024-03-12"/>
        <s v="2025-06-18"/>
        <s v="2025-11-10"/>
        <s v="2024-11-23"/>
        <s v="2024-12-31"/>
        <s v="2024-06-17"/>
        <s v="2025-06-06"/>
        <s v="2024-09-24"/>
        <s v="2024-05-21"/>
        <s v="2024-06-23"/>
        <s v="2024-08-21"/>
        <s v="2024-05-05"/>
        <s v="2024-08-14"/>
        <s v="2024-10-24"/>
        <s v="2024-12-21"/>
        <s v="2024-11-02"/>
        <s v="2024-08-24"/>
        <s v="2025-12-27"/>
        <s v="2025-12-03"/>
        <s v="2024-07-15"/>
        <s v="2024-07-29"/>
        <s v="2024-01-19"/>
        <s v="2025-01-14"/>
        <s v="2024-07-09"/>
        <s v="2024-04-12"/>
        <s v="2025-11-12"/>
        <s v="2024-06-10"/>
        <s v="2024-02-14"/>
        <s v="2024-06-06"/>
        <s v="2025-01-24"/>
        <s v="2025-05-03"/>
        <s v="2024-04-25"/>
        <s v="2024-10-23"/>
        <s v="2025-07-21"/>
        <s v="2024-10-21"/>
        <s v="2024-01-29"/>
        <s v="2024-05-15"/>
        <s v="2024-08-18"/>
        <s v="2024-07-24"/>
        <s v="2025-06-25"/>
        <s v="2024-02-10"/>
        <s v="2025-05-17"/>
        <s v="2025-07-02"/>
        <s v="2024-02-19"/>
        <s v="2024-02-12"/>
        <s v="2025-11-18"/>
        <s v="2024-04-23"/>
        <s v="2025-06-26"/>
        <s v="2025-01-29"/>
        <s v="2024-07-02"/>
        <s v="2025-10-12"/>
        <s v="2025-11-03"/>
        <s v="2025-11-01"/>
        <s v="2024-08-13"/>
        <s v="2025-08-16"/>
        <s v="2024-09-06"/>
        <s v="2024-10-14"/>
        <s v="2025-03-21"/>
        <s v="2024-09-21"/>
        <s v="2024-08-20"/>
        <s v="2025-01-03"/>
        <s v="2024-04-11"/>
        <s v="2025-12-04"/>
        <s v="2025-10-19"/>
        <s v="2025-01-08"/>
        <s v="2024-02-13"/>
        <s v="2024-07-27"/>
        <s v="2024-09-09"/>
        <s v="2025-10-21"/>
        <s v="2025-08-03"/>
        <s v="2025-06-01"/>
        <s v="2024-04-15"/>
        <s v="2025-05-02"/>
        <s v="2025-08-10"/>
        <s v="2025-05-25"/>
        <s v="2025-07-08"/>
        <s v="2024-07-10"/>
        <s v="2024-09-22"/>
        <s v="2025-12-17"/>
        <s v="2024-02-08"/>
        <s v="2025-11-02"/>
        <s v="2025-01-12"/>
        <s v="2024-01-18"/>
        <s v="2025-03-07"/>
        <s v="2025-05-19"/>
        <s v="2025-06-17"/>
        <s v="2024-02-15"/>
        <s v="2025-02-17"/>
        <s v="2024-03-28"/>
        <s v="2025-07-25"/>
        <s v="2025-07-22"/>
        <s v="2025-08-30"/>
        <s v="2024-11-27"/>
        <s v="2024-03-23"/>
        <s v="2025-09-12"/>
        <s v="2025-10-24"/>
        <s v="2025-05-27"/>
        <s v="2024-03-19"/>
        <s v="2024-09-14"/>
        <s v="2025-02-20"/>
        <s v="2025-07-06"/>
        <s v="2024-11-28"/>
        <s v="2024-04-19"/>
        <s v="2025-12-26"/>
        <s v="2025-06-30"/>
        <s v="2025-04-05"/>
        <s v="2024-09-17"/>
        <s v="2024-01-27"/>
        <s v="2025-11-29"/>
        <s v="2024-05-01"/>
        <s v="2024-03-31"/>
        <s v="2025-08-22"/>
        <s v="2025-04-23"/>
        <s v="2025-07-04"/>
        <s v="2025-03-19"/>
        <s v="2024-01-30"/>
        <s v="2025-07-19"/>
        <s v="2025-02-02"/>
        <s v="2024-01-01"/>
        <s v="2024-08-17"/>
        <s v="2025-10-31"/>
        <s v="2025-12-30"/>
        <s v="2024-09-08"/>
        <s v="2024-06-19"/>
        <s v="2024-09-05"/>
        <s v="2024-07-25"/>
        <s v="2025-10-18"/>
        <s v="2025-09-27"/>
        <s v="2024-02-21"/>
        <s v="2025-04-08"/>
        <s v="2025-10-07"/>
        <s v="2025-06-04"/>
        <s v="2024-04-02"/>
        <s v="2025-11-20"/>
        <s v="2025-08-04"/>
        <s v="2024-01-15"/>
        <s v="2025-08-06"/>
        <s v="2024-04-28"/>
        <s v="2025-10-22"/>
        <s v="2024-10-06"/>
        <s v="2024-05-19"/>
        <s v="2024-03-25"/>
        <s v="2025-02-03"/>
        <s v="2025-05-05"/>
        <s v="2025-02-13"/>
        <s v="2024-01-31"/>
        <s v="2025-03-10"/>
        <s v="2025-01-21"/>
        <s v="2025-09-17"/>
        <s v="2025-02-22"/>
        <s v="2025-06-08"/>
        <s v="2024-03-29"/>
        <s v="2024-12-11"/>
        <s v="2025-11-05"/>
        <s v="2024-03-01"/>
        <s v="2025-10-04"/>
        <s v="2025-11-07"/>
        <s v="2024-02-29"/>
        <s v="2024-05-13"/>
        <s v="2025-03-16"/>
        <s v="2025-04-12"/>
        <s v="2025-12-14"/>
        <s v="2024-12-01"/>
        <s v="2025-12-19"/>
        <s v="2024-11-05"/>
        <s v="2024-11-10"/>
        <s v="2025-12-01"/>
        <s v="2024-01-14"/>
        <s v="2024-01-13"/>
        <s v="2024-05-20"/>
        <s v="2024-12-07"/>
        <s v="2025-03-29"/>
        <s v="2025-04-25"/>
        <s v="2025-09-11"/>
        <s v="2025-06-15"/>
        <s v="2025-07-20"/>
        <s v="2025-03-30"/>
        <s v="2024-03-10"/>
        <s v="2025-03-27"/>
        <s v="2024-10-29"/>
        <s v="2025-10-01"/>
        <s v="2024-03-09"/>
        <s v="2025-06-03"/>
        <s v="2024-10-28"/>
        <s v="2025-11-14"/>
        <s v="2024-04-27"/>
        <s v="2025-08-27"/>
        <s v="2025-11-19"/>
        <s v="2025-04-09"/>
        <s v="2025-05-06"/>
        <s v="2024-08-01"/>
        <s v="2025-01-01"/>
      </sharedItems>
      <fieldGroup par="18"/>
    </cacheField>
    <cacheField name="CustomerID" numFmtId="0">
      <sharedItems/>
    </cacheField>
    <cacheField name="Region" numFmtId="0">
      <sharedItems count="5">
        <s v="Asia"/>
        <s v="Africa"/>
        <s v="Middle East"/>
        <s v="Europe"/>
        <s v="North America"/>
      </sharedItems>
    </cacheField>
    <cacheField name="Country" numFmtId="0">
      <sharedItems count="7">
        <s v="Germany"/>
        <s v="France"/>
        <s v="USA"/>
        <s v="UK"/>
        <s v="Canada"/>
        <s v="UAE"/>
        <s v="India"/>
      </sharedItems>
    </cacheField>
    <cacheField name="City" numFmtId="0">
      <sharedItems count="8">
        <s v="Mumbai"/>
        <s v="London"/>
        <s v="Delhi"/>
        <s v="Toronto"/>
        <s v="New York"/>
        <s v="Berlin"/>
        <s v="Dubai"/>
        <s v="Paris"/>
      </sharedItems>
    </cacheField>
    <cacheField name="ProductCategory" numFmtId="0">
      <sharedItems count="5">
        <s v="Home"/>
        <s v="Beauty"/>
        <s v="Electronics"/>
        <s v="Fashion"/>
        <s v="Sports"/>
      </sharedItems>
    </cacheField>
    <cacheField name="ProductName" numFmtId="0">
      <sharedItems count="9">
        <s v="Sofa"/>
        <s v="Perfume"/>
        <s v="Shoes"/>
        <s v="Mixer"/>
        <s v="Watch"/>
        <s v="T-shirt"/>
        <s v="Headphones"/>
        <s v="Laptop"/>
        <s v="Backpack"/>
      </sharedItems>
    </cacheField>
    <cacheField name="Sales" numFmtId="0">
      <sharedItems containsSemiMixedTypes="0" containsString="0" containsNumber="1" minValue="24.39" maxValue="4990.12" count="999">
        <n v="435.18"/>
        <n v="958.75"/>
        <n v="4582.78"/>
        <n v="3771.2"/>
        <n v="1588.48"/>
        <n v="1002.02"/>
        <n v="1581.8"/>
        <n v="1939.59"/>
        <n v="701.36"/>
        <n v="2752.5"/>
        <n v="2861.09"/>
        <n v="1805.24"/>
        <n v="1159.8499999999999"/>
        <n v="184.5"/>
        <n v="1915.53"/>
        <n v="766.04"/>
        <n v="1979.86"/>
        <n v="2945.11"/>
        <n v="2056.11"/>
        <n v="2747.4"/>
        <n v="1342.64"/>
        <n v="230.12"/>
        <n v="965.89"/>
        <n v="1245.33"/>
        <n v="4264.29"/>
        <n v="413.03"/>
        <n v="578.5"/>
        <n v="300.08"/>
        <n v="2557.4299999999998"/>
        <n v="770.14"/>
        <n v="1865.92"/>
        <n v="466.42"/>
        <n v="3858.76"/>
        <n v="918.04"/>
        <n v="241.42"/>
        <n v="851.63"/>
        <n v="289.68"/>
        <n v="794.6"/>
        <n v="27.11"/>
        <n v="3550.32"/>
        <n v="1889.01"/>
        <n v="997.02"/>
        <n v="373.18"/>
        <n v="494.11"/>
        <n v="242.11"/>
        <n v="1005.79"/>
        <n v="330.38"/>
        <n v="681.86"/>
        <n v="2728.67"/>
        <n v="466.82"/>
        <n v="826.24"/>
        <n v="3559.38"/>
        <n v="628.71"/>
        <n v="2475.08"/>
        <n v="2126.2399999999998"/>
        <n v="541.24"/>
        <n v="1035.76"/>
        <n v="3440.05"/>
        <n v="92.72"/>
        <n v="673.65"/>
        <n v="705.4"/>
        <n v="1013.66"/>
        <n v="1173.57"/>
        <n v="74.790000000000006"/>
        <n v="1024.92"/>
        <n v="1058.24"/>
        <n v="110.85"/>
        <n v="927.89"/>
        <n v="1195.79"/>
        <n v="1116.73"/>
        <n v="230.95"/>
        <n v="1576.93"/>
        <n v="851.02"/>
        <n v="3946.78"/>
        <n v="913.12"/>
        <n v="1701.85"/>
        <n v="265.87"/>
        <n v="2916.36"/>
        <n v="960.79"/>
        <n v="965.73"/>
        <n v="2417.2199999999998"/>
        <n v="961.74"/>
        <n v="2153.04"/>
        <n v="754.73"/>
        <n v="591.38"/>
        <n v="949.1"/>
        <n v="24.39"/>
        <n v="3145.03"/>
        <n v="1825.03"/>
        <n v="1237.95"/>
        <n v="599.38"/>
        <n v="274.07"/>
        <n v="1789.56"/>
        <n v="2784.15"/>
        <n v="3331.8"/>
        <n v="1078.25"/>
        <n v="625.92999999999995"/>
        <n v="1556.58"/>
        <n v="792.56"/>
        <n v="2592.2600000000002"/>
        <n v="894.55"/>
        <n v="109.07"/>
        <n v="60.98"/>
        <n v="1237.51"/>
        <n v="1308"/>
        <n v="1324.83"/>
        <n v="525.29999999999995"/>
        <n v="3203.77"/>
        <n v="2697.95"/>
        <n v="1448.32"/>
        <n v="454.04"/>
        <n v="3889.47"/>
        <n v="167.96"/>
        <n v="3150.19"/>
        <n v="267.70999999999998"/>
        <n v="218.95"/>
        <n v="1889.81"/>
        <n v="1678.93"/>
        <n v="493.89"/>
        <n v="281.60000000000002"/>
        <n v="914.3"/>
        <n v="785.03"/>
        <n v="906.39"/>
        <n v="451.74"/>
        <n v="1881.92"/>
        <n v="909.02"/>
        <n v="3400.14"/>
        <n v="500.9"/>
        <n v="4436.87"/>
        <n v="3177.2"/>
        <n v="361.87"/>
        <n v="1142.1600000000001"/>
        <n v="191.2"/>
        <n v="203.51"/>
        <n v="1787.84"/>
        <n v="3867.4"/>
        <n v="406.03"/>
        <n v="2252.0300000000002"/>
        <n v="498.79"/>
        <n v="245.94"/>
        <n v="408.08"/>
        <n v="885.31"/>
        <n v="3830.91"/>
        <n v="649.04"/>
        <n v="3062.47"/>
        <n v="407.26"/>
        <n v="209.93"/>
        <n v="3879.99"/>
        <n v="2138.64"/>
        <n v="110.49"/>
        <n v="75.38"/>
        <n v="334.73"/>
        <n v="236.05"/>
        <n v="360.33"/>
        <n v="680.55"/>
        <n v="218.81"/>
        <n v="1527.06"/>
        <n v="1982.81"/>
        <n v="476.69"/>
        <n v="1198.3699999999999"/>
        <n v="2296.7800000000002"/>
        <n v="2961.28"/>
        <n v="618.27"/>
        <n v="2051.0700000000002"/>
        <n v="833.59"/>
        <n v="2947.4"/>
        <n v="1688.56"/>
        <n v="1888.11"/>
        <n v="483.63"/>
        <n v="904.33"/>
        <n v="828.59"/>
        <n v="823.24"/>
        <n v="594.92999999999995"/>
        <n v="2274.7399999999998"/>
        <n v="1559.68"/>
        <n v="170.03"/>
        <n v="773.71"/>
        <n v="2726.98"/>
        <n v="481.7"/>
        <n v="1067.74"/>
        <n v="593.48"/>
        <n v="851.13"/>
        <n v="452.73"/>
        <n v="2110.59"/>
        <n v="2664.84"/>
        <n v="2285.94"/>
        <n v="357.1"/>
        <n v="773.92"/>
        <n v="950.08"/>
        <n v="1428.04"/>
        <n v="1855.72"/>
        <n v="502.71"/>
        <n v="473.99"/>
        <n v="319.10000000000002"/>
        <n v="3926.58"/>
        <n v="562.73"/>
        <n v="29.32"/>
        <n v="2670.55"/>
        <n v="3786.18"/>
        <n v="501.06"/>
        <n v="728.27"/>
        <n v="996.77"/>
        <n v="2678.2"/>
        <n v="444.16"/>
        <n v="1881.39"/>
        <n v="852.14"/>
        <n v="2073.46"/>
        <n v="2149.69"/>
        <n v="1884.71"/>
        <n v="179.28"/>
        <n v="974.35"/>
        <n v="1388.39"/>
        <n v="1565.37"/>
        <n v="2879.79"/>
        <n v="2135.98"/>
        <n v="4761.3500000000004"/>
        <n v="1643.35"/>
        <n v="1177.18"/>
        <n v="4990.12"/>
        <n v="4249.12"/>
        <n v="1696.32"/>
        <n v="4833.34"/>
        <n v="593.73"/>
        <n v="1623.87"/>
        <n v="132.06"/>
        <n v="673.81"/>
        <n v="1087.23"/>
        <n v="48.39"/>
        <n v="1424.06"/>
        <n v="301.91000000000003"/>
        <n v="1632.32"/>
        <n v="1715.79"/>
        <n v="191.72"/>
        <n v="645.49"/>
        <n v="1398.74"/>
        <n v="887.41"/>
        <n v="1115.8499999999999"/>
        <n v="3221.87"/>
        <n v="707.74"/>
        <n v="1773.37"/>
        <n v="842.01"/>
        <n v="2927.25"/>
        <n v="729.08"/>
        <n v="173.35"/>
        <n v="3416.31"/>
        <n v="3095.74"/>
        <n v="1278.8499999999999"/>
        <n v="317.16000000000003"/>
        <n v="248.73"/>
        <n v="2071.63"/>
        <n v="107.81"/>
        <n v="2809.99"/>
        <n v="3284.41"/>
        <n v="1015.89"/>
        <n v="1971.28"/>
        <n v="656.31"/>
        <n v="2928.36"/>
        <n v="2968.76"/>
        <n v="566.48"/>
        <n v="762.27"/>
        <n v="857.12"/>
        <n v="1510.07"/>
        <n v="1968.74"/>
        <n v="4822.8599999999997"/>
        <n v="2015.1"/>
        <n v="3847.58"/>
        <n v="2092.2399999999998"/>
        <n v="2051.63"/>
        <n v="948.14"/>
        <n v="769.8"/>
        <n v="653.21"/>
        <n v="506.11"/>
        <n v="2712.92"/>
        <n v="254.01"/>
        <n v="4585.93"/>
        <n v="3902.32"/>
        <n v="2501.77"/>
        <n v="1690.77"/>
        <n v="704.97"/>
        <n v="294.37"/>
        <n v="317.98"/>
        <n v="1629.25"/>
        <n v="75.42"/>
        <n v="2423.59"/>
        <n v="2383.21"/>
        <n v="282.99"/>
        <n v="3082.32"/>
        <n v="337.37"/>
        <n v="1695.92"/>
        <n v="2858.33"/>
        <n v="1689.76"/>
        <n v="448.91"/>
        <n v="649.59"/>
        <n v="2728.38"/>
        <n v="697.25"/>
        <n v="427.83"/>
        <n v="194.5"/>
        <n v="3092.21"/>
        <n v="378.64"/>
        <n v="844.54"/>
        <n v="165.79"/>
        <n v="3316.41"/>
        <n v="1914.24"/>
        <n v="4539.95"/>
        <n v="644"/>
        <n v="1876.36"/>
        <n v="2900.16"/>
        <n v="4768.28"/>
        <n v="4647.53"/>
        <n v="605.83000000000004"/>
        <n v="742.92"/>
        <n v="3594.78"/>
        <n v="818.78"/>
        <n v="3287.96"/>
        <n v="1129.7"/>
        <n v="3350.65"/>
        <n v="335.29"/>
        <n v="2714.88"/>
        <n v="746.18"/>
        <n v="649.25"/>
        <n v="3723.26"/>
        <n v="1403.88"/>
        <n v="3692.75"/>
        <n v="313.26"/>
        <n v="2037"/>
        <n v="2057.8000000000002"/>
        <n v="924.12"/>
        <n v="2207.12"/>
        <n v="42.05"/>
        <n v="665.83"/>
        <n v="1821.38"/>
        <n v="412.74"/>
        <n v="207.55"/>
        <n v="2773.41"/>
        <n v="1361.29"/>
        <n v="403.48"/>
        <n v="894.19"/>
        <n v="481.46"/>
        <n v="1246.97"/>
        <n v="52.29"/>
        <n v="1231.67"/>
        <n v="963.7"/>
        <n v="1212.55"/>
        <n v="651.36"/>
        <n v="1049.44"/>
        <n v="1475.98"/>
        <n v="425.57"/>
        <n v="1783.9"/>
        <n v="138.94"/>
        <n v="2242.6799999999998"/>
        <n v="3419.76"/>
        <n v="94.59"/>
        <n v="1264.56"/>
        <n v="2868.43"/>
        <n v="350.7"/>
        <n v="2113.6799999999998"/>
        <n v="2606.11"/>
        <n v="3133.69"/>
        <n v="843.52"/>
        <n v="1361.09"/>
        <n v="1892.77"/>
        <n v="2681.81"/>
        <n v="2936.23"/>
        <n v="250.17"/>
        <n v="955.26"/>
        <n v="668.7"/>
        <n v="1494.31"/>
        <n v="3037.92"/>
        <n v="193.87"/>
        <n v="1498.23"/>
        <n v="872.05"/>
        <n v="1884.54"/>
        <n v="3721.54"/>
        <n v="970.76"/>
        <n v="1457.33"/>
        <n v="2037.16"/>
        <n v="115.87"/>
        <n v="1955.37"/>
        <n v="504.74"/>
        <n v="601.66"/>
        <n v="3702.25"/>
        <n v="710.33"/>
        <n v="511.57"/>
        <n v="96.84"/>
        <n v="3516.85"/>
        <n v="2101.5"/>
        <n v="480.04"/>
        <n v="743.46"/>
        <n v="3099.44"/>
        <n v="630.38"/>
        <n v="1680.34"/>
        <n v="1563.29"/>
        <n v="213.43"/>
        <n v="181.03"/>
        <n v="869.81"/>
        <n v="1311.86"/>
        <n v="415.68"/>
        <n v="245.62"/>
        <n v="2977.65"/>
        <n v="2737.28"/>
        <n v="1972.5"/>
        <n v="1716.37"/>
        <n v="2172.8200000000002"/>
        <n v="3915.89"/>
        <n v="1143.6300000000001"/>
        <n v="2031.32"/>
        <n v="1264.5899999999999"/>
        <n v="1189.8599999999999"/>
        <n v="3012.1"/>
        <n v="1416.25"/>
        <n v="1248.28"/>
        <n v="1036.7"/>
        <n v="592.13"/>
        <n v="1121.74"/>
        <n v="1350.91"/>
        <n v="2957.34"/>
        <n v="354.9"/>
        <n v="263.01"/>
        <n v="3604.07"/>
        <n v="237.76"/>
        <n v="1797.38"/>
        <n v="596.48"/>
        <n v="4365.3500000000004"/>
        <n v="453.65"/>
        <n v="664.67"/>
        <n v="834.48"/>
        <n v="975.99"/>
        <n v="3699.92"/>
        <n v="2685.65"/>
        <n v="769.5"/>
        <n v="1199.56"/>
        <n v="293.06"/>
        <n v="164.51"/>
        <n v="3675.31"/>
        <n v="1737.2"/>
        <n v="578.95000000000005"/>
        <n v="2968.19"/>
        <n v="850.44"/>
        <n v="863.72"/>
        <n v="1160.1600000000001"/>
        <n v="4008.18"/>
        <n v="1743.83"/>
        <n v="1167.44"/>
        <n v="1203.58"/>
        <n v="572.85"/>
        <n v="238.73"/>
        <n v="1258.0999999999999"/>
        <n v="1531.82"/>
        <n v="261.52999999999997"/>
        <n v="195.22"/>
        <n v="1425.61"/>
        <n v="1456.57"/>
        <n v="2164.77"/>
        <n v="739.15"/>
        <n v="3106.78"/>
        <n v="1370.66"/>
        <n v="769.67"/>
        <n v="2422.85"/>
        <n v="713.06"/>
        <n v="1036.67"/>
        <n v="2922"/>
        <n v="3571.83"/>
        <n v="855.15"/>
        <n v="1596.38"/>
        <n v="1327.67"/>
        <n v="2411.06"/>
        <n v="479.7"/>
        <n v="4117.62"/>
        <n v="371.89"/>
        <n v="3020.36"/>
        <n v="275"/>
        <n v="266.86"/>
        <n v="3201.26"/>
        <n v="579.59"/>
        <n v="829.46"/>
        <n v="3411.75"/>
        <n v="2840.22"/>
        <n v="2968.8"/>
        <n v="1746.39"/>
        <n v="460.85"/>
        <n v="3759.75"/>
        <n v="767.06"/>
        <n v="225.78"/>
        <n v="2521.1799999999998"/>
        <n v="690.82"/>
        <n v="418.71"/>
        <n v="704.83"/>
        <n v="327.64999999999998"/>
        <n v="708.7"/>
        <n v="43"/>
        <n v="3495.67"/>
        <n v="603.04999999999995"/>
        <n v="3766.4"/>
        <n v="1602.11"/>
        <n v="2436.59"/>
        <n v="280.58999999999997"/>
        <n v="1899.62"/>
        <n v="971.02"/>
        <n v="546.72"/>
        <n v="843.68"/>
        <n v="71.52"/>
        <n v="2049.38"/>
        <n v="302.58999999999997"/>
        <n v="384.61"/>
        <n v="175.66"/>
        <n v="729.58"/>
        <n v="515.58000000000004"/>
        <n v="1472.23"/>
        <n v="2580.92"/>
        <n v="874.84"/>
        <n v="2759.23"/>
        <n v="189.23"/>
        <n v="942.31"/>
        <n v="3285.95"/>
        <n v="791.49"/>
        <n v="554.91999999999996"/>
        <n v="1717.37"/>
        <n v="223.93"/>
        <n v="2472.85"/>
        <n v="629.46"/>
        <n v="1843.11"/>
        <n v="444.83"/>
        <n v="4088.8"/>
        <n v="561.91"/>
        <n v="3366.68"/>
        <n v="210"/>
        <n v="547.91999999999996"/>
        <n v="2621.64"/>
        <n v="741.71"/>
        <n v="1730.2"/>
        <n v="3199.95"/>
        <n v="556.6"/>
        <n v="649.20000000000005"/>
        <n v="77.069999999999993"/>
        <n v="525.30999999999995"/>
        <n v="3885.53"/>
        <n v="3140.31"/>
        <n v="1806.63"/>
        <n v="1047.22"/>
        <n v="862.84"/>
        <n v="308.89999999999998"/>
        <n v="1148.58"/>
        <n v="4839.71"/>
        <n v="3539.63"/>
        <n v="1170.67"/>
        <n v="2497.62"/>
        <n v="3311.56"/>
        <n v="2926.63"/>
        <n v="2399.69"/>
        <n v="989.26"/>
        <n v="827.07"/>
        <n v="862.12"/>
        <n v="2275.9499999999998"/>
        <n v="1712.79"/>
        <n v="2407.66"/>
        <n v="1249.46"/>
        <n v="1865.26"/>
        <n v="2880.6"/>
        <n v="2937.23"/>
        <n v="751.64"/>
        <n v="3852.32"/>
        <n v="1506.42"/>
        <n v="393.65"/>
        <n v="2617.2800000000002"/>
        <n v="934.71"/>
        <n v="1977.4"/>
        <n v="46.32"/>
        <n v="1684.48"/>
        <n v="523.22"/>
        <n v="2732.97"/>
        <n v="961.29"/>
        <n v="228.82"/>
        <n v="1047.83"/>
        <n v="2002.59"/>
        <n v="3580.45"/>
        <n v="515.17999999999995"/>
        <n v="1496.14"/>
        <n v="270.08999999999997"/>
        <n v="1700.43"/>
        <n v="1505.31"/>
        <n v="511.23"/>
        <n v="201.9"/>
        <n v="591.01"/>
        <n v="796.48"/>
        <n v="4219.34"/>
        <n v="527.36"/>
        <n v="73.34"/>
        <n v="2786.92"/>
        <n v="2457.92"/>
        <n v="832.27"/>
        <n v="1676.11"/>
        <n v="4921.1000000000004"/>
        <n v="619.16"/>
        <n v="3577.25"/>
        <n v="807.81"/>
        <n v="2119.5"/>
        <n v="4068.85"/>
        <n v="448.1"/>
        <n v="1544.88"/>
        <n v="1872.02"/>
        <n v="313.56"/>
        <n v="4960.53"/>
        <n v="2012.97"/>
        <n v="1305.9000000000001"/>
        <n v="3360.21"/>
        <n v="1552.38"/>
        <n v="1133.9100000000001"/>
        <n v="1925.26"/>
        <n v="2118.4499999999998"/>
        <n v="1121.57"/>
        <n v="2763.97"/>
        <n v="433.11"/>
        <n v="206.26"/>
        <n v="305.25"/>
        <n v="897.87"/>
        <n v="1837.34"/>
        <n v="102.15"/>
        <n v="2081.63"/>
        <n v="1686.89"/>
        <n v="2798.82"/>
        <n v="1978.71"/>
        <n v="3527.94"/>
        <n v="817.9"/>
        <n v="2013.13"/>
        <n v="4363.8100000000004"/>
        <n v="110.57"/>
        <n v="491.29"/>
        <n v="3631.11"/>
        <n v="1924.94"/>
        <n v="636.42999999999995"/>
        <n v="749.44"/>
        <n v="1145.77"/>
        <n v="940.87"/>
        <n v="834.81"/>
        <n v="928.06"/>
        <n v="801.79"/>
        <n v="2881.47"/>
        <n v="177.78"/>
        <n v="2934.63"/>
        <n v="1013.06"/>
        <n v="943.23"/>
        <n v="2044.45"/>
        <n v="1843.53"/>
        <n v="832.55"/>
        <n v="1264.1199999999999"/>
        <n v="1947.54"/>
        <n v="252.26"/>
        <n v="426.03"/>
        <n v="168.04"/>
        <n v="302.02999999999997"/>
        <n v="1111.3399999999999"/>
        <n v="4180.76"/>
        <n v="1498.6"/>
        <n v="375.6"/>
        <n v="365.71"/>
        <n v="2416.29"/>
        <n v="789.53"/>
        <n v="2062.29"/>
        <n v="1784.94"/>
        <n v="870.67"/>
        <n v="1475.96"/>
        <n v="542.24"/>
        <n v="842.86"/>
        <n v="733.98"/>
        <n v="1292.33"/>
        <n v="1214.3399999999999"/>
        <n v="1764.39"/>
        <n v="3407.78"/>
        <n v="4014.45"/>
        <n v="1111.77"/>
        <n v="561.47"/>
        <n v="1926.61"/>
        <n v="1016.39"/>
        <n v="937.53"/>
        <n v="3350.96"/>
        <n v="1460.53"/>
        <n v="2476.38"/>
        <n v="2881.53"/>
        <n v="3817.93"/>
        <n v="1451.13"/>
        <n v="104.11"/>
        <n v="3814.28"/>
        <n v="972.7"/>
        <n v="339.87"/>
        <n v="1977.33"/>
        <n v="1609.53"/>
        <n v="1932.77"/>
        <n v="563.44000000000005"/>
        <n v="616.66"/>
        <n v="521.51"/>
        <n v="651.1"/>
        <n v="1517.86"/>
        <n v="2636.41"/>
        <n v="1410.18"/>
        <n v="2618.09"/>
        <n v="70.23"/>
        <n v="1645.79"/>
        <n v="619.54"/>
        <n v="2904.76"/>
        <n v="822.3"/>
        <n v="4608.51"/>
        <n v="886.12"/>
        <n v="70.14"/>
        <n v="1223.43"/>
        <n v="1934.7"/>
        <n v="756.46"/>
        <n v="1955.35"/>
        <n v="715.92"/>
        <n v="1318.92"/>
        <n v="883.8"/>
        <n v="2590.84"/>
        <n v="654.16"/>
        <n v="1443.76"/>
        <n v="1461.24"/>
        <n v="467.34"/>
        <n v="1317.58"/>
        <n v="317.33999999999997"/>
        <n v="2100.5"/>
        <n v="293.39999999999998"/>
        <n v="712.42"/>
        <n v="2344.5500000000002"/>
        <n v="496.3"/>
        <n v="1588.47"/>
        <n v="739.54"/>
        <n v="525.09"/>
        <n v="361.08"/>
        <n v="596.73"/>
        <n v="241.34"/>
        <n v="2978.37"/>
        <n v="436.85"/>
        <n v="255.27"/>
        <n v="2222.42"/>
        <n v="843.54"/>
        <n v="316.62"/>
        <n v="4638.3900000000003"/>
        <n v="564.41999999999996"/>
        <n v="2806.81"/>
        <n v="88.68"/>
        <n v="1734.92"/>
        <n v="518.4"/>
        <n v="1485.25"/>
        <n v="198.85"/>
        <n v="3842.14"/>
        <n v="2732.41"/>
        <n v="2143.46"/>
        <n v="301.47000000000003"/>
        <n v="1307"/>
        <n v="299.77"/>
        <n v="799.06"/>
        <n v="397.09"/>
        <n v="1847.26"/>
        <n v="2396.73"/>
        <n v="94.31"/>
        <n v="336.19"/>
        <n v="679.31"/>
        <n v="3557.87"/>
        <n v="2676.33"/>
        <n v="508.67"/>
        <n v="1093.02"/>
        <n v="2032.12"/>
        <n v="630.48"/>
        <n v="565.11"/>
        <n v="601.38"/>
        <n v="2662.12"/>
        <n v="782.99"/>
        <n v="3768.77"/>
        <n v="240.55"/>
        <n v="736.82"/>
        <n v="4534.62"/>
        <n v="215.5"/>
        <n v="2939.61"/>
        <n v="3621.67"/>
        <n v="1273.2"/>
        <n v="1688.37"/>
        <n v="912.38"/>
        <n v="3201.72"/>
        <n v="895.96"/>
        <n v="2101.16"/>
        <n v="2085.86"/>
        <n v="2716.72"/>
        <n v="1963.89"/>
        <n v="2917.68"/>
        <n v="2642.43"/>
        <n v="2236.08"/>
        <n v="2725.71"/>
        <n v="1510.05"/>
        <n v="539.86"/>
        <n v="1280"/>
        <n v="3786.65"/>
        <n v="1323.97"/>
        <n v="1856.2"/>
        <n v="1492.38"/>
        <n v="4283.37"/>
        <n v="3776.58"/>
        <n v="2807.2"/>
        <n v="527.09"/>
        <n v="2323.5500000000002"/>
        <n v="740.79"/>
        <n v="918.72"/>
        <n v="3055.4"/>
        <n v="1929.38"/>
        <n v="651.12"/>
        <n v="369.35"/>
        <n v="911.33"/>
        <n v="1571.09"/>
        <n v="2568.34"/>
        <n v="1393.53"/>
        <n v="1788.04"/>
        <n v="2175.46"/>
        <n v="1138.6400000000001"/>
        <n v="4119.88"/>
        <n v="2501.5500000000002"/>
        <n v="392.21"/>
        <n v="211.21"/>
        <n v="2290.4499999999998"/>
        <n v="920.3"/>
        <n v="189.83"/>
        <n v="689.66"/>
        <n v="2350.16"/>
        <n v="2279.2399999999998"/>
        <n v="699.63"/>
        <n v="1187.21"/>
        <n v="626.89"/>
        <n v="3461.64"/>
        <n v="611.42999999999995"/>
        <n v="4020.51"/>
        <n v="2285.33"/>
        <n v="102.3"/>
        <n v="1529.95"/>
        <n v="416.16"/>
        <n v="468.35"/>
        <n v="444.41"/>
        <n v="2907.58"/>
        <n v="934.96"/>
        <n v="3711.63"/>
        <n v="863.48"/>
        <n v="655.92"/>
        <n v="1837.41"/>
        <n v="895.27"/>
        <n v="2459.48"/>
        <n v="2868.28"/>
        <n v="1880.34"/>
        <n v="552.91"/>
        <n v="1410.45"/>
        <n v="1994.14"/>
        <n v="821.65"/>
        <n v="395.81"/>
        <n v="1555.34"/>
        <n v="1550.13"/>
        <n v="1777.45"/>
        <n v="1318.69"/>
        <n v="815.09"/>
        <n v="3144.96"/>
        <n v="2935.72"/>
        <n v="2571.27"/>
        <n v="1555.05"/>
        <n v="977.5"/>
        <n v="1329.75"/>
        <n v="292.95999999999998"/>
        <n v="518.95000000000005"/>
        <n v="136.35"/>
        <n v="874.34"/>
        <n v="1244.3"/>
        <n v="3009.49"/>
        <n v="3845.73"/>
        <n v="2245.48"/>
        <n v="123.44"/>
        <n v="3770.27"/>
        <n v="2939.88"/>
        <n v="756.44"/>
        <n v="3397.38"/>
        <n v="2492.08"/>
        <n v="841.97"/>
        <n v="3082.67"/>
        <n v="2188.0100000000002"/>
        <n v="3323.88"/>
        <n v="44.56"/>
        <n v="1772.32"/>
        <n v="1622.23"/>
        <n v="56.17"/>
        <n v="237.4"/>
        <n v="878.78"/>
        <n v="4054.74"/>
        <n v="1100.57"/>
        <n v="614.79"/>
        <n v="61.43"/>
        <n v="3879.51"/>
        <n v="1190.18"/>
        <n v="1370.56"/>
        <n v="112.16"/>
        <n v="2817.66"/>
        <n v="1998.99"/>
        <n v="745.06"/>
        <n v="1619.45"/>
        <n v="493.39"/>
        <n v="1393.38"/>
        <n v="860.7"/>
        <n v="188.5"/>
        <n v="912.97"/>
        <n v="3175.4"/>
        <n v="364.77"/>
        <n v="113.31"/>
        <n v="1255.3699999999999"/>
        <n v="1992.84"/>
        <n v="101"/>
        <n v="239.48"/>
        <n v="3320.33"/>
        <n v="417.02"/>
        <n v="1257.19"/>
        <n v="950.12"/>
        <n v="2873.35"/>
        <n v="652"/>
        <n v="481.31"/>
        <n v="2748.19"/>
        <n v="2819.74"/>
        <n v="1438.99"/>
        <n v="3941.01"/>
        <n v="2748.2"/>
        <n v="2200.21"/>
        <n v="2564.39"/>
        <n v="2456.7800000000002"/>
        <n v="151.47"/>
        <n v="1697.29"/>
        <n v="569.46"/>
        <n v="116.05"/>
        <n v="575.82000000000005"/>
        <n v="575.53"/>
        <n v="2229.67"/>
        <n v="2974.05"/>
        <n v="1134.53"/>
        <n v="2059.6"/>
        <n v="914.73"/>
        <n v="467.13"/>
        <n v="110.91"/>
        <n v="3160.73"/>
        <n v="2940.63"/>
        <n v="2486.98"/>
        <n v="2629.02"/>
        <n v="1212.77"/>
        <n v="1281.8499999999999"/>
        <n v="703.95"/>
        <n v="373.79"/>
        <n v="1279.3"/>
        <n v="1184.76"/>
        <n v="1589.76"/>
        <n v="347.04"/>
        <n v="83.29"/>
        <n v="475.41"/>
        <n v="1901.96"/>
        <n v="90.48"/>
        <n v="1672.11"/>
        <n v="2426.83"/>
        <n v="914.46"/>
        <n v="4140.3999999999996"/>
        <n v="422.04"/>
        <n v="551.4"/>
        <n v="468.37"/>
        <n v="3942.35"/>
        <n v="3947.6"/>
        <n v="174.63"/>
        <n v="2726.05"/>
        <n v="1164.1500000000001"/>
        <n v="1612.41"/>
        <n v="660.91"/>
        <n v="1492.94"/>
        <n v="276.89"/>
        <n v="3912.08"/>
        <n v="1116.17"/>
        <n v="1603.94"/>
        <n v="3819.79"/>
        <n v="1840.96"/>
        <n v="1524.87"/>
        <n v="687.35"/>
        <n v="770.99"/>
        <n v="1605.19"/>
        <n v="1854.37"/>
        <n v="1139.94"/>
        <n v="2820.96"/>
        <n v="249.82"/>
        <n v="3441.3"/>
        <n v="4955.12"/>
        <n v="1461.29"/>
        <n v="2707.72"/>
        <n v="611.39"/>
        <n v="756.8"/>
        <n v="534.16999999999996"/>
        <n v="727.47"/>
        <n v="1154.97"/>
        <n v="102.03"/>
        <n v="783.23"/>
        <n v="2410.16"/>
        <n v="4035.87"/>
        <n v="1522.78"/>
        <n v="1611.9"/>
        <n v="1907.85"/>
        <n v="2041.08"/>
        <n v="2795.23"/>
        <n v="142.94999999999999"/>
        <n v="1719.37"/>
      </sharedItems>
    </cacheField>
    <cacheField name="Quantity" numFmtId="0">
      <sharedItems containsSemiMixedTypes="0" containsString="0" containsNumber="1" containsInteger="1" minValue="1" maxValue="5" count="5">
        <n v="5"/>
        <n v="1"/>
        <n v="4"/>
        <n v="3"/>
        <n v="2"/>
      </sharedItems>
    </cacheField>
    <cacheField name="Discount" numFmtId="0">
      <sharedItems containsSemiMixedTypes="0" containsString="0" containsNumber="1" minValue="0" maxValue="0.3" count="31">
        <n v="0.21"/>
        <n v="0.24"/>
        <n v="0.1"/>
        <n v="0.13"/>
        <n v="0.19"/>
        <n v="0.03"/>
        <n v="0.25"/>
        <n v="0.28000000000000003"/>
        <n v="0.06"/>
        <n v="0.28999999999999998"/>
        <n v="0.05"/>
        <n v="0.11"/>
        <n v="0.26"/>
        <n v="0.17"/>
        <n v="0.2"/>
        <n v="0.04"/>
        <n v="0.09"/>
        <n v="0.22"/>
        <n v="0.14000000000000001"/>
        <n v="0.16"/>
        <n v="0.02"/>
        <n v="0.23"/>
        <n v="0"/>
        <n v="0.08"/>
        <n v="0.12"/>
        <n v="0.15"/>
        <n v="0.18"/>
        <n v="0.27"/>
        <n v="7.0000000000000007E-2"/>
        <n v="0.01"/>
        <n v="0.3"/>
      </sharedItems>
    </cacheField>
    <cacheField name="Profit" numFmtId="0">
      <sharedItems containsSemiMixedTypes="0" containsString="0" containsNumber="1" minValue="4.3899999999999997" maxValue="1689.47"/>
    </cacheField>
    <cacheField name="Channel" numFmtId="0">
      <sharedItems count="3">
        <s v="Marketplace"/>
        <s v="Mobile App"/>
        <s v="Website"/>
      </sharedItems>
    </cacheField>
    <cacheField name="PaymentMethod" numFmtId="0">
      <sharedItems count="5">
        <s v="Credit Card"/>
        <s v="Debit Card"/>
        <s v="Net Banking"/>
        <s v="UPI"/>
        <s v="Cash on Delivery"/>
      </sharedItems>
    </cacheField>
    <cacheField name="ShippingDays" numFmtId="0">
      <sharedItems containsSemiMixedTypes="0" containsString="0" containsNumber="1" containsInteger="1" minValue="1" maxValue="10" count="10">
        <n v="9"/>
        <n v="4"/>
        <n v="5"/>
        <n v="10"/>
        <n v="7"/>
        <n v="6"/>
        <n v="1"/>
        <n v="8"/>
        <n v="2"/>
        <n v="3"/>
      </sharedItems>
    </cacheField>
    <cacheField name="Year" numFmtId="0">
      <sharedItems containsSemiMixedTypes="0" containsString="0" containsNumber="1" containsInteger="1" minValue="2024" maxValue="2025" count="2">
        <n v="2024"/>
        <n v="2025"/>
      </sharedItems>
    </cacheField>
    <cacheField name="month" numFmtId="0">
      <sharedItems count="12">
        <s v="Nov"/>
        <s v="Jun"/>
        <s v="Feb"/>
        <s v="May"/>
        <s v="Dec"/>
        <s v="Jul"/>
        <s v="Jan"/>
        <s v="Oct"/>
        <s v="Mar"/>
        <s v="Aug"/>
        <s v="Apr"/>
        <s v="Sep"/>
      </sharedItems>
    </cacheField>
    <cacheField name="OrderDate2" numFmtId="0" databaseField="0">
      <fieldGroup base="2">
        <discretePr count="559">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 name="Profit Margin" numFmtId="0" formula="Profit/Sales" databaseField="0"/>
  </cacheFields>
  <extLst>
    <ext xmlns:x14="http://schemas.microsoft.com/office/spreadsheetml/2009/9/main" uri="{725AE2AE-9491-48be-B2B4-4EB974FC3084}">
      <x14:pivotCacheDefinition pivotCacheId="1436715446"/>
    </ext>
  </extLst>
</pivotCacheDefinition>
</file>

<file path=xl/pivotCache/pivotCacheRecords1.xml><?xml version="1.0" encoding="utf-8"?>
<pivotCacheRecords xmlns="http://schemas.openxmlformats.org/spreadsheetml/2006/main" xmlns:r="http://schemas.openxmlformats.org/officeDocument/2006/relationships" count="1000">
  <r>
    <n v="1"/>
    <x v="0"/>
    <x v="0"/>
    <s v="CUST5736"/>
    <x v="0"/>
    <x v="0"/>
    <x v="0"/>
    <x v="0"/>
    <x v="0"/>
    <x v="0"/>
    <x v="0"/>
    <x v="0"/>
    <n v="146.93"/>
    <x v="0"/>
    <x v="0"/>
    <x v="0"/>
    <x v="0"/>
    <x v="0"/>
  </r>
  <r>
    <n v="2"/>
    <x v="1"/>
    <x v="1"/>
    <s v="CUST4952"/>
    <x v="0"/>
    <x v="0"/>
    <x v="1"/>
    <x v="1"/>
    <x v="1"/>
    <x v="1"/>
    <x v="1"/>
    <x v="1"/>
    <n v="117.66"/>
    <x v="1"/>
    <x v="1"/>
    <x v="1"/>
    <x v="0"/>
    <x v="1"/>
  </r>
  <r>
    <n v="3"/>
    <x v="2"/>
    <x v="2"/>
    <s v="CUST9494"/>
    <x v="1"/>
    <x v="1"/>
    <x v="2"/>
    <x v="0"/>
    <x v="2"/>
    <x v="2"/>
    <x v="0"/>
    <x v="2"/>
    <n v="1588.84"/>
    <x v="1"/>
    <x v="2"/>
    <x v="2"/>
    <x v="1"/>
    <x v="0"/>
  </r>
  <r>
    <n v="4"/>
    <x v="3"/>
    <x v="3"/>
    <s v="CUST3889"/>
    <x v="2"/>
    <x v="2"/>
    <x v="3"/>
    <x v="2"/>
    <x v="1"/>
    <x v="3"/>
    <x v="2"/>
    <x v="3"/>
    <n v="1044.58"/>
    <x v="0"/>
    <x v="1"/>
    <x v="3"/>
    <x v="0"/>
    <x v="2"/>
  </r>
  <r>
    <n v="5"/>
    <x v="4"/>
    <x v="4"/>
    <s v="CUST8584"/>
    <x v="1"/>
    <x v="3"/>
    <x v="4"/>
    <x v="2"/>
    <x v="3"/>
    <x v="4"/>
    <x v="0"/>
    <x v="4"/>
    <n v="198.67"/>
    <x v="2"/>
    <x v="1"/>
    <x v="4"/>
    <x v="0"/>
    <x v="3"/>
  </r>
  <r>
    <n v="6"/>
    <x v="5"/>
    <x v="5"/>
    <s v="CUST1996"/>
    <x v="0"/>
    <x v="4"/>
    <x v="5"/>
    <x v="2"/>
    <x v="4"/>
    <x v="5"/>
    <x v="3"/>
    <x v="5"/>
    <n v="137.16999999999999"/>
    <x v="2"/>
    <x v="1"/>
    <x v="5"/>
    <x v="0"/>
    <x v="4"/>
  </r>
  <r>
    <n v="7"/>
    <x v="6"/>
    <x v="6"/>
    <s v="CUST4101"/>
    <x v="3"/>
    <x v="5"/>
    <x v="3"/>
    <x v="3"/>
    <x v="5"/>
    <x v="6"/>
    <x v="3"/>
    <x v="6"/>
    <n v="527.13"/>
    <x v="0"/>
    <x v="0"/>
    <x v="6"/>
    <x v="0"/>
    <x v="5"/>
  </r>
  <r>
    <n v="8"/>
    <x v="7"/>
    <x v="7"/>
    <s v="CUST1995"/>
    <x v="2"/>
    <x v="6"/>
    <x v="5"/>
    <x v="1"/>
    <x v="6"/>
    <x v="7"/>
    <x v="4"/>
    <x v="5"/>
    <n v="635.15"/>
    <x v="2"/>
    <x v="1"/>
    <x v="0"/>
    <x v="0"/>
    <x v="6"/>
  </r>
  <r>
    <n v="9"/>
    <x v="8"/>
    <x v="8"/>
    <s v="CUST1088"/>
    <x v="1"/>
    <x v="2"/>
    <x v="5"/>
    <x v="3"/>
    <x v="7"/>
    <x v="8"/>
    <x v="4"/>
    <x v="7"/>
    <n v="73.38"/>
    <x v="1"/>
    <x v="3"/>
    <x v="5"/>
    <x v="0"/>
    <x v="7"/>
  </r>
  <r>
    <n v="10"/>
    <x v="9"/>
    <x v="9"/>
    <s v="CUST1781"/>
    <x v="2"/>
    <x v="2"/>
    <x v="4"/>
    <x v="4"/>
    <x v="8"/>
    <x v="9"/>
    <x v="2"/>
    <x v="8"/>
    <n v="379.55"/>
    <x v="2"/>
    <x v="0"/>
    <x v="7"/>
    <x v="0"/>
    <x v="8"/>
  </r>
  <r>
    <n v="11"/>
    <x v="10"/>
    <x v="10"/>
    <s v="CUST5824"/>
    <x v="3"/>
    <x v="1"/>
    <x v="2"/>
    <x v="2"/>
    <x v="8"/>
    <x v="10"/>
    <x v="0"/>
    <x v="9"/>
    <n v="816.79"/>
    <x v="2"/>
    <x v="4"/>
    <x v="3"/>
    <x v="0"/>
    <x v="5"/>
  </r>
  <r>
    <n v="12"/>
    <x v="11"/>
    <x v="11"/>
    <s v="CUST3833"/>
    <x v="0"/>
    <x v="0"/>
    <x v="5"/>
    <x v="3"/>
    <x v="3"/>
    <x v="11"/>
    <x v="4"/>
    <x v="10"/>
    <n v="199.7"/>
    <x v="2"/>
    <x v="1"/>
    <x v="0"/>
    <x v="0"/>
    <x v="9"/>
  </r>
  <r>
    <n v="13"/>
    <x v="12"/>
    <x v="12"/>
    <s v="CUST9273"/>
    <x v="0"/>
    <x v="6"/>
    <x v="3"/>
    <x v="4"/>
    <x v="5"/>
    <x v="12"/>
    <x v="2"/>
    <x v="11"/>
    <n v="197.73"/>
    <x v="1"/>
    <x v="2"/>
    <x v="7"/>
    <x v="1"/>
    <x v="3"/>
  </r>
  <r>
    <n v="14"/>
    <x v="13"/>
    <x v="13"/>
    <s v="CUST1732"/>
    <x v="0"/>
    <x v="1"/>
    <x v="3"/>
    <x v="3"/>
    <x v="8"/>
    <x v="13"/>
    <x v="1"/>
    <x v="1"/>
    <n v="28.47"/>
    <x v="0"/>
    <x v="4"/>
    <x v="1"/>
    <x v="1"/>
    <x v="6"/>
  </r>
  <r>
    <n v="15"/>
    <x v="14"/>
    <x v="14"/>
    <s v="CUST9571"/>
    <x v="2"/>
    <x v="6"/>
    <x v="2"/>
    <x v="1"/>
    <x v="6"/>
    <x v="14"/>
    <x v="0"/>
    <x v="12"/>
    <n v="339.55"/>
    <x v="1"/>
    <x v="0"/>
    <x v="8"/>
    <x v="1"/>
    <x v="1"/>
  </r>
  <r>
    <n v="16"/>
    <x v="15"/>
    <x v="15"/>
    <s v="CUST4819"/>
    <x v="4"/>
    <x v="2"/>
    <x v="1"/>
    <x v="3"/>
    <x v="4"/>
    <x v="15"/>
    <x v="1"/>
    <x v="13"/>
    <n v="147.77000000000001"/>
    <x v="0"/>
    <x v="3"/>
    <x v="0"/>
    <x v="0"/>
    <x v="0"/>
  </r>
  <r>
    <n v="17"/>
    <x v="16"/>
    <x v="16"/>
    <s v="CUST7713"/>
    <x v="1"/>
    <x v="1"/>
    <x v="6"/>
    <x v="3"/>
    <x v="1"/>
    <x v="16"/>
    <x v="4"/>
    <x v="14"/>
    <n v="540.21"/>
    <x v="1"/>
    <x v="0"/>
    <x v="9"/>
    <x v="0"/>
    <x v="1"/>
  </r>
  <r>
    <n v="18"/>
    <x v="17"/>
    <x v="17"/>
    <s v="CUST4258"/>
    <x v="2"/>
    <x v="5"/>
    <x v="5"/>
    <x v="4"/>
    <x v="4"/>
    <x v="17"/>
    <x v="2"/>
    <x v="0"/>
    <n v="703.61"/>
    <x v="1"/>
    <x v="0"/>
    <x v="6"/>
    <x v="1"/>
    <x v="3"/>
  </r>
  <r>
    <n v="19"/>
    <x v="18"/>
    <x v="18"/>
    <s v="CUST7741"/>
    <x v="4"/>
    <x v="1"/>
    <x v="4"/>
    <x v="4"/>
    <x v="1"/>
    <x v="18"/>
    <x v="0"/>
    <x v="15"/>
    <n v="257.08"/>
    <x v="1"/>
    <x v="0"/>
    <x v="0"/>
    <x v="1"/>
    <x v="10"/>
  </r>
  <r>
    <n v="20"/>
    <x v="19"/>
    <x v="19"/>
    <s v="CUST8004"/>
    <x v="1"/>
    <x v="5"/>
    <x v="7"/>
    <x v="3"/>
    <x v="7"/>
    <x v="19"/>
    <x v="2"/>
    <x v="16"/>
    <n v="561.4"/>
    <x v="0"/>
    <x v="1"/>
    <x v="2"/>
    <x v="1"/>
    <x v="5"/>
  </r>
  <r>
    <n v="21"/>
    <x v="20"/>
    <x v="20"/>
    <s v="CUST5139"/>
    <x v="4"/>
    <x v="6"/>
    <x v="5"/>
    <x v="1"/>
    <x v="7"/>
    <x v="20"/>
    <x v="2"/>
    <x v="3"/>
    <n v="409.84"/>
    <x v="2"/>
    <x v="0"/>
    <x v="6"/>
    <x v="0"/>
    <x v="8"/>
  </r>
  <r>
    <n v="22"/>
    <x v="21"/>
    <x v="21"/>
    <s v="CUST4525"/>
    <x v="0"/>
    <x v="4"/>
    <x v="1"/>
    <x v="4"/>
    <x v="4"/>
    <x v="21"/>
    <x v="1"/>
    <x v="17"/>
    <n v="28.15"/>
    <x v="0"/>
    <x v="2"/>
    <x v="2"/>
    <x v="0"/>
    <x v="2"/>
  </r>
  <r>
    <n v="23"/>
    <x v="22"/>
    <x v="22"/>
    <s v="CUST3029"/>
    <x v="0"/>
    <x v="3"/>
    <x v="6"/>
    <x v="0"/>
    <x v="4"/>
    <x v="22"/>
    <x v="3"/>
    <x v="0"/>
    <n v="270.56"/>
    <x v="0"/>
    <x v="2"/>
    <x v="3"/>
    <x v="0"/>
    <x v="8"/>
  </r>
  <r>
    <n v="24"/>
    <x v="23"/>
    <x v="23"/>
    <s v="CUST3423"/>
    <x v="3"/>
    <x v="1"/>
    <x v="5"/>
    <x v="2"/>
    <x v="5"/>
    <x v="23"/>
    <x v="0"/>
    <x v="2"/>
    <n v="184.49"/>
    <x v="1"/>
    <x v="4"/>
    <x v="1"/>
    <x v="1"/>
    <x v="9"/>
  </r>
  <r>
    <n v="25"/>
    <x v="24"/>
    <x v="24"/>
    <s v="CUST1489"/>
    <x v="2"/>
    <x v="3"/>
    <x v="4"/>
    <x v="2"/>
    <x v="4"/>
    <x v="24"/>
    <x v="0"/>
    <x v="18"/>
    <n v="1181.82"/>
    <x v="0"/>
    <x v="1"/>
    <x v="1"/>
    <x v="0"/>
    <x v="11"/>
  </r>
  <r>
    <n v="26"/>
    <x v="25"/>
    <x v="25"/>
    <s v="CUST8746"/>
    <x v="0"/>
    <x v="4"/>
    <x v="2"/>
    <x v="4"/>
    <x v="6"/>
    <x v="25"/>
    <x v="3"/>
    <x v="2"/>
    <n v="144.5"/>
    <x v="0"/>
    <x v="3"/>
    <x v="6"/>
    <x v="1"/>
    <x v="11"/>
  </r>
  <r>
    <n v="27"/>
    <x v="26"/>
    <x v="26"/>
    <s v="CUST3286"/>
    <x v="1"/>
    <x v="1"/>
    <x v="6"/>
    <x v="4"/>
    <x v="5"/>
    <x v="26"/>
    <x v="4"/>
    <x v="11"/>
    <n v="110.6"/>
    <x v="0"/>
    <x v="0"/>
    <x v="7"/>
    <x v="0"/>
    <x v="3"/>
  </r>
  <r>
    <n v="28"/>
    <x v="27"/>
    <x v="27"/>
    <s v="CUST1346"/>
    <x v="0"/>
    <x v="4"/>
    <x v="2"/>
    <x v="4"/>
    <x v="8"/>
    <x v="27"/>
    <x v="1"/>
    <x v="19"/>
    <n v="81.88"/>
    <x v="2"/>
    <x v="0"/>
    <x v="9"/>
    <x v="1"/>
    <x v="9"/>
  </r>
  <r>
    <n v="29"/>
    <x v="28"/>
    <x v="28"/>
    <s v="CUST6690"/>
    <x v="1"/>
    <x v="6"/>
    <x v="1"/>
    <x v="0"/>
    <x v="8"/>
    <x v="28"/>
    <x v="0"/>
    <x v="6"/>
    <n v="557.41999999999996"/>
    <x v="0"/>
    <x v="0"/>
    <x v="2"/>
    <x v="0"/>
    <x v="6"/>
  </r>
  <r>
    <n v="30"/>
    <x v="29"/>
    <x v="29"/>
    <s v="CUST7181"/>
    <x v="3"/>
    <x v="3"/>
    <x v="4"/>
    <x v="1"/>
    <x v="0"/>
    <x v="29"/>
    <x v="1"/>
    <x v="15"/>
    <n v="227.81"/>
    <x v="1"/>
    <x v="2"/>
    <x v="5"/>
    <x v="1"/>
    <x v="8"/>
  </r>
  <r>
    <n v="31"/>
    <x v="30"/>
    <x v="30"/>
    <s v="CUST7760"/>
    <x v="1"/>
    <x v="1"/>
    <x v="7"/>
    <x v="0"/>
    <x v="2"/>
    <x v="30"/>
    <x v="0"/>
    <x v="8"/>
    <n v="458.84"/>
    <x v="2"/>
    <x v="1"/>
    <x v="4"/>
    <x v="0"/>
    <x v="4"/>
  </r>
  <r>
    <n v="32"/>
    <x v="31"/>
    <x v="31"/>
    <s v="CUST9655"/>
    <x v="4"/>
    <x v="4"/>
    <x v="1"/>
    <x v="2"/>
    <x v="1"/>
    <x v="31"/>
    <x v="3"/>
    <x v="2"/>
    <n v="84.85"/>
    <x v="0"/>
    <x v="3"/>
    <x v="9"/>
    <x v="1"/>
    <x v="2"/>
  </r>
  <r>
    <n v="33"/>
    <x v="32"/>
    <x v="32"/>
    <s v="CUST5419"/>
    <x v="4"/>
    <x v="2"/>
    <x v="2"/>
    <x v="3"/>
    <x v="0"/>
    <x v="32"/>
    <x v="0"/>
    <x v="7"/>
    <n v="507.34"/>
    <x v="1"/>
    <x v="0"/>
    <x v="1"/>
    <x v="0"/>
    <x v="10"/>
  </r>
  <r>
    <n v="34"/>
    <x v="33"/>
    <x v="33"/>
    <s v="CUST5082"/>
    <x v="2"/>
    <x v="2"/>
    <x v="1"/>
    <x v="3"/>
    <x v="2"/>
    <x v="33"/>
    <x v="0"/>
    <x v="13"/>
    <n v="215.82"/>
    <x v="0"/>
    <x v="0"/>
    <x v="4"/>
    <x v="0"/>
    <x v="3"/>
  </r>
  <r>
    <n v="35"/>
    <x v="34"/>
    <x v="34"/>
    <s v="CUST1592"/>
    <x v="3"/>
    <x v="1"/>
    <x v="6"/>
    <x v="3"/>
    <x v="2"/>
    <x v="34"/>
    <x v="1"/>
    <x v="3"/>
    <n v="48.76"/>
    <x v="0"/>
    <x v="4"/>
    <x v="7"/>
    <x v="1"/>
    <x v="9"/>
  </r>
  <r>
    <n v="36"/>
    <x v="35"/>
    <x v="35"/>
    <s v="CUST3704"/>
    <x v="3"/>
    <x v="3"/>
    <x v="4"/>
    <x v="1"/>
    <x v="0"/>
    <x v="35"/>
    <x v="1"/>
    <x v="20"/>
    <n v="157.74"/>
    <x v="2"/>
    <x v="1"/>
    <x v="8"/>
    <x v="1"/>
    <x v="8"/>
  </r>
  <r>
    <n v="37"/>
    <x v="36"/>
    <x v="36"/>
    <s v="CUST5527"/>
    <x v="4"/>
    <x v="2"/>
    <x v="3"/>
    <x v="0"/>
    <x v="8"/>
    <x v="36"/>
    <x v="3"/>
    <x v="8"/>
    <n v="92.27"/>
    <x v="2"/>
    <x v="0"/>
    <x v="7"/>
    <x v="1"/>
    <x v="4"/>
  </r>
  <r>
    <n v="38"/>
    <x v="37"/>
    <x v="37"/>
    <s v="CUST9005"/>
    <x v="3"/>
    <x v="4"/>
    <x v="1"/>
    <x v="4"/>
    <x v="7"/>
    <x v="37"/>
    <x v="0"/>
    <x v="21"/>
    <n v="226.77"/>
    <x v="2"/>
    <x v="2"/>
    <x v="8"/>
    <x v="1"/>
    <x v="5"/>
  </r>
  <r>
    <n v="39"/>
    <x v="38"/>
    <x v="38"/>
    <s v="CUST3326"/>
    <x v="3"/>
    <x v="3"/>
    <x v="5"/>
    <x v="3"/>
    <x v="1"/>
    <x v="38"/>
    <x v="1"/>
    <x v="14"/>
    <n v="8.1"/>
    <x v="2"/>
    <x v="1"/>
    <x v="1"/>
    <x v="1"/>
    <x v="11"/>
  </r>
  <r>
    <n v="40"/>
    <x v="39"/>
    <x v="39"/>
    <s v="CUST3468"/>
    <x v="1"/>
    <x v="3"/>
    <x v="1"/>
    <x v="3"/>
    <x v="7"/>
    <x v="39"/>
    <x v="0"/>
    <x v="8"/>
    <n v="774.02"/>
    <x v="1"/>
    <x v="3"/>
    <x v="0"/>
    <x v="0"/>
    <x v="11"/>
  </r>
  <r>
    <n v="41"/>
    <x v="40"/>
    <x v="25"/>
    <s v="CUST7425"/>
    <x v="1"/>
    <x v="4"/>
    <x v="1"/>
    <x v="3"/>
    <x v="1"/>
    <x v="40"/>
    <x v="3"/>
    <x v="22"/>
    <n v="429.79"/>
    <x v="1"/>
    <x v="0"/>
    <x v="9"/>
    <x v="1"/>
    <x v="11"/>
  </r>
  <r>
    <n v="42"/>
    <x v="41"/>
    <x v="40"/>
    <s v="CUST8650"/>
    <x v="2"/>
    <x v="3"/>
    <x v="3"/>
    <x v="4"/>
    <x v="7"/>
    <x v="41"/>
    <x v="3"/>
    <x v="17"/>
    <n v="270.8"/>
    <x v="1"/>
    <x v="0"/>
    <x v="5"/>
    <x v="1"/>
    <x v="11"/>
  </r>
  <r>
    <n v="43"/>
    <x v="42"/>
    <x v="41"/>
    <s v="CUST7880"/>
    <x v="3"/>
    <x v="1"/>
    <x v="5"/>
    <x v="2"/>
    <x v="3"/>
    <x v="42"/>
    <x v="1"/>
    <x v="23"/>
    <n v="55.97"/>
    <x v="2"/>
    <x v="0"/>
    <x v="1"/>
    <x v="0"/>
    <x v="4"/>
  </r>
  <r>
    <n v="44"/>
    <x v="43"/>
    <x v="42"/>
    <s v="CUST6224"/>
    <x v="1"/>
    <x v="2"/>
    <x v="7"/>
    <x v="2"/>
    <x v="8"/>
    <x v="43"/>
    <x v="0"/>
    <x v="12"/>
    <n v="126.51"/>
    <x v="2"/>
    <x v="0"/>
    <x v="4"/>
    <x v="0"/>
    <x v="0"/>
  </r>
  <r>
    <n v="45"/>
    <x v="44"/>
    <x v="43"/>
    <s v="CUST8242"/>
    <x v="0"/>
    <x v="1"/>
    <x v="6"/>
    <x v="2"/>
    <x v="1"/>
    <x v="44"/>
    <x v="4"/>
    <x v="24"/>
    <n v="58.39"/>
    <x v="0"/>
    <x v="1"/>
    <x v="4"/>
    <x v="0"/>
    <x v="3"/>
  </r>
  <r>
    <n v="46"/>
    <x v="45"/>
    <x v="44"/>
    <s v="CUST7745"/>
    <x v="0"/>
    <x v="6"/>
    <x v="7"/>
    <x v="2"/>
    <x v="7"/>
    <x v="45"/>
    <x v="2"/>
    <x v="19"/>
    <n v="274.62"/>
    <x v="1"/>
    <x v="0"/>
    <x v="9"/>
    <x v="1"/>
    <x v="3"/>
  </r>
  <r>
    <n v="47"/>
    <x v="46"/>
    <x v="11"/>
    <s v="CUST6941"/>
    <x v="2"/>
    <x v="5"/>
    <x v="2"/>
    <x v="3"/>
    <x v="3"/>
    <x v="46"/>
    <x v="1"/>
    <x v="3"/>
    <n v="44.38"/>
    <x v="2"/>
    <x v="4"/>
    <x v="6"/>
    <x v="0"/>
    <x v="9"/>
  </r>
  <r>
    <n v="48"/>
    <x v="47"/>
    <x v="45"/>
    <s v="CUST1829"/>
    <x v="0"/>
    <x v="5"/>
    <x v="4"/>
    <x v="3"/>
    <x v="0"/>
    <x v="47"/>
    <x v="2"/>
    <x v="13"/>
    <n v="98.22"/>
    <x v="0"/>
    <x v="3"/>
    <x v="0"/>
    <x v="1"/>
    <x v="0"/>
  </r>
  <r>
    <n v="49"/>
    <x v="48"/>
    <x v="46"/>
    <s v="CUST9042"/>
    <x v="1"/>
    <x v="1"/>
    <x v="7"/>
    <x v="1"/>
    <x v="4"/>
    <x v="48"/>
    <x v="2"/>
    <x v="18"/>
    <n v="636.76"/>
    <x v="1"/>
    <x v="4"/>
    <x v="6"/>
    <x v="0"/>
    <x v="10"/>
  </r>
  <r>
    <n v="50"/>
    <x v="49"/>
    <x v="47"/>
    <s v="CUST4672"/>
    <x v="0"/>
    <x v="3"/>
    <x v="2"/>
    <x v="1"/>
    <x v="7"/>
    <x v="49"/>
    <x v="2"/>
    <x v="11"/>
    <n v="138.52000000000001"/>
    <x v="0"/>
    <x v="2"/>
    <x v="2"/>
    <x v="0"/>
    <x v="8"/>
  </r>
  <r>
    <n v="51"/>
    <x v="50"/>
    <x v="48"/>
    <s v="CUST1731"/>
    <x v="0"/>
    <x v="3"/>
    <x v="5"/>
    <x v="0"/>
    <x v="8"/>
    <x v="50"/>
    <x v="1"/>
    <x v="6"/>
    <n v="259.76"/>
    <x v="2"/>
    <x v="2"/>
    <x v="3"/>
    <x v="0"/>
    <x v="9"/>
  </r>
  <r>
    <n v="52"/>
    <x v="51"/>
    <x v="49"/>
    <s v="CUST6369"/>
    <x v="4"/>
    <x v="3"/>
    <x v="6"/>
    <x v="3"/>
    <x v="3"/>
    <x v="51"/>
    <x v="2"/>
    <x v="25"/>
    <n v="408.08"/>
    <x v="2"/>
    <x v="1"/>
    <x v="6"/>
    <x v="0"/>
    <x v="3"/>
  </r>
  <r>
    <n v="53"/>
    <x v="52"/>
    <x v="50"/>
    <s v="CUST2478"/>
    <x v="1"/>
    <x v="1"/>
    <x v="4"/>
    <x v="3"/>
    <x v="1"/>
    <x v="52"/>
    <x v="0"/>
    <x v="10"/>
    <n v="204.76"/>
    <x v="0"/>
    <x v="3"/>
    <x v="8"/>
    <x v="0"/>
    <x v="4"/>
  </r>
  <r>
    <n v="54"/>
    <x v="53"/>
    <x v="51"/>
    <s v="CUST9315"/>
    <x v="0"/>
    <x v="2"/>
    <x v="0"/>
    <x v="4"/>
    <x v="0"/>
    <x v="53"/>
    <x v="0"/>
    <x v="7"/>
    <n v="606.9"/>
    <x v="1"/>
    <x v="1"/>
    <x v="0"/>
    <x v="0"/>
    <x v="0"/>
  </r>
  <r>
    <n v="55"/>
    <x v="54"/>
    <x v="52"/>
    <s v="CUST5956"/>
    <x v="1"/>
    <x v="4"/>
    <x v="6"/>
    <x v="0"/>
    <x v="0"/>
    <x v="54"/>
    <x v="3"/>
    <x v="26"/>
    <n v="424.42"/>
    <x v="2"/>
    <x v="2"/>
    <x v="2"/>
    <x v="0"/>
    <x v="11"/>
  </r>
  <r>
    <n v="56"/>
    <x v="55"/>
    <x v="53"/>
    <s v="CUST4689"/>
    <x v="2"/>
    <x v="2"/>
    <x v="4"/>
    <x v="0"/>
    <x v="5"/>
    <x v="55"/>
    <x v="4"/>
    <x v="17"/>
    <n v="90.83"/>
    <x v="1"/>
    <x v="4"/>
    <x v="5"/>
    <x v="0"/>
    <x v="7"/>
  </r>
  <r>
    <n v="57"/>
    <x v="56"/>
    <x v="54"/>
    <s v="CUST1729"/>
    <x v="3"/>
    <x v="3"/>
    <x v="2"/>
    <x v="3"/>
    <x v="2"/>
    <x v="56"/>
    <x v="2"/>
    <x v="2"/>
    <n v="164.33"/>
    <x v="2"/>
    <x v="4"/>
    <x v="0"/>
    <x v="0"/>
    <x v="9"/>
  </r>
  <r>
    <n v="58"/>
    <x v="57"/>
    <x v="55"/>
    <s v="CUST9444"/>
    <x v="4"/>
    <x v="5"/>
    <x v="4"/>
    <x v="0"/>
    <x v="7"/>
    <x v="57"/>
    <x v="2"/>
    <x v="0"/>
    <n v="813.88"/>
    <x v="0"/>
    <x v="3"/>
    <x v="5"/>
    <x v="0"/>
    <x v="6"/>
  </r>
  <r>
    <n v="59"/>
    <x v="58"/>
    <x v="56"/>
    <s v="CUST8179"/>
    <x v="3"/>
    <x v="1"/>
    <x v="4"/>
    <x v="2"/>
    <x v="7"/>
    <x v="58"/>
    <x v="1"/>
    <x v="16"/>
    <n v="27.22"/>
    <x v="2"/>
    <x v="3"/>
    <x v="7"/>
    <x v="0"/>
    <x v="5"/>
  </r>
  <r>
    <n v="60"/>
    <x v="59"/>
    <x v="57"/>
    <s v="CUST3995"/>
    <x v="3"/>
    <x v="2"/>
    <x v="0"/>
    <x v="0"/>
    <x v="0"/>
    <x v="59"/>
    <x v="4"/>
    <x v="27"/>
    <n v="197.3"/>
    <x v="2"/>
    <x v="0"/>
    <x v="6"/>
    <x v="1"/>
    <x v="1"/>
  </r>
  <r>
    <n v="61"/>
    <x v="60"/>
    <x v="58"/>
    <s v="CUST3116"/>
    <x v="0"/>
    <x v="3"/>
    <x v="6"/>
    <x v="1"/>
    <x v="1"/>
    <x v="60"/>
    <x v="0"/>
    <x v="28"/>
    <n v="184.61"/>
    <x v="0"/>
    <x v="4"/>
    <x v="0"/>
    <x v="0"/>
    <x v="7"/>
  </r>
  <r>
    <n v="62"/>
    <x v="61"/>
    <x v="28"/>
    <s v="CUST8815"/>
    <x v="3"/>
    <x v="0"/>
    <x v="4"/>
    <x v="3"/>
    <x v="4"/>
    <x v="61"/>
    <x v="4"/>
    <x v="8"/>
    <n v="275.32"/>
    <x v="1"/>
    <x v="4"/>
    <x v="2"/>
    <x v="0"/>
    <x v="6"/>
  </r>
  <r>
    <n v="63"/>
    <x v="62"/>
    <x v="59"/>
    <s v="CUST9744"/>
    <x v="2"/>
    <x v="0"/>
    <x v="3"/>
    <x v="2"/>
    <x v="1"/>
    <x v="62"/>
    <x v="2"/>
    <x v="10"/>
    <n v="290.91000000000003"/>
    <x v="2"/>
    <x v="4"/>
    <x v="1"/>
    <x v="0"/>
    <x v="4"/>
  </r>
  <r>
    <n v="64"/>
    <x v="63"/>
    <x v="60"/>
    <s v="CUST1782"/>
    <x v="1"/>
    <x v="5"/>
    <x v="0"/>
    <x v="3"/>
    <x v="2"/>
    <x v="63"/>
    <x v="4"/>
    <x v="15"/>
    <n v="12.31"/>
    <x v="2"/>
    <x v="4"/>
    <x v="4"/>
    <x v="0"/>
    <x v="4"/>
  </r>
  <r>
    <n v="65"/>
    <x v="64"/>
    <x v="4"/>
    <s v="CUST7423"/>
    <x v="4"/>
    <x v="6"/>
    <x v="3"/>
    <x v="2"/>
    <x v="0"/>
    <x v="64"/>
    <x v="0"/>
    <x v="19"/>
    <n v="109.98"/>
    <x v="1"/>
    <x v="4"/>
    <x v="3"/>
    <x v="0"/>
    <x v="3"/>
  </r>
  <r>
    <n v="66"/>
    <x v="65"/>
    <x v="61"/>
    <s v="CUST6184"/>
    <x v="3"/>
    <x v="3"/>
    <x v="0"/>
    <x v="0"/>
    <x v="3"/>
    <x v="65"/>
    <x v="3"/>
    <x v="23"/>
    <n v="162.69999999999999"/>
    <x v="0"/>
    <x v="0"/>
    <x v="6"/>
    <x v="0"/>
    <x v="5"/>
  </r>
  <r>
    <n v="67"/>
    <x v="66"/>
    <x v="62"/>
    <s v="CUST8970"/>
    <x v="2"/>
    <x v="1"/>
    <x v="0"/>
    <x v="3"/>
    <x v="2"/>
    <x v="66"/>
    <x v="1"/>
    <x v="12"/>
    <n v="37.74"/>
    <x v="1"/>
    <x v="1"/>
    <x v="8"/>
    <x v="1"/>
    <x v="7"/>
  </r>
  <r>
    <n v="68"/>
    <x v="67"/>
    <x v="63"/>
    <s v="CUST9212"/>
    <x v="4"/>
    <x v="1"/>
    <x v="0"/>
    <x v="4"/>
    <x v="2"/>
    <x v="67"/>
    <x v="1"/>
    <x v="25"/>
    <n v="297.57"/>
    <x v="0"/>
    <x v="3"/>
    <x v="2"/>
    <x v="0"/>
    <x v="4"/>
  </r>
  <r>
    <n v="69"/>
    <x v="68"/>
    <x v="64"/>
    <s v="CUST2133"/>
    <x v="0"/>
    <x v="0"/>
    <x v="4"/>
    <x v="0"/>
    <x v="5"/>
    <x v="68"/>
    <x v="3"/>
    <x v="11"/>
    <n v="143.13"/>
    <x v="0"/>
    <x v="2"/>
    <x v="0"/>
    <x v="0"/>
    <x v="3"/>
  </r>
  <r>
    <n v="70"/>
    <x v="69"/>
    <x v="65"/>
    <s v="CUST7177"/>
    <x v="3"/>
    <x v="6"/>
    <x v="3"/>
    <x v="3"/>
    <x v="2"/>
    <x v="69"/>
    <x v="3"/>
    <x v="22"/>
    <n v="256.56"/>
    <x v="2"/>
    <x v="0"/>
    <x v="5"/>
    <x v="0"/>
    <x v="4"/>
  </r>
  <r>
    <n v="71"/>
    <x v="70"/>
    <x v="66"/>
    <s v="CUST9526"/>
    <x v="1"/>
    <x v="3"/>
    <x v="2"/>
    <x v="2"/>
    <x v="5"/>
    <x v="70"/>
    <x v="1"/>
    <x v="11"/>
    <n v="77.67"/>
    <x v="2"/>
    <x v="3"/>
    <x v="8"/>
    <x v="1"/>
    <x v="6"/>
  </r>
  <r>
    <n v="72"/>
    <x v="71"/>
    <x v="67"/>
    <s v="CUST7946"/>
    <x v="0"/>
    <x v="4"/>
    <x v="6"/>
    <x v="2"/>
    <x v="2"/>
    <x v="71"/>
    <x v="4"/>
    <x v="20"/>
    <n v="161.77000000000001"/>
    <x v="2"/>
    <x v="3"/>
    <x v="8"/>
    <x v="1"/>
    <x v="5"/>
  </r>
  <r>
    <n v="73"/>
    <x v="72"/>
    <x v="46"/>
    <s v="CUST3597"/>
    <x v="4"/>
    <x v="2"/>
    <x v="5"/>
    <x v="3"/>
    <x v="7"/>
    <x v="72"/>
    <x v="1"/>
    <x v="5"/>
    <n v="296.99"/>
    <x v="0"/>
    <x v="0"/>
    <x v="5"/>
    <x v="0"/>
    <x v="10"/>
  </r>
  <r>
    <n v="74"/>
    <x v="73"/>
    <x v="68"/>
    <s v="CUST2982"/>
    <x v="1"/>
    <x v="0"/>
    <x v="3"/>
    <x v="3"/>
    <x v="2"/>
    <x v="73"/>
    <x v="0"/>
    <x v="15"/>
    <n v="1149.51"/>
    <x v="0"/>
    <x v="4"/>
    <x v="2"/>
    <x v="1"/>
    <x v="1"/>
  </r>
  <r>
    <n v="75"/>
    <x v="74"/>
    <x v="69"/>
    <s v="CUST8207"/>
    <x v="1"/>
    <x v="4"/>
    <x v="1"/>
    <x v="0"/>
    <x v="5"/>
    <x v="74"/>
    <x v="3"/>
    <x v="22"/>
    <n v="194.11"/>
    <x v="0"/>
    <x v="2"/>
    <x v="4"/>
    <x v="1"/>
    <x v="10"/>
  </r>
  <r>
    <n v="76"/>
    <x v="75"/>
    <x v="70"/>
    <s v="CUST9008"/>
    <x v="0"/>
    <x v="1"/>
    <x v="4"/>
    <x v="4"/>
    <x v="5"/>
    <x v="75"/>
    <x v="4"/>
    <x v="21"/>
    <n v="361.76"/>
    <x v="0"/>
    <x v="0"/>
    <x v="6"/>
    <x v="1"/>
    <x v="9"/>
  </r>
  <r>
    <n v="77"/>
    <x v="76"/>
    <x v="71"/>
    <s v="CUST9078"/>
    <x v="2"/>
    <x v="6"/>
    <x v="3"/>
    <x v="0"/>
    <x v="4"/>
    <x v="76"/>
    <x v="2"/>
    <x v="13"/>
    <n v="53.47"/>
    <x v="2"/>
    <x v="4"/>
    <x v="7"/>
    <x v="1"/>
    <x v="4"/>
  </r>
  <r>
    <n v="78"/>
    <x v="77"/>
    <x v="72"/>
    <s v="CUST3396"/>
    <x v="3"/>
    <x v="0"/>
    <x v="4"/>
    <x v="4"/>
    <x v="3"/>
    <x v="77"/>
    <x v="0"/>
    <x v="28"/>
    <n v="761.45"/>
    <x v="0"/>
    <x v="3"/>
    <x v="5"/>
    <x v="0"/>
    <x v="3"/>
  </r>
  <r>
    <n v="79"/>
    <x v="78"/>
    <x v="73"/>
    <s v="CUST5636"/>
    <x v="4"/>
    <x v="2"/>
    <x v="4"/>
    <x v="1"/>
    <x v="3"/>
    <x v="78"/>
    <x v="4"/>
    <x v="16"/>
    <n v="329.89"/>
    <x v="1"/>
    <x v="0"/>
    <x v="8"/>
    <x v="0"/>
    <x v="0"/>
  </r>
  <r>
    <n v="80"/>
    <x v="79"/>
    <x v="74"/>
    <s v="CUST9472"/>
    <x v="2"/>
    <x v="6"/>
    <x v="5"/>
    <x v="1"/>
    <x v="0"/>
    <x v="79"/>
    <x v="1"/>
    <x v="14"/>
    <n v="305.08"/>
    <x v="0"/>
    <x v="0"/>
    <x v="5"/>
    <x v="1"/>
    <x v="4"/>
  </r>
  <r>
    <n v="81"/>
    <x v="80"/>
    <x v="75"/>
    <s v="CUST3367"/>
    <x v="4"/>
    <x v="6"/>
    <x v="0"/>
    <x v="1"/>
    <x v="7"/>
    <x v="80"/>
    <x v="2"/>
    <x v="19"/>
    <n v="255.81"/>
    <x v="2"/>
    <x v="1"/>
    <x v="8"/>
    <x v="1"/>
    <x v="9"/>
  </r>
  <r>
    <n v="82"/>
    <x v="81"/>
    <x v="76"/>
    <s v="CUST7897"/>
    <x v="2"/>
    <x v="5"/>
    <x v="3"/>
    <x v="3"/>
    <x v="0"/>
    <x v="81"/>
    <x v="1"/>
    <x v="18"/>
    <n v="318.63"/>
    <x v="1"/>
    <x v="1"/>
    <x v="3"/>
    <x v="0"/>
    <x v="4"/>
  </r>
  <r>
    <n v="83"/>
    <x v="82"/>
    <x v="77"/>
    <s v="CUST7901"/>
    <x v="1"/>
    <x v="1"/>
    <x v="3"/>
    <x v="4"/>
    <x v="6"/>
    <x v="82"/>
    <x v="3"/>
    <x v="27"/>
    <n v="667.39"/>
    <x v="0"/>
    <x v="0"/>
    <x v="9"/>
    <x v="0"/>
    <x v="9"/>
  </r>
  <r>
    <n v="84"/>
    <x v="83"/>
    <x v="49"/>
    <s v="CUST5754"/>
    <x v="1"/>
    <x v="2"/>
    <x v="5"/>
    <x v="4"/>
    <x v="3"/>
    <x v="83"/>
    <x v="0"/>
    <x v="29"/>
    <n v="219.49"/>
    <x v="0"/>
    <x v="3"/>
    <x v="4"/>
    <x v="0"/>
    <x v="3"/>
  </r>
  <r>
    <n v="85"/>
    <x v="84"/>
    <x v="78"/>
    <s v="CUST6830"/>
    <x v="3"/>
    <x v="6"/>
    <x v="6"/>
    <x v="4"/>
    <x v="4"/>
    <x v="84"/>
    <x v="3"/>
    <x v="5"/>
    <n v="121.83"/>
    <x v="0"/>
    <x v="0"/>
    <x v="2"/>
    <x v="1"/>
    <x v="6"/>
  </r>
  <r>
    <n v="86"/>
    <x v="85"/>
    <x v="49"/>
    <s v="CUST6961"/>
    <x v="3"/>
    <x v="3"/>
    <x v="5"/>
    <x v="0"/>
    <x v="4"/>
    <x v="85"/>
    <x v="1"/>
    <x v="13"/>
    <n v="176.2"/>
    <x v="0"/>
    <x v="1"/>
    <x v="0"/>
    <x v="0"/>
    <x v="3"/>
  </r>
  <r>
    <n v="87"/>
    <x v="86"/>
    <x v="79"/>
    <s v="CUST3129"/>
    <x v="0"/>
    <x v="2"/>
    <x v="1"/>
    <x v="1"/>
    <x v="1"/>
    <x v="86"/>
    <x v="1"/>
    <x v="10"/>
    <n v="7.42"/>
    <x v="1"/>
    <x v="1"/>
    <x v="0"/>
    <x v="1"/>
    <x v="8"/>
  </r>
  <r>
    <n v="88"/>
    <x v="87"/>
    <x v="45"/>
    <s v="CUST4483"/>
    <x v="3"/>
    <x v="5"/>
    <x v="2"/>
    <x v="2"/>
    <x v="3"/>
    <x v="87"/>
    <x v="2"/>
    <x v="26"/>
    <n v="870.26"/>
    <x v="0"/>
    <x v="2"/>
    <x v="4"/>
    <x v="1"/>
    <x v="0"/>
  </r>
  <r>
    <n v="89"/>
    <x v="88"/>
    <x v="65"/>
    <s v="CUST4191"/>
    <x v="1"/>
    <x v="1"/>
    <x v="1"/>
    <x v="3"/>
    <x v="5"/>
    <x v="88"/>
    <x v="4"/>
    <x v="9"/>
    <n v="410.86"/>
    <x v="2"/>
    <x v="2"/>
    <x v="0"/>
    <x v="0"/>
    <x v="4"/>
  </r>
  <r>
    <n v="90"/>
    <x v="89"/>
    <x v="35"/>
    <s v="CUST5533"/>
    <x v="4"/>
    <x v="3"/>
    <x v="6"/>
    <x v="1"/>
    <x v="4"/>
    <x v="89"/>
    <x v="4"/>
    <x v="15"/>
    <n v="401.35"/>
    <x v="1"/>
    <x v="2"/>
    <x v="8"/>
    <x v="1"/>
    <x v="8"/>
  </r>
  <r>
    <n v="91"/>
    <x v="90"/>
    <x v="80"/>
    <s v="CUST8066"/>
    <x v="0"/>
    <x v="6"/>
    <x v="7"/>
    <x v="1"/>
    <x v="8"/>
    <x v="90"/>
    <x v="4"/>
    <x v="0"/>
    <n v="124.63"/>
    <x v="1"/>
    <x v="4"/>
    <x v="3"/>
    <x v="1"/>
    <x v="2"/>
  </r>
  <r>
    <n v="92"/>
    <x v="91"/>
    <x v="15"/>
    <s v="CUST5823"/>
    <x v="2"/>
    <x v="2"/>
    <x v="4"/>
    <x v="0"/>
    <x v="7"/>
    <x v="91"/>
    <x v="1"/>
    <x v="6"/>
    <n v="32.090000000000003"/>
    <x v="0"/>
    <x v="0"/>
    <x v="4"/>
    <x v="0"/>
    <x v="0"/>
  </r>
  <r>
    <n v="93"/>
    <x v="92"/>
    <x v="81"/>
    <s v="CUST9136"/>
    <x v="2"/>
    <x v="6"/>
    <x v="4"/>
    <x v="0"/>
    <x v="2"/>
    <x v="92"/>
    <x v="3"/>
    <x v="24"/>
    <n v="187.78"/>
    <x v="2"/>
    <x v="3"/>
    <x v="1"/>
    <x v="0"/>
    <x v="1"/>
  </r>
  <r>
    <n v="94"/>
    <x v="93"/>
    <x v="82"/>
    <s v="CUST1824"/>
    <x v="1"/>
    <x v="5"/>
    <x v="5"/>
    <x v="2"/>
    <x v="7"/>
    <x v="93"/>
    <x v="0"/>
    <x v="10"/>
    <n v="502.57"/>
    <x v="1"/>
    <x v="2"/>
    <x v="9"/>
    <x v="0"/>
    <x v="1"/>
  </r>
  <r>
    <n v="95"/>
    <x v="94"/>
    <x v="83"/>
    <s v="CUST1486"/>
    <x v="1"/>
    <x v="0"/>
    <x v="7"/>
    <x v="0"/>
    <x v="3"/>
    <x v="94"/>
    <x v="0"/>
    <x v="9"/>
    <n v="644.66999999999996"/>
    <x v="0"/>
    <x v="1"/>
    <x v="9"/>
    <x v="0"/>
    <x v="9"/>
  </r>
  <r>
    <n v="96"/>
    <x v="95"/>
    <x v="47"/>
    <s v="CUST6747"/>
    <x v="2"/>
    <x v="2"/>
    <x v="6"/>
    <x v="0"/>
    <x v="6"/>
    <x v="95"/>
    <x v="4"/>
    <x v="26"/>
    <n v="197.49"/>
    <x v="1"/>
    <x v="3"/>
    <x v="0"/>
    <x v="0"/>
    <x v="8"/>
  </r>
  <r>
    <n v="97"/>
    <x v="96"/>
    <x v="84"/>
    <s v="CUST5332"/>
    <x v="2"/>
    <x v="4"/>
    <x v="2"/>
    <x v="4"/>
    <x v="4"/>
    <x v="96"/>
    <x v="1"/>
    <x v="16"/>
    <n v="201.61"/>
    <x v="2"/>
    <x v="1"/>
    <x v="3"/>
    <x v="1"/>
    <x v="4"/>
  </r>
  <r>
    <n v="98"/>
    <x v="97"/>
    <x v="85"/>
    <s v="CUST6682"/>
    <x v="3"/>
    <x v="5"/>
    <x v="0"/>
    <x v="4"/>
    <x v="1"/>
    <x v="97"/>
    <x v="2"/>
    <x v="21"/>
    <n v="438.8"/>
    <x v="2"/>
    <x v="1"/>
    <x v="2"/>
    <x v="0"/>
    <x v="11"/>
  </r>
  <r>
    <n v="99"/>
    <x v="98"/>
    <x v="86"/>
    <s v="CUST7184"/>
    <x v="3"/>
    <x v="5"/>
    <x v="1"/>
    <x v="1"/>
    <x v="6"/>
    <x v="98"/>
    <x v="3"/>
    <x v="28"/>
    <n v="140.54"/>
    <x v="2"/>
    <x v="3"/>
    <x v="1"/>
    <x v="1"/>
    <x v="6"/>
  </r>
  <r>
    <n v="100"/>
    <x v="99"/>
    <x v="87"/>
    <s v="CUST6173"/>
    <x v="1"/>
    <x v="4"/>
    <x v="0"/>
    <x v="0"/>
    <x v="8"/>
    <x v="99"/>
    <x v="2"/>
    <x v="29"/>
    <n v="520.85"/>
    <x v="1"/>
    <x v="3"/>
    <x v="9"/>
    <x v="1"/>
    <x v="0"/>
  </r>
  <r>
    <n v="101"/>
    <x v="100"/>
    <x v="88"/>
    <s v="CUST6765"/>
    <x v="4"/>
    <x v="0"/>
    <x v="5"/>
    <x v="2"/>
    <x v="6"/>
    <x v="100"/>
    <x v="0"/>
    <x v="3"/>
    <n v="169.14"/>
    <x v="1"/>
    <x v="4"/>
    <x v="6"/>
    <x v="0"/>
    <x v="1"/>
  </r>
  <r>
    <n v="102"/>
    <x v="101"/>
    <x v="89"/>
    <s v="CUST1601"/>
    <x v="4"/>
    <x v="5"/>
    <x v="6"/>
    <x v="0"/>
    <x v="2"/>
    <x v="101"/>
    <x v="0"/>
    <x v="15"/>
    <n v="22.59"/>
    <x v="2"/>
    <x v="3"/>
    <x v="5"/>
    <x v="0"/>
    <x v="10"/>
  </r>
  <r>
    <n v="103"/>
    <x v="102"/>
    <x v="90"/>
    <s v="CUST8310"/>
    <x v="1"/>
    <x v="5"/>
    <x v="2"/>
    <x v="3"/>
    <x v="1"/>
    <x v="102"/>
    <x v="3"/>
    <x v="9"/>
    <n v="13.21"/>
    <x v="2"/>
    <x v="3"/>
    <x v="7"/>
    <x v="1"/>
    <x v="0"/>
  </r>
  <r>
    <n v="104"/>
    <x v="103"/>
    <x v="91"/>
    <s v="CUST8999"/>
    <x v="4"/>
    <x v="6"/>
    <x v="0"/>
    <x v="3"/>
    <x v="3"/>
    <x v="103"/>
    <x v="4"/>
    <x v="26"/>
    <n v="213.56"/>
    <x v="1"/>
    <x v="2"/>
    <x v="3"/>
    <x v="0"/>
    <x v="11"/>
  </r>
  <r>
    <n v="105"/>
    <x v="104"/>
    <x v="92"/>
    <s v="CUST1345"/>
    <x v="1"/>
    <x v="1"/>
    <x v="0"/>
    <x v="4"/>
    <x v="2"/>
    <x v="104"/>
    <x v="0"/>
    <x v="5"/>
    <n v="264.02999999999997"/>
    <x v="2"/>
    <x v="0"/>
    <x v="1"/>
    <x v="1"/>
    <x v="10"/>
  </r>
  <r>
    <n v="106"/>
    <x v="105"/>
    <x v="93"/>
    <s v="CUST8560"/>
    <x v="1"/>
    <x v="5"/>
    <x v="6"/>
    <x v="3"/>
    <x v="1"/>
    <x v="105"/>
    <x v="0"/>
    <x v="23"/>
    <n v="263.04000000000002"/>
    <x v="0"/>
    <x v="4"/>
    <x v="3"/>
    <x v="1"/>
    <x v="5"/>
  </r>
  <r>
    <n v="107"/>
    <x v="106"/>
    <x v="94"/>
    <s v="CUST7648"/>
    <x v="3"/>
    <x v="5"/>
    <x v="4"/>
    <x v="3"/>
    <x v="8"/>
    <x v="106"/>
    <x v="4"/>
    <x v="23"/>
    <n v="164.86"/>
    <x v="0"/>
    <x v="4"/>
    <x v="3"/>
    <x v="0"/>
    <x v="3"/>
  </r>
  <r>
    <n v="108"/>
    <x v="107"/>
    <x v="95"/>
    <s v="CUST9589"/>
    <x v="1"/>
    <x v="3"/>
    <x v="0"/>
    <x v="0"/>
    <x v="0"/>
    <x v="107"/>
    <x v="0"/>
    <x v="2"/>
    <n v="940.03"/>
    <x v="2"/>
    <x v="4"/>
    <x v="7"/>
    <x v="0"/>
    <x v="5"/>
  </r>
  <r>
    <n v="109"/>
    <x v="108"/>
    <x v="96"/>
    <s v="CUST2572"/>
    <x v="0"/>
    <x v="4"/>
    <x v="3"/>
    <x v="0"/>
    <x v="1"/>
    <x v="108"/>
    <x v="3"/>
    <x v="7"/>
    <n v="487.21"/>
    <x v="1"/>
    <x v="2"/>
    <x v="2"/>
    <x v="1"/>
    <x v="9"/>
  </r>
  <r>
    <n v="110"/>
    <x v="109"/>
    <x v="97"/>
    <s v="CUST5232"/>
    <x v="1"/>
    <x v="3"/>
    <x v="4"/>
    <x v="3"/>
    <x v="5"/>
    <x v="109"/>
    <x v="2"/>
    <x v="21"/>
    <n v="480.33"/>
    <x v="2"/>
    <x v="2"/>
    <x v="4"/>
    <x v="1"/>
    <x v="8"/>
  </r>
  <r>
    <n v="111"/>
    <x v="110"/>
    <x v="98"/>
    <s v="CUST1363"/>
    <x v="3"/>
    <x v="5"/>
    <x v="4"/>
    <x v="2"/>
    <x v="5"/>
    <x v="110"/>
    <x v="0"/>
    <x v="12"/>
    <n v="86.87"/>
    <x v="0"/>
    <x v="3"/>
    <x v="3"/>
    <x v="0"/>
    <x v="9"/>
  </r>
  <r>
    <n v="112"/>
    <x v="111"/>
    <x v="99"/>
    <s v="CUST2526"/>
    <x v="3"/>
    <x v="4"/>
    <x v="5"/>
    <x v="0"/>
    <x v="2"/>
    <x v="111"/>
    <x v="2"/>
    <x v="8"/>
    <n v="434.05"/>
    <x v="2"/>
    <x v="1"/>
    <x v="3"/>
    <x v="1"/>
    <x v="7"/>
  </r>
  <r>
    <n v="113"/>
    <x v="112"/>
    <x v="82"/>
    <s v="CUST6448"/>
    <x v="2"/>
    <x v="2"/>
    <x v="3"/>
    <x v="3"/>
    <x v="1"/>
    <x v="112"/>
    <x v="1"/>
    <x v="15"/>
    <n v="55.46"/>
    <x v="2"/>
    <x v="1"/>
    <x v="5"/>
    <x v="0"/>
    <x v="1"/>
  </r>
  <r>
    <n v="114"/>
    <x v="113"/>
    <x v="100"/>
    <s v="CUST7172"/>
    <x v="1"/>
    <x v="6"/>
    <x v="6"/>
    <x v="2"/>
    <x v="5"/>
    <x v="113"/>
    <x v="0"/>
    <x v="5"/>
    <n v="317.31"/>
    <x v="2"/>
    <x v="4"/>
    <x v="6"/>
    <x v="1"/>
    <x v="4"/>
  </r>
  <r>
    <n v="115"/>
    <x v="114"/>
    <x v="101"/>
    <s v="CUST8615"/>
    <x v="3"/>
    <x v="1"/>
    <x v="3"/>
    <x v="3"/>
    <x v="7"/>
    <x v="114"/>
    <x v="1"/>
    <x v="10"/>
    <n v="46.99"/>
    <x v="1"/>
    <x v="4"/>
    <x v="0"/>
    <x v="0"/>
    <x v="4"/>
  </r>
  <r>
    <n v="116"/>
    <x v="115"/>
    <x v="102"/>
    <s v="CUST5364"/>
    <x v="3"/>
    <x v="6"/>
    <x v="3"/>
    <x v="2"/>
    <x v="3"/>
    <x v="115"/>
    <x v="4"/>
    <x v="23"/>
    <n v="75.87"/>
    <x v="0"/>
    <x v="3"/>
    <x v="2"/>
    <x v="1"/>
    <x v="9"/>
  </r>
  <r>
    <n v="117"/>
    <x v="116"/>
    <x v="103"/>
    <s v="CUST1833"/>
    <x v="0"/>
    <x v="4"/>
    <x v="5"/>
    <x v="0"/>
    <x v="8"/>
    <x v="116"/>
    <x v="4"/>
    <x v="12"/>
    <n v="552.67999999999995"/>
    <x v="0"/>
    <x v="3"/>
    <x v="6"/>
    <x v="1"/>
    <x v="0"/>
  </r>
  <r>
    <n v="118"/>
    <x v="117"/>
    <x v="104"/>
    <s v="CUST6478"/>
    <x v="0"/>
    <x v="1"/>
    <x v="3"/>
    <x v="0"/>
    <x v="5"/>
    <x v="117"/>
    <x v="3"/>
    <x v="26"/>
    <n v="583.16"/>
    <x v="1"/>
    <x v="3"/>
    <x v="4"/>
    <x v="1"/>
    <x v="7"/>
  </r>
  <r>
    <n v="119"/>
    <x v="118"/>
    <x v="105"/>
    <s v="CUST7785"/>
    <x v="3"/>
    <x v="0"/>
    <x v="4"/>
    <x v="3"/>
    <x v="1"/>
    <x v="118"/>
    <x v="1"/>
    <x v="1"/>
    <n v="111.99"/>
    <x v="2"/>
    <x v="0"/>
    <x v="2"/>
    <x v="1"/>
    <x v="0"/>
  </r>
  <r>
    <n v="120"/>
    <x v="119"/>
    <x v="4"/>
    <s v="CUST6138"/>
    <x v="3"/>
    <x v="2"/>
    <x v="2"/>
    <x v="3"/>
    <x v="3"/>
    <x v="119"/>
    <x v="1"/>
    <x v="5"/>
    <n v="54.13"/>
    <x v="2"/>
    <x v="0"/>
    <x v="1"/>
    <x v="0"/>
    <x v="3"/>
  </r>
  <r>
    <n v="121"/>
    <x v="120"/>
    <x v="59"/>
    <s v="CUST2847"/>
    <x v="0"/>
    <x v="6"/>
    <x v="7"/>
    <x v="4"/>
    <x v="8"/>
    <x v="120"/>
    <x v="4"/>
    <x v="12"/>
    <n v="304.18"/>
    <x v="2"/>
    <x v="0"/>
    <x v="0"/>
    <x v="0"/>
    <x v="4"/>
  </r>
  <r>
    <n v="122"/>
    <x v="121"/>
    <x v="106"/>
    <s v="CUST5607"/>
    <x v="0"/>
    <x v="0"/>
    <x v="5"/>
    <x v="4"/>
    <x v="2"/>
    <x v="121"/>
    <x v="3"/>
    <x v="27"/>
    <n v="143.30000000000001"/>
    <x v="2"/>
    <x v="0"/>
    <x v="9"/>
    <x v="1"/>
    <x v="2"/>
  </r>
  <r>
    <n v="123"/>
    <x v="122"/>
    <x v="107"/>
    <s v="CUST6072"/>
    <x v="0"/>
    <x v="0"/>
    <x v="3"/>
    <x v="0"/>
    <x v="7"/>
    <x v="122"/>
    <x v="2"/>
    <x v="29"/>
    <n v="285.77"/>
    <x v="2"/>
    <x v="2"/>
    <x v="1"/>
    <x v="0"/>
    <x v="5"/>
  </r>
  <r>
    <n v="124"/>
    <x v="123"/>
    <x v="108"/>
    <s v="CUST4189"/>
    <x v="1"/>
    <x v="5"/>
    <x v="2"/>
    <x v="2"/>
    <x v="2"/>
    <x v="123"/>
    <x v="3"/>
    <x v="5"/>
    <n v="47.98"/>
    <x v="1"/>
    <x v="1"/>
    <x v="4"/>
    <x v="1"/>
    <x v="3"/>
  </r>
  <r>
    <n v="125"/>
    <x v="124"/>
    <x v="109"/>
    <s v="CUST4255"/>
    <x v="1"/>
    <x v="4"/>
    <x v="1"/>
    <x v="4"/>
    <x v="8"/>
    <x v="124"/>
    <x v="3"/>
    <x v="16"/>
    <n v="298.7"/>
    <x v="1"/>
    <x v="1"/>
    <x v="1"/>
    <x v="1"/>
    <x v="4"/>
  </r>
  <r>
    <n v="126"/>
    <x v="125"/>
    <x v="110"/>
    <s v="CUST3315"/>
    <x v="4"/>
    <x v="4"/>
    <x v="7"/>
    <x v="1"/>
    <x v="5"/>
    <x v="125"/>
    <x v="1"/>
    <x v="17"/>
    <n v="250.95"/>
    <x v="0"/>
    <x v="1"/>
    <x v="2"/>
    <x v="0"/>
    <x v="1"/>
  </r>
  <r>
    <n v="127"/>
    <x v="126"/>
    <x v="107"/>
    <s v="CUST6341"/>
    <x v="4"/>
    <x v="2"/>
    <x v="7"/>
    <x v="1"/>
    <x v="4"/>
    <x v="126"/>
    <x v="0"/>
    <x v="5"/>
    <n v="932.89"/>
    <x v="0"/>
    <x v="1"/>
    <x v="8"/>
    <x v="0"/>
    <x v="5"/>
  </r>
  <r>
    <n v="128"/>
    <x v="127"/>
    <x v="111"/>
    <s v="CUST8622"/>
    <x v="4"/>
    <x v="5"/>
    <x v="0"/>
    <x v="3"/>
    <x v="8"/>
    <x v="127"/>
    <x v="1"/>
    <x v="7"/>
    <n v="92.11"/>
    <x v="0"/>
    <x v="3"/>
    <x v="5"/>
    <x v="0"/>
    <x v="5"/>
  </r>
  <r>
    <n v="129"/>
    <x v="128"/>
    <x v="112"/>
    <s v="CUST5031"/>
    <x v="4"/>
    <x v="3"/>
    <x v="6"/>
    <x v="1"/>
    <x v="5"/>
    <x v="128"/>
    <x v="0"/>
    <x v="15"/>
    <n v="574.1"/>
    <x v="1"/>
    <x v="3"/>
    <x v="7"/>
    <x v="1"/>
    <x v="7"/>
  </r>
  <r>
    <n v="130"/>
    <x v="129"/>
    <x v="113"/>
    <s v="CUST9636"/>
    <x v="3"/>
    <x v="5"/>
    <x v="2"/>
    <x v="2"/>
    <x v="3"/>
    <x v="129"/>
    <x v="2"/>
    <x v="21"/>
    <n v="503.43"/>
    <x v="1"/>
    <x v="0"/>
    <x v="3"/>
    <x v="0"/>
    <x v="8"/>
  </r>
  <r>
    <n v="131"/>
    <x v="130"/>
    <x v="114"/>
    <s v="CUST6925"/>
    <x v="2"/>
    <x v="5"/>
    <x v="2"/>
    <x v="3"/>
    <x v="8"/>
    <x v="130"/>
    <x v="3"/>
    <x v="28"/>
    <n v="95.62"/>
    <x v="2"/>
    <x v="4"/>
    <x v="3"/>
    <x v="0"/>
    <x v="0"/>
  </r>
  <r>
    <n v="132"/>
    <x v="131"/>
    <x v="115"/>
    <s v="CUST1248"/>
    <x v="2"/>
    <x v="5"/>
    <x v="1"/>
    <x v="0"/>
    <x v="8"/>
    <x v="131"/>
    <x v="0"/>
    <x v="20"/>
    <n v="139.93"/>
    <x v="2"/>
    <x v="3"/>
    <x v="8"/>
    <x v="0"/>
    <x v="10"/>
  </r>
  <r>
    <n v="133"/>
    <x v="132"/>
    <x v="116"/>
    <s v="CUST5264"/>
    <x v="2"/>
    <x v="6"/>
    <x v="1"/>
    <x v="3"/>
    <x v="1"/>
    <x v="132"/>
    <x v="1"/>
    <x v="10"/>
    <n v="51.51"/>
    <x v="1"/>
    <x v="3"/>
    <x v="3"/>
    <x v="0"/>
    <x v="9"/>
  </r>
  <r>
    <n v="134"/>
    <x v="133"/>
    <x v="117"/>
    <s v="CUST9344"/>
    <x v="0"/>
    <x v="3"/>
    <x v="2"/>
    <x v="3"/>
    <x v="7"/>
    <x v="133"/>
    <x v="1"/>
    <x v="9"/>
    <n v="67.97"/>
    <x v="0"/>
    <x v="2"/>
    <x v="1"/>
    <x v="1"/>
    <x v="0"/>
  </r>
  <r>
    <n v="135"/>
    <x v="134"/>
    <x v="118"/>
    <s v="CUST3040"/>
    <x v="4"/>
    <x v="3"/>
    <x v="7"/>
    <x v="0"/>
    <x v="7"/>
    <x v="134"/>
    <x v="4"/>
    <x v="5"/>
    <n v="336.79"/>
    <x v="2"/>
    <x v="0"/>
    <x v="6"/>
    <x v="1"/>
    <x v="9"/>
  </r>
  <r>
    <n v="136"/>
    <x v="135"/>
    <x v="119"/>
    <s v="CUST2494"/>
    <x v="3"/>
    <x v="1"/>
    <x v="7"/>
    <x v="3"/>
    <x v="6"/>
    <x v="135"/>
    <x v="0"/>
    <x v="7"/>
    <n v="785.54"/>
    <x v="0"/>
    <x v="4"/>
    <x v="6"/>
    <x v="1"/>
    <x v="7"/>
  </r>
  <r>
    <n v="137"/>
    <x v="136"/>
    <x v="120"/>
    <s v="CUST2119"/>
    <x v="0"/>
    <x v="4"/>
    <x v="7"/>
    <x v="3"/>
    <x v="6"/>
    <x v="136"/>
    <x v="0"/>
    <x v="12"/>
    <n v="94.6"/>
    <x v="0"/>
    <x v="0"/>
    <x v="7"/>
    <x v="1"/>
    <x v="10"/>
  </r>
  <r>
    <n v="138"/>
    <x v="137"/>
    <x v="121"/>
    <s v="CUST4319"/>
    <x v="0"/>
    <x v="1"/>
    <x v="7"/>
    <x v="2"/>
    <x v="5"/>
    <x v="137"/>
    <x v="0"/>
    <x v="28"/>
    <n v="378.12"/>
    <x v="0"/>
    <x v="2"/>
    <x v="5"/>
    <x v="1"/>
    <x v="3"/>
  </r>
  <r>
    <n v="139"/>
    <x v="138"/>
    <x v="80"/>
    <s v="CUST7035"/>
    <x v="2"/>
    <x v="6"/>
    <x v="5"/>
    <x v="4"/>
    <x v="2"/>
    <x v="138"/>
    <x v="0"/>
    <x v="1"/>
    <n v="124.46"/>
    <x v="1"/>
    <x v="1"/>
    <x v="7"/>
    <x v="1"/>
    <x v="2"/>
  </r>
  <r>
    <n v="140"/>
    <x v="139"/>
    <x v="122"/>
    <s v="CUST6593"/>
    <x v="3"/>
    <x v="6"/>
    <x v="4"/>
    <x v="2"/>
    <x v="7"/>
    <x v="139"/>
    <x v="1"/>
    <x v="12"/>
    <n v="42.55"/>
    <x v="2"/>
    <x v="3"/>
    <x v="0"/>
    <x v="0"/>
    <x v="7"/>
  </r>
  <r>
    <n v="141"/>
    <x v="140"/>
    <x v="107"/>
    <s v="CUST5840"/>
    <x v="1"/>
    <x v="4"/>
    <x v="4"/>
    <x v="1"/>
    <x v="4"/>
    <x v="140"/>
    <x v="1"/>
    <x v="21"/>
    <n v="58.93"/>
    <x v="0"/>
    <x v="2"/>
    <x v="3"/>
    <x v="0"/>
    <x v="5"/>
  </r>
  <r>
    <n v="142"/>
    <x v="141"/>
    <x v="123"/>
    <s v="CUST7328"/>
    <x v="2"/>
    <x v="0"/>
    <x v="5"/>
    <x v="4"/>
    <x v="8"/>
    <x v="141"/>
    <x v="4"/>
    <x v="24"/>
    <n v="170.51"/>
    <x v="2"/>
    <x v="3"/>
    <x v="8"/>
    <x v="0"/>
    <x v="0"/>
  </r>
  <r>
    <n v="143"/>
    <x v="142"/>
    <x v="124"/>
    <s v="CUST9311"/>
    <x v="4"/>
    <x v="4"/>
    <x v="3"/>
    <x v="1"/>
    <x v="6"/>
    <x v="142"/>
    <x v="0"/>
    <x v="11"/>
    <n v="1014.73"/>
    <x v="1"/>
    <x v="2"/>
    <x v="6"/>
    <x v="1"/>
    <x v="0"/>
  </r>
  <r>
    <n v="144"/>
    <x v="143"/>
    <x v="125"/>
    <s v="CUST6205"/>
    <x v="1"/>
    <x v="2"/>
    <x v="2"/>
    <x v="1"/>
    <x v="4"/>
    <x v="143"/>
    <x v="1"/>
    <x v="16"/>
    <n v="195.99"/>
    <x v="2"/>
    <x v="3"/>
    <x v="4"/>
    <x v="0"/>
    <x v="1"/>
  </r>
  <r>
    <n v="145"/>
    <x v="144"/>
    <x v="126"/>
    <s v="CUST8201"/>
    <x v="2"/>
    <x v="5"/>
    <x v="5"/>
    <x v="4"/>
    <x v="4"/>
    <x v="144"/>
    <x v="0"/>
    <x v="4"/>
    <n v="896.05"/>
    <x v="1"/>
    <x v="0"/>
    <x v="5"/>
    <x v="0"/>
    <x v="6"/>
  </r>
  <r>
    <n v="146"/>
    <x v="145"/>
    <x v="127"/>
    <s v="CUST4135"/>
    <x v="4"/>
    <x v="5"/>
    <x v="3"/>
    <x v="0"/>
    <x v="5"/>
    <x v="145"/>
    <x v="1"/>
    <x v="26"/>
    <n v="117.12"/>
    <x v="2"/>
    <x v="1"/>
    <x v="3"/>
    <x v="1"/>
    <x v="9"/>
  </r>
  <r>
    <n v="147"/>
    <x v="146"/>
    <x v="128"/>
    <s v="CUST6906"/>
    <x v="1"/>
    <x v="6"/>
    <x v="6"/>
    <x v="0"/>
    <x v="1"/>
    <x v="146"/>
    <x v="3"/>
    <x v="11"/>
    <n v="45.72"/>
    <x v="0"/>
    <x v="4"/>
    <x v="8"/>
    <x v="0"/>
    <x v="7"/>
  </r>
  <r>
    <n v="148"/>
    <x v="147"/>
    <x v="129"/>
    <s v="CUST4602"/>
    <x v="3"/>
    <x v="0"/>
    <x v="5"/>
    <x v="3"/>
    <x v="3"/>
    <x v="147"/>
    <x v="2"/>
    <x v="26"/>
    <n v="1157.5899999999999"/>
    <x v="2"/>
    <x v="3"/>
    <x v="3"/>
    <x v="1"/>
    <x v="10"/>
  </r>
  <r>
    <n v="149"/>
    <x v="148"/>
    <x v="130"/>
    <s v="CUST1481"/>
    <x v="3"/>
    <x v="6"/>
    <x v="5"/>
    <x v="0"/>
    <x v="2"/>
    <x v="148"/>
    <x v="2"/>
    <x v="29"/>
    <n v="396.26"/>
    <x v="0"/>
    <x v="1"/>
    <x v="3"/>
    <x v="0"/>
    <x v="4"/>
  </r>
  <r>
    <n v="150"/>
    <x v="149"/>
    <x v="131"/>
    <s v="CUST3207"/>
    <x v="4"/>
    <x v="1"/>
    <x v="5"/>
    <x v="0"/>
    <x v="1"/>
    <x v="149"/>
    <x v="1"/>
    <x v="0"/>
    <n v="26.71"/>
    <x v="1"/>
    <x v="2"/>
    <x v="9"/>
    <x v="0"/>
    <x v="4"/>
  </r>
  <r>
    <n v="151"/>
    <x v="150"/>
    <x v="132"/>
    <s v="CUST9998"/>
    <x v="4"/>
    <x v="2"/>
    <x v="3"/>
    <x v="2"/>
    <x v="1"/>
    <x v="150"/>
    <x v="3"/>
    <x v="29"/>
    <n v="8.66"/>
    <x v="2"/>
    <x v="2"/>
    <x v="4"/>
    <x v="1"/>
    <x v="6"/>
  </r>
  <r>
    <n v="152"/>
    <x v="151"/>
    <x v="133"/>
    <s v="CUST7316"/>
    <x v="2"/>
    <x v="3"/>
    <x v="5"/>
    <x v="3"/>
    <x v="6"/>
    <x v="151"/>
    <x v="2"/>
    <x v="10"/>
    <n v="38.479999999999997"/>
    <x v="2"/>
    <x v="0"/>
    <x v="5"/>
    <x v="1"/>
    <x v="8"/>
  </r>
  <r>
    <n v="153"/>
    <x v="152"/>
    <x v="134"/>
    <s v="CUST2043"/>
    <x v="2"/>
    <x v="6"/>
    <x v="4"/>
    <x v="3"/>
    <x v="8"/>
    <x v="152"/>
    <x v="1"/>
    <x v="1"/>
    <n v="46.13"/>
    <x v="1"/>
    <x v="2"/>
    <x v="3"/>
    <x v="1"/>
    <x v="1"/>
  </r>
  <r>
    <n v="154"/>
    <x v="153"/>
    <x v="102"/>
    <s v="CUST2692"/>
    <x v="3"/>
    <x v="0"/>
    <x v="6"/>
    <x v="0"/>
    <x v="6"/>
    <x v="153"/>
    <x v="1"/>
    <x v="25"/>
    <n v="73.819999999999993"/>
    <x v="1"/>
    <x v="4"/>
    <x v="7"/>
    <x v="1"/>
    <x v="9"/>
  </r>
  <r>
    <n v="155"/>
    <x v="154"/>
    <x v="135"/>
    <s v="CUST6791"/>
    <x v="3"/>
    <x v="1"/>
    <x v="5"/>
    <x v="0"/>
    <x v="6"/>
    <x v="154"/>
    <x v="0"/>
    <x v="20"/>
    <n v="215.9"/>
    <x v="0"/>
    <x v="0"/>
    <x v="3"/>
    <x v="0"/>
    <x v="7"/>
  </r>
  <r>
    <n v="156"/>
    <x v="155"/>
    <x v="134"/>
    <s v="CUST7437"/>
    <x v="2"/>
    <x v="3"/>
    <x v="0"/>
    <x v="3"/>
    <x v="8"/>
    <x v="155"/>
    <x v="4"/>
    <x v="25"/>
    <n v="30.23"/>
    <x v="1"/>
    <x v="2"/>
    <x v="4"/>
    <x v="1"/>
    <x v="1"/>
  </r>
  <r>
    <n v="157"/>
    <x v="156"/>
    <x v="136"/>
    <s v="CUST9922"/>
    <x v="4"/>
    <x v="5"/>
    <x v="1"/>
    <x v="4"/>
    <x v="8"/>
    <x v="156"/>
    <x v="4"/>
    <x v="30"/>
    <n v="168.51"/>
    <x v="1"/>
    <x v="3"/>
    <x v="7"/>
    <x v="0"/>
    <x v="1"/>
  </r>
  <r>
    <n v="158"/>
    <x v="157"/>
    <x v="137"/>
    <s v="CUST1445"/>
    <x v="4"/>
    <x v="6"/>
    <x v="6"/>
    <x v="4"/>
    <x v="8"/>
    <x v="157"/>
    <x v="3"/>
    <x v="19"/>
    <n v="510.3"/>
    <x v="0"/>
    <x v="2"/>
    <x v="4"/>
    <x v="1"/>
    <x v="10"/>
  </r>
  <r>
    <n v="159"/>
    <x v="158"/>
    <x v="138"/>
    <s v="CUST2857"/>
    <x v="2"/>
    <x v="1"/>
    <x v="0"/>
    <x v="0"/>
    <x v="4"/>
    <x v="158"/>
    <x v="4"/>
    <x v="29"/>
    <n v="60.39"/>
    <x v="1"/>
    <x v="3"/>
    <x v="9"/>
    <x v="0"/>
    <x v="3"/>
  </r>
  <r>
    <n v="160"/>
    <x v="159"/>
    <x v="139"/>
    <s v="CUST8121"/>
    <x v="0"/>
    <x v="4"/>
    <x v="5"/>
    <x v="3"/>
    <x v="1"/>
    <x v="159"/>
    <x v="3"/>
    <x v="8"/>
    <n v="161.55000000000001"/>
    <x v="0"/>
    <x v="2"/>
    <x v="3"/>
    <x v="1"/>
    <x v="2"/>
  </r>
  <r>
    <n v="161"/>
    <x v="160"/>
    <x v="13"/>
    <s v="CUST4508"/>
    <x v="4"/>
    <x v="5"/>
    <x v="0"/>
    <x v="2"/>
    <x v="4"/>
    <x v="160"/>
    <x v="0"/>
    <x v="24"/>
    <n v="652.6"/>
    <x v="1"/>
    <x v="1"/>
    <x v="8"/>
    <x v="1"/>
    <x v="6"/>
  </r>
  <r>
    <n v="162"/>
    <x v="161"/>
    <x v="140"/>
    <s v="CUST4298"/>
    <x v="2"/>
    <x v="6"/>
    <x v="2"/>
    <x v="0"/>
    <x v="4"/>
    <x v="161"/>
    <x v="3"/>
    <x v="23"/>
    <n v="816.26"/>
    <x v="1"/>
    <x v="2"/>
    <x v="8"/>
    <x v="1"/>
    <x v="10"/>
  </r>
  <r>
    <n v="163"/>
    <x v="162"/>
    <x v="80"/>
    <s v="CUST1545"/>
    <x v="1"/>
    <x v="3"/>
    <x v="2"/>
    <x v="0"/>
    <x v="2"/>
    <x v="162"/>
    <x v="1"/>
    <x v="10"/>
    <n v="99.7"/>
    <x v="0"/>
    <x v="2"/>
    <x v="4"/>
    <x v="1"/>
    <x v="2"/>
  </r>
  <r>
    <n v="164"/>
    <x v="163"/>
    <x v="141"/>
    <s v="CUST1693"/>
    <x v="2"/>
    <x v="3"/>
    <x v="7"/>
    <x v="3"/>
    <x v="7"/>
    <x v="163"/>
    <x v="3"/>
    <x v="13"/>
    <n v="510.57"/>
    <x v="0"/>
    <x v="1"/>
    <x v="7"/>
    <x v="1"/>
    <x v="2"/>
  </r>
  <r>
    <n v="165"/>
    <x v="164"/>
    <x v="142"/>
    <s v="CUST2476"/>
    <x v="1"/>
    <x v="1"/>
    <x v="1"/>
    <x v="2"/>
    <x v="0"/>
    <x v="164"/>
    <x v="1"/>
    <x v="18"/>
    <n v="97.9"/>
    <x v="2"/>
    <x v="4"/>
    <x v="0"/>
    <x v="1"/>
    <x v="4"/>
  </r>
  <r>
    <n v="166"/>
    <x v="165"/>
    <x v="35"/>
    <s v="CUST6000"/>
    <x v="3"/>
    <x v="2"/>
    <x v="2"/>
    <x v="3"/>
    <x v="3"/>
    <x v="165"/>
    <x v="2"/>
    <x v="20"/>
    <n v="501.89"/>
    <x v="1"/>
    <x v="1"/>
    <x v="6"/>
    <x v="1"/>
    <x v="8"/>
  </r>
  <r>
    <n v="167"/>
    <x v="166"/>
    <x v="143"/>
    <s v="CUST2033"/>
    <x v="3"/>
    <x v="2"/>
    <x v="1"/>
    <x v="1"/>
    <x v="6"/>
    <x v="166"/>
    <x v="3"/>
    <x v="23"/>
    <n v="467.19"/>
    <x v="1"/>
    <x v="4"/>
    <x v="2"/>
    <x v="0"/>
    <x v="4"/>
  </r>
  <r>
    <n v="168"/>
    <x v="167"/>
    <x v="144"/>
    <s v="CUST5348"/>
    <x v="1"/>
    <x v="2"/>
    <x v="1"/>
    <x v="2"/>
    <x v="3"/>
    <x v="167"/>
    <x v="0"/>
    <x v="10"/>
    <n v="235.15"/>
    <x v="1"/>
    <x v="3"/>
    <x v="2"/>
    <x v="1"/>
    <x v="4"/>
  </r>
  <r>
    <n v="169"/>
    <x v="168"/>
    <x v="130"/>
    <s v="CUST8046"/>
    <x v="4"/>
    <x v="4"/>
    <x v="7"/>
    <x v="1"/>
    <x v="4"/>
    <x v="168"/>
    <x v="1"/>
    <x v="27"/>
    <n v="68.739999999999995"/>
    <x v="1"/>
    <x v="1"/>
    <x v="3"/>
    <x v="0"/>
    <x v="4"/>
  </r>
  <r>
    <n v="170"/>
    <x v="169"/>
    <x v="145"/>
    <s v="CUST4526"/>
    <x v="4"/>
    <x v="2"/>
    <x v="6"/>
    <x v="0"/>
    <x v="2"/>
    <x v="169"/>
    <x v="1"/>
    <x v="30"/>
    <n v="256.83999999999997"/>
    <x v="1"/>
    <x v="1"/>
    <x v="1"/>
    <x v="0"/>
    <x v="6"/>
  </r>
  <r>
    <n v="171"/>
    <x v="170"/>
    <x v="146"/>
    <s v="CUST5398"/>
    <x v="3"/>
    <x v="1"/>
    <x v="5"/>
    <x v="3"/>
    <x v="3"/>
    <x v="170"/>
    <x v="4"/>
    <x v="7"/>
    <n v="266.44"/>
    <x v="1"/>
    <x v="0"/>
    <x v="3"/>
    <x v="0"/>
    <x v="9"/>
  </r>
  <r>
    <n v="172"/>
    <x v="171"/>
    <x v="136"/>
    <s v="CUST6344"/>
    <x v="1"/>
    <x v="3"/>
    <x v="5"/>
    <x v="2"/>
    <x v="5"/>
    <x v="171"/>
    <x v="4"/>
    <x v="13"/>
    <n v="202.54"/>
    <x v="2"/>
    <x v="3"/>
    <x v="5"/>
    <x v="0"/>
    <x v="1"/>
  </r>
  <r>
    <n v="173"/>
    <x v="172"/>
    <x v="147"/>
    <s v="CUST8873"/>
    <x v="0"/>
    <x v="0"/>
    <x v="5"/>
    <x v="1"/>
    <x v="7"/>
    <x v="172"/>
    <x v="1"/>
    <x v="17"/>
    <n v="123.36"/>
    <x v="2"/>
    <x v="0"/>
    <x v="3"/>
    <x v="0"/>
    <x v="2"/>
  </r>
  <r>
    <n v="174"/>
    <x v="173"/>
    <x v="148"/>
    <s v="CUST9070"/>
    <x v="4"/>
    <x v="2"/>
    <x v="1"/>
    <x v="4"/>
    <x v="0"/>
    <x v="173"/>
    <x v="2"/>
    <x v="18"/>
    <n v="265.68"/>
    <x v="1"/>
    <x v="1"/>
    <x v="8"/>
    <x v="0"/>
    <x v="8"/>
  </r>
  <r>
    <n v="175"/>
    <x v="174"/>
    <x v="149"/>
    <s v="CUST7952"/>
    <x v="0"/>
    <x v="0"/>
    <x v="4"/>
    <x v="3"/>
    <x v="0"/>
    <x v="174"/>
    <x v="4"/>
    <x v="29"/>
    <n v="442.51"/>
    <x v="0"/>
    <x v="1"/>
    <x v="1"/>
    <x v="1"/>
    <x v="3"/>
  </r>
  <r>
    <n v="176"/>
    <x v="175"/>
    <x v="25"/>
    <s v="CUST9281"/>
    <x v="0"/>
    <x v="0"/>
    <x v="2"/>
    <x v="2"/>
    <x v="0"/>
    <x v="175"/>
    <x v="3"/>
    <x v="3"/>
    <n v="53.54"/>
    <x v="1"/>
    <x v="3"/>
    <x v="7"/>
    <x v="1"/>
    <x v="11"/>
  </r>
  <r>
    <n v="177"/>
    <x v="176"/>
    <x v="150"/>
    <s v="CUST6381"/>
    <x v="3"/>
    <x v="2"/>
    <x v="3"/>
    <x v="1"/>
    <x v="4"/>
    <x v="176"/>
    <x v="1"/>
    <x v="27"/>
    <n v="211.53"/>
    <x v="2"/>
    <x v="2"/>
    <x v="1"/>
    <x v="1"/>
    <x v="6"/>
  </r>
  <r>
    <n v="178"/>
    <x v="177"/>
    <x v="151"/>
    <s v="CUST5206"/>
    <x v="3"/>
    <x v="0"/>
    <x v="6"/>
    <x v="3"/>
    <x v="2"/>
    <x v="177"/>
    <x v="2"/>
    <x v="3"/>
    <n v="297.20999999999998"/>
    <x v="2"/>
    <x v="2"/>
    <x v="2"/>
    <x v="0"/>
    <x v="11"/>
  </r>
  <r>
    <n v="179"/>
    <x v="178"/>
    <x v="152"/>
    <s v="CUST4281"/>
    <x v="4"/>
    <x v="1"/>
    <x v="2"/>
    <x v="1"/>
    <x v="3"/>
    <x v="178"/>
    <x v="2"/>
    <x v="9"/>
    <n v="58.68"/>
    <x v="2"/>
    <x v="1"/>
    <x v="5"/>
    <x v="1"/>
    <x v="11"/>
  </r>
  <r>
    <n v="180"/>
    <x v="179"/>
    <x v="153"/>
    <s v="CUST8988"/>
    <x v="1"/>
    <x v="3"/>
    <x v="2"/>
    <x v="1"/>
    <x v="0"/>
    <x v="179"/>
    <x v="3"/>
    <x v="2"/>
    <n v="123.59"/>
    <x v="2"/>
    <x v="3"/>
    <x v="1"/>
    <x v="0"/>
    <x v="4"/>
  </r>
  <r>
    <n v="181"/>
    <x v="180"/>
    <x v="154"/>
    <s v="CUST3242"/>
    <x v="1"/>
    <x v="6"/>
    <x v="7"/>
    <x v="3"/>
    <x v="8"/>
    <x v="180"/>
    <x v="3"/>
    <x v="7"/>
    <n v="158.86000000000001"/>
    <x v="2"/>
    <x v="0"/>
    <x v="3"/>
    <x v="0"/>
    <x v="11"/>
  </r>
  <r>
    <n v="182"/>
    <x v="181"/>
    <x v="155"/>
    <s v="CUST7463"/>
    <x v="2"/>
    <x v="1"/>
    <x v="6"/>
    <x v="1"/>
    <x v="3"/>
    <x v="181"/>
    <x v="1"/>
    <x v="20"/>
    <n v="125.83"/>
    <x v="1"/>
    <x v="1"/>
    <x v="8"/>
    <x v="0"/>
    <x v="8"/>
  </r>
  <r>
    <n v="183"/>
    <x v="182"/>
    <x v="156"/>
    <s v="CUST9188"/>
    <x v="3"/>
    <x v="3"/>
    <x v="2"/>
    <x v="2"/>
    <x v="7"/>
    <x v="182"/>
    <x v="1"/>
    <x v="5"/>
    <n v="77.430000000000007"/>
    <x v="0"/>
    <x v="0"/>
    <x v="7"/>
    <x v="1"/>
    <x v="8"/>
  </r>
  <r>
    <n v="184"/>
    <x v="183"/>
    <x v="157"/>
    <s v="CUST2970"/>
    <x v="4"/>
    <x v="6"/>
    <x v="0"/>
    <x v="3"/>
    <x v="7"/>
    <x v="183"/>
    <x v="2"/>
    <x v="11"/>
    <n v="464.2"/>
    <x v="0"/>
    <x v="1"/>
    <x v="2"/>
    <x v="1"/>
    <x v="0"/>
  </r>
  <r>
    <n v="185"/>
    <x v="184"/>
    <x v="158"/>
    <s v="CUST2506"/>
    <x v="1"/>
    <x v="3"/>
    <x v="5"/>
    <x v="0"/>
    <x v="4"/>
    <x v="184"/>
    <x v="0"/>
    <x v="18"/>
    <n v="371.06"/>
    <x v="0"/>
    <x v="0"/>
    <x v="4"/>
    <x v="1"/>
    <x v="7"/>
  </r>
  <r>
    <n v="186"/>
    <x v="185"/>
    <x v="159"/>
    <s v="CUST1463"/>
    <x v="2"/>
    <x v="2"/>
    <x v="5"/>
    <x v="1"/>
    <x v="1"/>
    <x v="185"/>
    <x v="2"/>
    <x v="12"/>
    <n v="363.17"/>
    <x v="2"/>
    <x v="3"/>
    <x v="5"/>
    <x v="0"/>
    <x v="0"/>
  </r>
  <r>
    <n v="187"/>
    <x v="186"/>
    <x v="160"/>
    <s v="CUST2448"/>
    <x v="4"/>
    <x v="3"/>
    <x v="7"/>
    <x v="4"/>
    <x v="5"/>
    <x v="186"/>
    <x v="3"/>
    <x v="26"/>
    <n v="40.5"/>
    <x v="2"/>
    <x v="3"/>
    <x v="1"/>
    <x v="1"/>
    <x v="7"/>
  </r>
  <r>
    <n v="188"/>
    <x v="187"/>
    <x v="161"/>
    <s v="CUST6023"/>
    <x v="3"/>
    <x v="5"/>
    <x v="2"/>
    <x v="3"/>
    <x v="0"/>
    <x v="187"/>
    <x v="3"/>
    <x v="28"/>
    <n v="270.29000000000002"/>
    <x v="0"/>
    <x v="3"/>
    <x v="6"/>
    <x v="1"/>
    <x v="5"/>
  </r>
  <r>
    <n v="189"/>
    <x v="188"/>
    <x v="162"/>
    <s v="CUST3229"/>
    <x v="3"/>
    <x v="5"/>
    <x v="4"/>
    <x v="3"/>
    <x v="4"/>
    <x v="188"/>
    <x v="4"/>
    <x v="19"/>
    <n v="271.39"/>
    <x v="0"/>
    <x v="3"/>
    <x v="6"/>
    <x v="0"/>
    <x v="6"/>
  </r>
  <r>
    <n v="190"/>
    <x v="189"/>
    <x v="163"/>
    <s v="CUST9708"/>
    <x v="3"/>
    <x v="4"/>
    <x v="4"/>
    <x v="0"/>
    <x v="0"/>
    <x v="189"/>
    <x v="4"/>
    <x v="27"/>
    <n v="383.73"/>
    <x v="0"/>
    <x v="4"/>
    <x v="0"/>
    <x v="0"/>
    <x v="6"/>
  </r>
  <r>
    <n v="191"/>
    <x v="190"/>
    <x v="164"/>
    <s v="CUST1973"/>
    <x v="3"/>
    <x v="5"/>
    <x v="4"/>
    <x v="4"/>
    <x v="4"/>
    <x v="190"/>
    <x v="4"/>
    <x v="5"/>
    <n v="401.3"/>
    <x v="0"/>
    <x v="1"/>
    <x v="8"/>
    <x v="0"/>
    <x v="11"/>
  </r>
  <r>
    <n v="192"/>
    <x v="191"/>
    <x v="165"/>
    <s v="CUST5377"/>
    <x v="1"/>
    <x v="2"/>
    <x v="3"/>
    <x v="3"/>
    <x v="7"/>
    <x v="191"/>
    <x v="4"/>
    <x v="7"/>
    <n v="161.30000000000001"/>
    <x v="0"/>
    <x v="0"/>
    <x v="6"/>
    <x v="1"/>
    <x v="6"/>
  </r>
  <r>
    <n v="193"/>
    <x v="192"/>
    <x v="166"/>
    <s v="CUST4875"/>
    <x v="1"/>
    <x v="4"/>
    <x v="4"/>
    <x v="2"/>
    <x v="3"/>
    <x v="192"/>
    <x v="0"/>
    <x v="26"/>
    <n v="48.07"/>
    <x v="1"/>
    <x v="4"/>
    <x v="8"/>
    <x v="0"/>
    <x v="2"/>
  </r>
  <r>
    <n v="194"/>
    <x v="193"/>
    <x v="167"/>
    <s v="CUST8055"/>
    <x v="2"/>
    <x v="3"/>
    <x v="1"/>
    <x v="4"/>
    <x v="8"/>
    <x v="193"/>
    <x v="1"/>
    <x v="12"/>
    <n v="54.46"/>
    <x v="0"/>
    <x v="3"/>
    <x v="8"/>
    <x v="0"/>
    <x v="1"/>
  </r>
  <r>
    <n v="195"/>
    <x v="194"/>
    <x v="168"/>
    <s v="CUST3172"/>
    <x v="1"/>
    <x v="2"/>
    <x v="6"/>
    <x v="3"/>
    <x v="3"/>
    <x v="194"/>
    <x v="0"/>
    <x v="5"/>
    <n v="667.03"/>
    <x v="2"/>
    <x v="2"/>
    <x v="8"/>
    <x v="0"/>
    <x v="1"/>
  </r>
  <r>
    <n v="196"/>
    <x v="195"/>
    <x v="169"/>
    <s v="CUST6219"/>
    <x v="3"/>
    <x v="2"/>
    <x v="2"/>
    <x v="0"/>
    <x v="0"/>
    <x v="195"/>
    <x v="4"/>
    <x v="11"/>
    <n v="181.77"/>
    <x v="0"/>
    <x v="4"/>
    <x v="6"/>
    <x v="0"/>
    <x v="10"/>
  </r>
  <r>
    <n v="197"/>
    <x v="196"/>
    <x v="170"/>
    <s v="CUST2795"/>
    <x v="2"/>
    <x v="0"/>
    <x v="0"/>
    <x v="3"/>
    <x v="8"/>
    <x v="196"/>
    <x v="1"/>
    <x v="0"/>
    <n v="4.3899999999999997"/>
    <x v="0"/>
    <x v="2"/>
    <x v="8"/>
    <x v="0"/>
    <x v="10"/>
  </r>
  <r>
    <n v="198"/>
    <x v="197"/>
    <x v="171"/>
    <s v="CUST8899"/>
    <x v="3"/>
    <x v="4"/>
    <x v="7"/>
    <x v="3"/>
    <x v="1"/>
    <x v="197"/>
    <x v="2"/>
    <x v="13"/>
    <n v="485.04"/>
    <x v="1"/>
    <x v="4"/>
    <x v="5"/>
    <x v="0"/>
    <x v="10"/>
  </r>
  <r>
    <n v="199"/>
    <x v="198"/>
    <x v="172"/>
    <s v="CUST1614"/>
    <x v="3"/>
    <x v="3"/>
    <x v="7"/>
    <x v="1"/>
    <x v="8"/>
    <x v="198"/>
    <x v="2"/>
    <x v="14"/>
    <n v="1155.0999999999999"/>
    <x v="1"/>
    <x v="2"/>
    <x v="5"/>
    <x v="0"/>
    <x v="0"/>
  </r>
  <r>
    <n v="200"/>
    <x v="199"/>
    <x v="47"/>
    <s v="CUST4878"/>
    <x v="2"/>
    <x v="3"/>
    <x v="0"/>
    <x v="4"/>
    <x v="7"/>
    <x v="199"/>
    <x v="1"/>
    <x v="2"/>
    <n v="146.91999999999999"/>
    <x v="2"/>
    <x v="3"/>
    <x v="5"/>
    <x v="0"/>
    <x v="8"/>
  </r>
  <r>
    <n v="201"/>
    <x v="200"/>
    <x v="173"/>
    <s v="CUST9621"/>
    <x v="1"/>
    <x v="3"/>
    <x v="5"/>
    <x v="3"/>
    <x v="6"/>
    <x v="200"/>
    <x v="1"/>
    <x v="21"/>
    <n v="230.83"/>
    <x v="0"/>
    <x v="4"/>
    <x v="4"/>
    <x v="1"/>
    <x v="1"/>
  </r>
  <r>
    <n v="202"/>
    <x v="201"/>
    <x v="174"/>
    <s v="CUST7040"/>
    <x v="0"/>
    <x v="0"/>
    <x v="5"/>
    <x v="0"/>
    <x v="4"/>
    <x v="201"/>
    <x v="1"/>
    <x v="28"/>
    <n v="220.41"/>
    <x v="1"/>
    <x v="0"/>
    <x v="9"/>
    <x v="0"/>
    <x v="2"/>
  </r>
  <r>
    <n v="203"/>
    <x v="202"/>
    <x v="175"/>
    <s v="CUST4907"/>
    <x v="3"/>
    <x v="1"/>
    <x v="2"/>
    <x v="0"/>
    <x v="4"/>
    <x v="202"/>
    <x v="3"/>
    <x v="26"/>
    <n v="870.67"/>
    <x v="1"/>
    <x v="0"/>
    <x v="1"/>
    <x v="0"/>
    <x v="8"/>
  </r>
  <r>
    <n v="204"/>
    <x v="203"/>
    <x v="176"/>
    <s v="CUST7453"/>
    <x v="1"/>
    <x v="0"/>
    <x v="6"/>
    <x v="0"/>
    <x v="2"/>
    <x v="203"/>
    <x v="1"/>
    <x v="9"/>
    <n v="136.16999999999999"/>
    <x v="2"/>
    <x v="4"/>
    <x v="4"/>
    <x v="0"/>
    <x v="0"/>
  </r>
  <r>
    <n v="205"/>
    <x v="204"/>
    <x v="177"/>
    <s v="CUST4568"/>
    <x v="2"/>
    <x v="1"/>
    <x v="7"/>
    <x v="2"/>
    <x v="6"/>
    <x v="204"/>
    <x v="4"/>
    <x v="25"/>
    <n v="324.69"/>
    <x v="2"/>
    <x v="1"/>
    <x v="3"/>
    <x v="1"/>
    <x v="7"/>
  </r>
  <r>
    <n v="206"/>
    <x v="205"/>
    <x v="178"/>
    <s v="CUST8825"/>
    <x v="2"/>
    <x v="4"/>
    <x v="0"/>
    <x v="3"/>
    <x v="4"/>
    <x v="205"/>
    <x v="4"/>
    <x v="0"/>
    <n v="219.91"/>
    <x v="0"/>
    <x v="3"/>
    <x v="3"/>
    <x v="1"/>
    <x v="6"/>
  </r>
  <r>
    <n v="207"/>
    <x v="206"/>
    <x v="179"/>
    <s v="CUST8422"/>
    <x v="1"/>
    <x v="6"/>
    <x v="4"/>
    <x v="1"/>
    <x v="0"/>
    <x v="206"/>
    <x v="3"/>
    <x v="8"/>
    <n v="255.81"/>
    <x v="1"/>
    <x v="0"/>
    <x v="0"/>
    <x v="1"/>
    <x v="7"/>
  </r>
  <r>
    <n v="208"/>
    <x v="207"/>
    <x v="180"/>
    <s v="CUST2448"/>
    <x v="4"/>
    <x v="0"/>
    <x v="4"/>
    <x v="4"/>
    <x v="6"/>
    <x v="207"/>
    <x v="3"/>
    <x v="0"/>
    <n v="584.94000000000005"/>
    <x v="0"/>
    <x v="0"/>
    <x v="5"/>
    <x v="0"/>
    <x v="1"/>
  </r>
  <r>
    <n v="209"/>
    <x v="208"/>
    <x v="181"/>
    <s v="CUST3107"/>
    <x v="0"/>
    <x v="2"/>
    <x v="7"/>
    <x v="1"/>
    <x v="5"/>
    <x v="208"/>
    <x v="2"/>
    <x v="1"/>
    <n v="448.52"/>
    <x v="1"/>
    <x v="0"/>
    <x v="6"/>
    <x v="0"/>
    <x v="1"/>
  </r>
  <r>
    <n v="210"/>
    <x v="209"/>
    <x v="170"/>
    <s v="CUST5560"/>
    <x v="1"/>
    <x v="0"/>
    <x v="7"/>
    <x v="4"/>
    <x v="8"/>
    <x v="209"/>
    <x v="1"/>
    <x v="19"/>
    <n v="30.24"/>
    <x v="1"/>
    <x v="1"/>
    <x v="5"/>
    <x v="0"/>
    <x v="10"/>
  </r>
  <r>
    <n v="211"/>
    <x v="210"/>
    <x v="99"/>
    <s v="CUST2144"/>
    <x v="1"/>
    <x v="4"/>
    <x v="0"/>
    <x v="2"/>
    <x v="2"/>
    <x v="210"/>
    <x v="4"/>
    <x v="21"/>
    <n v="321.55"/>
    <x v="2"/>
    <x v="0"/>
    <x v="2"/>
    <x v="1"/>
    <x v="7"/>
  </r>
  <r>
    <n v="212"/>
    <x v="211"/>
    <x v="62"/>
    <s v="CUST5292"/>
    <x v="4"/>
    <x v="0"/>
    <x v="1"/>
    <x v="0"/>
    <x v="8"/>
    <x v="211"/>
    <x v="3"/>
    <x v="18"/>
    <n v="271.45999999999998"/>
    <x v="2"/>
    <x v="1"/>
    <x v="5"/>
    <x v="1"/>
    <x v="7"/>
  </r>
  <r>
    <n v="213"/>
    <x v="212"/>
    <x v="182"/>
    <s v="CUST6507"/>
    <x v="3"/>
    <x v="1"/>
    <x v="0"/>
    <x v="2"/>
    <x v="2"/>
    <x v="212"/>
    <x v="0"/>
    <x v="25"/>
    <n v="171.9"/>
    <x v="0"/>
    <x v="1"/>
    <x v="8"/>
    <x v="0"/>
    <x v="3"/>
  </r>
  <r>
    <n v="214"/>
    <x v="213"/>
    <x v="116"/>
    <s v="CUST4044"/>
    <x v="3"/>
    <x v="0"/>
    <x v="7"/>
    <x v="1"/>
    <x v="6"/>
    <x v="213"/>
    <x v="2"/>
    <x v="0"/>
    <n v="934.38"/>
    <x v="2"/>
    <x v="1"/>
    <x v="6"/>
    <x v="0"/>
    <x v="9"/>
  </r>
  <r>
    <n v="215"/>
    <x v="214"/>
    <x v="183"/>
    <s v="CUST6944"/>
    <x v="3"/>
    <x v="6"/>
    <x v="3"/>
    <x v="1"/>
    <x v="7"/>
    <x v="214"/>
    <x v="3"/>
    <x v="29"/>
    <n v="414.94"/>
    <x v="0"/>
    <x v="0"/>
    <x v="9"/>
    <x v="1"/>
    <x v="10"/>
  </r>
  <r>
    <n v="216"/>
    <x v="215"/>
    <x v="184"/>
    <s v="CUST2470"/>
    <x v="0"/>
    <x v="5"/>
    <x v="5"/>
    <x v="4"/>
    <x v="0"/>
    <x v="215"/>
    <x v="0"/>
    <x v="11"/>
    <n v="1526.94"/>
    <x v="1"/>
    <x v="0"/>
    <x v="8"/>
    <x v="1"/>
    <x v="11"/>
  </r>
  <r>
    <n v="217"/>
    <x v="216"/>
    <x v="185"/>
    <s v="CUST3028"/>
    <x v="0"/>
    <x v="2"/>
    <x v="3"/>
    <x v="3"/>
    <x v="6"/>
    <x v="216"/>
    <x v="3"/>
    <x v="21"/>
    <n v="395.49"/>
    <x v="1"/>
    <x v="1"/>
    <x v="0"/>
    <x v="1"/>
    <x v="8"/>
  </r>
  <r>
    <n v="218"/>
    <x v="217"/>
    <x v="186"/>
    <s v="CUST2265"/>
    <x v="2"/>
    <x v="4"/>
    <x v="1"/>
    <x v="0"/>
    <x v="1"/>
    <x v="217"/>
    <x v="0"/>
    <x v="10"/>
    <n v="177.1"/>
    <x v="0"/>
    <x v="1"/>
    <x v="2"/>
    <x v="1"/>
    <x v="7"/>
  </r>
  <r>
    <n v="219"/>
    <x v="218"/>
    <x v="187"/>
    <s v="CUST9291"/>
    <x v="2"/>
    <x v="0"/>
    <x v="2"/>
    <x v="1"/>
    <x v="4"/>
    <x v="218"/>
    <x v="0"/>
    <x v="24"/>
    <n v="853.04"/>
    <x v="2"/>
    <x v="2"/>
    <x v="5"/>
    <x v="1"/>
    <x v="4"/>
  </r>
  <r>
    <n v="220"/>
    <x v="219"/>
    <x v="188"/>
    <s v="CUST8858"/>
    <x v="0"/>
    <x v="3"/>
    <x v="5"/>
    <x v="2"/>
    <x v="3"/>
    <x v="219"/>
    <x v="0"/>
    <x v="1"/>
    <n v="576.6"/>
    <x v="1"/>
    <x v="3"/>
    <x v="0"/>
    <x v="0"/>
    <x v="7"/>
  </r>
  <r>
    <n v="221"/>
    <x v="220"/>
    <x v="189"/>
    <s v="CUST5319"/>
    <x v="0"/>
    <x v="1"/>
    <x v="5"/>
    <x v="2"/>
    <x v="2"/>
    <x v="220"/>
    <x v="3"/>
    <x v="4"/>
    <n v="389.18"/>
    <x v="0"/>
    <x v="1"/>
    <x v="8"/>
    <x v="0"/>
    <x v="11"/>
  </r>
  <r>
    <n v="222"/>
    <x v="221"/>
    <x v="190"/>
    <s v="CUST8846"/>
    <x v="1"/>
    <x v="6"/>
    <x v="1"/>
    <x v="2"/>
    <x v="8"/>
    <x v="221"/>
    <x v="0"/>
    <x v="11"/>
    <n v="988.91"/>
    <x v="1"/>
    <x v="4"/>
    <x v="2"/>
    <x v="0"/>
    <x v="7"/>
  </r>
  <r>
    <n v="223"/>
    <x v="222"/>
    <x v="191"/>
    <s v="CUST5712"/>
    <x v="4"/>
    <x v="3"/>
    <x v="0"/>
    <x v="4"/>
    <x v="1"/>
    <x v="222"/>
    <x v="2"/>
    <x v="13"/>
    <n v="117.62"/>
    <x v="0"/>
    <x v="1"/>
    <x v="3"/>
    <x v="1"/>
    <x v="9"/>
  </r>
  <r>
    <n v="224"/>
    <x v="223"/>
    <x v="175"/>
    <s v="CUST4291"/>
    <x v="1"/>
    <x v="6"/>
    <x v="0"/>
    <x v="4"/>
    <x v="3"/>
    <x v="223"/>
    <x v="3"/>
    <x v="3"/>
    <n v="507.1"/>
    <x v="0"/>
    <x v="1"/>
    <x v="6"/>
    <x v="0"/>
    <x v="8"/>
  </r>
  <r>
    <n v="225"/>
    <x v="224"/>
    <x v="192"/>
    <s v="CUST7741"/>
    <x v="0"/>
    <x v="0"/>
    <x v="0"/>
    <x v="4"/>
    <x v="5"/>
    <x v="224"/>
    <x v="1"/>
    <x v="12"/>
    <n v="17.670000000000002"/>
    <x v="0"/>
    <x v="2"/>
    <x v="7"/>
    <x v="1"/>
    <x v="3"/>
  </r>
  <r>
    <n v="226"/>
    <x v="225"/>
    <x v="33"/>
    <s v="CUST2856"/>
    <x v="4"/>
    <x v="2"/>
    <x v="6"/>
    <x v="0"/>
    <x v="1"/>
    <x v="225"/>
    <x v="4"/>
    <x v="21"/>
    <n v="113.17"/>
    <x v="1"/>
    <x v="1"/>
    <x v="4"/>
    <x v="0"/>
    <x v="3"/>
  </r>
  <r>
    <n v="227"/>
    <x v="226"/>
    <x v="193"/>
    <s v="CUST6780"/>
    <x v="1"/>
    <x v="3"/>
    <x v="7"/>
    <x v="1"/>
    <x v="6"/>
    <x v="226"/>
    <x v="3"/>
    <x v="8"/>
    <n v="269.66000000000003"/>
    <x v="1"/>
    <x v="2"/>
    <x v="7"/>
    <x v="0"/>
    <x v="8"/>
  </r>
  <r>
    <n v="228"/>
    <x v="227"/>
    <x v="64"/>
    <s v="CUST3941"/>
    <x v="4"/>
    <x v="2"/>
    <x v="0"/>
    <x v="2"/>
    <x v="1"/>
    <x v="227"/>
    <x v="1"/>
    <x v="6"/>
    <n v="10.58"/>
    <x v="1"/>
    <x v="4"/>
    <x v="3"/>
    <x v="0"/>
    <x v="3"/>
  </r>
  <r>
    <n v="229"/>
    <x v="228"/>
    <x v="143"/>
    <s v="CUST6855"/>
    <x v="4"/>
    <x v="6"/>
    <x v="3"/>
    <x v="1"/>
    <x v="1"/>
    <x v="228"/>
    <x v="3"/>
    <x v="6"/>
    <n v="438.74"/>
    <x v="0"/>
    <x v="2"/>
    <x v="2"/>
    <x v="0"/>
    <x v="4"/>
  </r>
  <r>
    <n v="230"/>
    <x v="229"/>
    <x v="194"/>
    <s v="CUST9505"/>
    <x v="0"/>
    <x v="3"/>
    <x v="0"/>
    <x v="2"/>
    <x v="6"/>
    <x v="229"/>
    <x v="1"/>
    <x v="20"/>
    <n v="85.62"/>
    <x v="0"/>
    <x v="2"/>
    <x v="2"/>
    <x v="1"/>
    <x v="5"/>
  </r>
  <r>
    <n v="231"/>
    <x v="230"/>
    <x v="195"/>
    <s v="CUST9458"/>
    <x v="4"/>
    <x v="0"/>
    <x v="1"/>
    <x v="4"/>
    <x v="0"/>
    <x v="230"/>
    <x v="4"/>
    <x v="12"/>
    <n v="169.17"/>
    <x v="2"/>
    <x v="1"/>
    <x v="3"/>
    <x v="1"/>
    <x v="11"/>
  </r>
  <r>
    <n v="232"/>
    <x v="231"/>
    <x v="196"/>
    <s v="CUST3167"/>
    <x v="0"/>
    <x v="5"/>
    <x v="7"/>
    <x v="0"/>
    <x v="7"/>
    <x v="231"/>
    <x v="3"/>
    <x v="25"/>
    <n v="552.97"/>
    <x v="1"/>
    <x v="4"/>
    <x v="5"/>
    <x v="1"/>
    <x v="10"/>
  </r>
  <r>
    <n v="233"/>
    <x v="232"/>
    <x v="197"/>
    <s v="CUST9147"/>
    <x v="4"/>
    <x v="2"/>
    <x v="7"/>
    <x v="2"/>
    <x v="6"/>
    <x v="232"/>
    <x v="4"/>
    <x v="11"/>
    <n v="52.3"/>
    <x v="1"/>
    <x v="1"/>
    <x v="2"/>
    <x v="1"/>
    <x v="1"/>
  </r>
  <r>
    <n v="234"/>
    <x v="233"/>
    <x v="167"/>
    <s v="CUST5659"/>
    <x v="2"/>
    <x v="3"/>
    <x v="0"/>
    <x v="3"/>
    <x v="7"/>
    <x v="233"/>
    <x v="4"/>
    <x v="19"/>
    <n v="138.72999999999999"/>
    <x v="0"/>
    <x v="3"/>
    <x v="5"/>
    <x v="0"/>
    <x v="1"/>
  </r>
  <r>
    <n v="235"/>
    <x v="234"/>
    <x v="19"/>
    <s v="CUST9550"/>
    <x v="3"/>
    <x v="5"/>
    <x v="0"/>
    <x v="4"/>
    <x v="5"/>
    <x v="234"/>
    <x v="4"/>
    <x v="26"/>
    <n v="438.1"/>
    <x v="0"/>
    <x v="2"/>
    <x v="9"/>
    <x v="1"/>
    <x v="5"/>
  </r>
  <r>
    <n v="236"/>
    <x v="235"/>
    <x v="198"/>
    <s v="CUST8204"/>
    <x v="4"/>
    <x v="2"/>
    <x v="4"/>
    <x v="0"/>
    <x v="3"/>
    <x v="235"/>
    <x v="1"/>
    <x v="29"/>
    <n v="301.35000000000002"/>
    <x v="1"/>
    <x v="3"/>
    <x v="2"/>
    <x v="0"/>
    <x v="9"/>
  </r>
  <r>
    <n v="237"/>
    <x v="236"/>
    <x v="199"/>
    <s v="CUST2065"/>
    <x v="3"/>
    <x v="0"/>
    <x v="0"/>
    <x v="1"/>
    <x v="2"/>
    <x v="236"/>
    <x v="3"/>
    <x v="29"/>
    <n v="353.75"/>
    <x v="0"/>
    <x v="3"/>
    <x v="1"/>
    <x v="1"/>
    <x v="8"/>
  </r>
  <r>
    <n v="238"/>
    <x v="237"/>
    <x v="200"/>
    <s v="CUST6334"/>
    <x v="0"/>
    <x v="4"/>
    <x v="2"/>
    <x v="3"/>
    <x v="2"/>
    <x v="237"/>
    <x v="2"/>
    <x v="0"/>
    <n v="478.22"/>
    <x v="2"/>
    <x v="3"/>
    <x v="2"/>
    <x v="1"/>
    <x v="2"/>
  </r>
  <r>
    <n v="239"/>
    <x v="238"/>
    <x v="201"/>
    <s v="CUST6277"/>
    <x v="3"/>
    <x v="5"/>
    <x v="2"/>
    <x v="3"/>
    <x v="7"/>
    <x v="238"/>
    <x v="2"/>
    <x v="10"/>
    <n v="85.51"/>
    <x v="1"/>
    <x v="0"/>
    <x v="2"/>
    <x v="0"/>
    <x v="5"/>
  </r>
  <r>
    <n v="240"/>
    <x v="239"/>
    <x v="202"/>
    <s v="CUST9120"/>
    <x v="0"/>
    <x v="1"/>
    <x v="0"/>
    <x v="0"/>
    <x v="5"/>
    <x v="239"/>
    <x v="3"/>
    <x v="0"/>
    <n v="182.35"/>
    <x v="1"/>
    <x v="4"/>
    <x v="5"/>
    <x v="0"/>
    <x v="0"/>
  </r>
  <r>
    <n v="241"/>
    <x v="240"/>
    <x v="155"/>
    <s v="CUST2810"/>
    <x v="4"/>
    <x v="2"/>
    <x v="2"/>
    <x v="3"/>
    <x v="3"/>
    <x v="240"/>
    <x v="1"/>
    <x v="11"/>
    <n v="171.15"/>
    <x v="2"/>
    <x v="3"/>
    <x v="4"/>
    <x v="0"/>
    <x v="8"/>
  </r>
  <r>
    <n v="242"/>
    <x v="241"/>
    <x v="181"/>
    <s v="CUST5524"/>
    <x v="4"/>
    <x v="1"/>
    <x v="1"/>
    <x v="0"/>
    <x v="3"/>
    <x v="241"/>
    <x v="2"/>
    <x v="5"/>
    <n v="857.23"/>
    <x v="2"/>
    <x v="1"/>
    <x v="6"/>
    <x v="0"/>
    <x v="1"/>
  </r>
  <r>
    <n v="243"/>
    <x v="242"/>
    <x v="45"/>
    <s v="CUST6327"/>
    <x v="0"/>
    <x v="3"/>
    <x v="0"/>
    <x v="3"/>
    <x v="4"/>
    <x v="242"/>
    <x v="1"/>
    <x v="3"/>
    <n v="86.83"/>
    <x v="0"/>
    <x v="4"/>
    <x v="8"/>
    <x v="1"/>
    <x v="0"/>
  </r>
  <r>
    <n v="244"/>
    <x v="243"/>
    <x v="203"/>
    <s v="CUST3041"/>
    <x v="3"/>
    <x v="6"/>
    <x v="6"/>
    <x v="3"/>
    <x v="2"/>
    <x v="243"/>
    <x v="0"/>
    <x v="25"/>
    <n v="56.27"/>
    <x v="0"/>
    <x v="4"/>
    <x v="8"/>
    <x v="1"/>
    <x v="5"/>
  </r>
  <r>
    <n v="245"/>
    <x v="244"/>
    <x v="50"/>
    <s v="CUST3761"/>
    <x v="1"/>
    <x v="3"/>
    <x v="3"/>
    <x v="1"/>
    <x v="6"/>
    <x v="244"/>
    <x v="0"/>
    <x v="26"/>
    <n v="679.33"/>
    <x v="1"/>
    <x v="2"/>
    <x v="6"/>
    <x v="0"/>
    <x v="4"/>
  </r>
  <r>
    <n v="246"/>
    <x v="245"/>
    <x v="204"/>
    <s v="CUST2978"/>
    <x v="2"/>
    <x v="1"/>
    <x v="5"/>
    <x v="0"/>
    <x v="1"/>
    <x v="245"/>
    <x v="0"/>
    <x v="20"/>
    <n v="886.55"/>
    <x v="2"/>
    <x v="3"/>
    <x v="2"/>
    <x v="0"/>
    <x v="2"/>
  </r>
  <r>
    <n v="247"/>
    <x v="246"/>
    <x v="205"/>
    <s v="CUST5570"/>
    <x v="2"/>
    <x v="1"/>
    <x v="0"/>
    <x v="4"/>
    <x v="6"/>
    <x v="246"/>
    <x v="4"/>
    <x v="17"/>
    <n v="288.07"/>
    <x v="0"/>
    <x v="2"/>
    <x v="5"/>
    <x v="0"/>
    <x v="6"/>
  </r>
  <r>
    <n v="248"/>
    <x v="247"/>
    <x v="206"/>
    <s v="CUST3197"/>
    <x v="3"/>
    <x v="3"/>
    <x v="7"/>
    <x v="0"/>
    <x v="8"/>
    <x v="247"/>
    <x v="1"/>
    <x v="24"/>
    <n v="105.48"/>
    <x v="2"/>
    <x v="0"/>
    <x v="8"/>
    <x v="1"/>
    <x v="7"/>
  </r>
  <r>
    <n v="249"/>
    <x v="248"/>
    <x v="207"/>
    <s v="CUST1963"/>
    <x v="4"/>
    <x v="3"/>
    <x v="3"/>
    <x v="3"/>
    <x v="2"/>
    <x v="248"/>
    <x v="1"/>
    <x v="4"/>
    <n v="27.02"/>
    <x v="2"/>
    <x v="3"/>
    <x v="1"/>
    <x v="0"/>
    <x v="11"/>
  </r>
  <r>
    <n v="250"/>
    <x v="249"/>
    <x v="208"/>
    <s v="CUST2068"/>
    <x v="2"/>
    <x v="4"/>
    <x v="6"/>
    <x v="4"/>
    <x v="3"/>
    <x v="249"/>
    <x v="3"/>
    <x v="4"/>
    <n v="305.95999999999998"/>
    <x v="0"/>
    <x v="3"/>
    <x v="2"/>
    <x v="1"/>
    <x v="6"/>
  </r>
  <r>
    <n v="251"/>
    <x v="250"/>
    <x v="209"/>
    <s v="CUST1164"/>
    <x v="3"/>
    <x v="6"/>
    <x v="4"/>
    <x v="3"/>
    <x v="6"/>
    <x v="250"/>
    <x v="3"/>
    <x v="4"/>
    <n v="24.25"/>
    <x v="2"/>
    <x v="3"/>
    <x v="2"/>
    <x v="1"/>
    <x v="5"/>
  </r>
  <r>
    <n v="252"/>
    <x v="251"/>
    <x v="210"/>
    <s v="CUST4414"/>
    <x v="0"/>
    <x v="0"/>
    <x v="6"/>
    <x v="2"/>
    <x v="5"/>
    <x v="251"/>
    <x v="3"/>
    <x v="27"/>
    <n v="660.65"/>
    <x v="0"/>
    <x v="0"/>
    <x v="6"/>
    <x v="1"/>
    <x v="6"/>
  </r>
  <r>
    <n v="253"/>
    <x v="252"/>
    <x v="211"/>
    <s v="CUST7141"/>
    <x v="0"/>
    <x v="0"/>
    <x v="7"/>
    <x v="3"/>
    <x v="0"/>
    <x v="252"/>
    <x v="2"/>
    <x v="15"/>
    <n v="839.93"/>
    <x v="1"/>
    <x v="1"/>
    <x v="3"/>
    <x v="0"/>
    <x v="8"/>
  </r>
  <r>
    <n v="254"/>
    <x v="253"/>
    <x v="212"/>
    <s v="CUST8898"/>
    <x v="0"/>
    <x v="0"/>
    <x v="0"/>
    <x v="0"/>
    <x v="6"/>
    <x v="253"/>
    <x v="4"/>
    <x v="15"/>
    <n v="216.45"/>
    <x v="1"/>
    <x v="4"/>
    <x v="5"/>
    <x v="0"/>
    <x v="4"/>
  </r>
  <r>
    <n v="255"/>
    <x v="254"/>
    <x v="213"/>
    <s v="CUST9441"/>
    <x v="1"/>
    <x v="1"/>
    <x v="5"/>
    <x v="4"/>
    <x v="6"/>
    <x v="254"/>
    <x v="3"/>
    <x v="18"/>
    <n v="682.47"/>
    <x v="0"/>
    <x v="3"/>
    <x v="5"/>
    <x v="0"/>
    <x v="8"/>
  </r>
  <r>
    <n v="256"/>
    <x v="255"/>
    <x v="214"/>
    <s v="CUST3937"/>
    <x v="2"/>
    <x v="3"/>
    <x v="6"/>
    <x v="4"/>
    <x v="2"/>
    <x v="255"/>
    <x v="1"/>
    <x v="17"/>
    <n v="181.07"/>
    <x v="1"/>
    <x v="0"/>
    <x v="3"/>
    <x v="1"/>
    <x v="3"/>
  </r>
  <r>
    <n v="257"/>
    <x v="256"/>
    <x v="155"/>
    <s v="CUST9875"/>
    <x v="0"/>
    <x v="3"/>
    <x v="4"/>
    <x v="1"/>
    <x v="8"/>
    <x v="256"/>
    <x v="3"/>
    <x v="19"/>
    <n v="454.79"/>
    <x v="0"/>
    <x v="1"/>
    <x v="4"/>
    <x v="0"/>
    <x v="8"/>
  </r>
  <r>
    <n v="258"/>
    <x v="257"/>
    <x v="215"/>
    <s v="CUST9687"/>
    <x v="4"/>
    <x v="0"/>
    <x v="3"/>
    <x v="0"/>
    <x v="7"/>
    <x v="257"/>
    <x v="2"/>
    <x v="18"/>
    <n v="708.69"/>
    <x v="1"/>
    <x v="0"/>
    <x v="2"/>
    <x v="1"/>
    <x v="8"/>
  </r>
  <r>
    <n v="259"/>
    <x v="258"/>
    <x v="216"/>
    <s v="CUST3084"/>
    <x v="4"/>
    <x v="0"/>
    <x v="2"/>
    <x v="3"/>
    <x v="4"/>
    <x v="258"/>
    <x v="1"/>
    <x v="0"/>
    <n v="120.59"/>
    <x v="2"/>
    <x v="0"/>
    <x v="3"/>
    <x v="0"/>
    <x v="4"/>
  </r>
  <r>
    <n v="260"/>
    <x v="259"/>
    <x v="19"/>
    <s v="CUST2341"/>
    <x v="1"/>
    <x v="4"/>
    <x v="6"/>
    <x v="1"/>
    <x v="4"/>
    <x v="259"/>
    <x v="0"/>
    <x v="17"/>
    <n v="244.83"/>
    <x v="1"/>
    <x v="0"/>
    <x v="7"/>
    <x v="1"/>
    <x v="5"/>
  </r>
  <r>
    <n v="261"/>
    <x v="260"/>
    <x v="217"/>
    <s v="CUST7262"/>
    <x v="3"/>
    <x v="2"/>
    <x v="0"/>
    <x v="3"/>
    <x v="8"/>
    <x v="260"/>
    <x v="0"/>
    <x v="16"/>
    <n v="201.7"/>
    <x v="0"/>
    <x v="2"/>
    <x v="4"/>
    <x v="1"/>
    <x v="4"/>
  </r>
  <r>
    <n v="262"/>
    <x v="261"/>
    <x v="218"/>
    <s v="CUST4604"/>
    <x v="2"/>
    <x v="2"/>
    <x v="0"/>
    <x v="3"/>
    <x v="6"/>
    <x v="261"/>
    <x v="2"/>
    <x v="6"/>
    <n v="184.12"/>
    <x v="2"/>
    <x v="1"/>
    <x v="6"/>
    <x v="1"/>
    <x v="3"/>
  </r>
  <r>
    <n v="263"/>
    <x v="262"/>
    <x v="22"/>
    <s v="CUST4206"/>
    <x v="4"/>
    <x v="2"/>
    <x v="1"/>
    <x v="2"/>
    <x v="3"/>
    <x v="262"/>
    <x v="4"/>
    <x v="14"/>
    <n v="200.93"/>
    <x v="1"/>
    <x v="4"/>
    <x v="2"/>
    <x v="0"/>
    <x v="8"/>
  </r>
  <r>
    <n v="264"/>
    <x v="263"/>
    <x v="219"/>
    <s v="CUST2376"/>
    <x v="3"/>
    <x v="2"/>
    <x v="6"/>
    <x v="0"/>
    <x v="6"/>
    <x v="263"/>
    <x v="0"/>
    <x v="5"/>
    <n v="549.9"/>
    <x v="2"/>
    <x v="2"/>
    <x v="4"/>
    <x v="1"/>
    <x v="9"/>
  </r>
  <r>
    <n v="265"/>
    <x v="264"/>
    <x v="220"/>
    <s v="CUST5255"/>
    <x v="2"/>
    <x v="2"/>
    <x v="4"/>
    <x v="2"/>
    <x v="8"/>
    <x v="264"/>
    <x v="2"/>
    <x v="4"/>
    <n v="656.31"/>
    <x v="0"/>
    <x v="1"/>
    <x v="0"/>
    <x v="1"/>
    <x v="3"/>
  </r>
  <r>
    <n v="266"/>
    <x v="265"/>
    <x v="63"/>
    <s v="CUST4150"/>
    <x v="2"/>
    <x v="3"/>
    <x v="5"/>
    <x v="1"/>
    <x v="1"/>
    <x v="265"/>
    <x v="2"/>
    <x v="6"/>
    <n v="763.8"/>
    <x v="0"/>
    <x v="0"/>
    <x v="0"/>
    <x v="0"/>
    <x v="4"/>
  </r>
  <r>
    <n v="267"/>
    <x v="266"/>
    <x v="221"/>
    <s v="CUST9387"/>
    <x v="0"/>
    <x v="0"/>
    <x v="7"/>
    <x v="1"/>
    <x v="5"/>
    <x v="266"/>
    <x v="2"/>
    <x v="2"/>
    <n v="597.16"/>
    <x v="0"/>
    <x v="1"/>
    <x v="5"/>
    <x v="0"/>
    <x v="0"/>
  </r>
  <r>
    <n v="268"/>
    <x v="267"/>
    <x v="222"/>
    <s v="CUST3921"/>
    <x v="4"/>
    <x v="1"/>
    <x v="5"/>
    <x v="2"/>
    <x v="3"/>
    <x v="267"/>
    <x v="3"/>
    <x v="30"/>
    <n v="297.41000000000003"/>
    <x v="0"/>
    <x v="4"/>
    <x v="0"/>
    <x v="0"/>
    <x v="9"/>
  </r>
  <r>
    <n v="269"/>
    <x v="268"/>
    <x v="223"/>
    <s v="CUST7985"/>
    <x v="4"/>
    <x v="5"/>
    <x v="0"/>
    <x v="0"/>
    <x v="4"/>
    <x v="268"/>
    <x v="3"/>
    <x v="11"/>
    <n v="204.8"/>
    <x v="1"/>
    <x v="0"/>
    <x v="1"/>
    <x v="0"/>
    <x v="0"/>
  </r>
  <r>
    <n v="270"/>
    <x v="269"/>
    <x v="224"/>
    <s v="CUST8719"/>
    <x v="1"/>
    <x v="5"/>
    <x v="7"/>
    <x v="2"/>
    <x v="8"/>
    <x v="269"/>
    <x v="1"/>
    <x v="8"/>
    <n v="97.55"/>
    <x v="2"/>
    <x v="0"/>
    <x v="6"/>
    <x v="0"/>
    <x v="0"/>
  </r>
  <r>
    <n v="271"/>
    <x v="270"/>
    <x v="225"/>
    <s v="CUST8580"/>
    <x v="2"/>
    <x v="3"/>
    <x v="2"/>
    <x v="4"/>
    <x v="5"/>
    <x v="270"/>
    <x v="0"/>
    <x v="1"/>
    <n v="72.42"/>
    <x v="1"/>
    <x v="3"/>
    <x v="6"/>
    <x v="1"/>
    <x v="2"/>
  </r>
  <r>
    <n v="272"/>
    <x v="271"/>
    <x v="226"/>
    <s v="CUST7950"/>
    <x v="4"/>
    <x v="5"/>
    <x v="2"/>
    <x v="4"/>
    <x v="7"/>
    <x v="271"/>
    <x v="0"/>
    <x v="29"/>
    <n v="50.74"/>
    <x v="2"/>
    <x v="1"/>
    <x v="3"/>
    <x v="1"/>
    <x v="2"/>
  </r>
  <r>
    <n v="273"/>
    <x v="272"/>
    <x v="166"/>
    <s v="CUST5256"/>
    <x v="4"/>
    <x v="4"/>
    <x v="0"/>
    <x v="3"/>
    <x v="1"/>
    <x v="272"/>
    <x v="0"/>
    <x v="8"/>
    <n v="385.99"/>
    <x v="0"/>
    <x v="1"/>
    <x v="3"/>
    <x v="0"/>
    <x v="2"/>
  </r>
  <r>
    <n v="274"/>
    <x v="273"/>
    <x v="218"/>
    <s v="CUST6588"/>
    <x v="3"/>
    <x v="0"/>
    <x v="5"/>
    <x v="2"/>
    <x v="1"/>
    <x v="273"/>
    <x v="1"/>
    <x v="25"/>
    <n v="40.86"/>
    <x v="1"/>
    <x v="3"/>
    <x v="8"/>
    <x v="1"/>
    <x v="3"/>
  </r>
  <r>
    <n v="275"/>
    <x v="274"/>
    <x v="23"/>
    <s v="CUST2371"/>
    <x v="0"/>
    <x v="4"/>
    <x v="7"/>
    <x v="2"/>
    <x v="6"/>
    <x v="274"/>
    <x v="0"/>
    <x v="13"/>
    <n v="1067.73"/>
    <x v="1"/>
    <x v="2"/>
    <x v="8"/>
    <x v="1"/>
    <x v="9"/>
  </r>
  <r>
    <n v="276"/>
    <x v="275"/>
    <x v="227"/>
    <s v="CUST2691"/>
    <x v="2"/>
    <x v="4"/>
    <x v="4"/>
    <x v="1"/>
    <x v="6"/>
    <x v="275"/>
    <x v="0"/>
    <x v="14"/>
    <n v="580"/>
    <x v="1"/>
    <x v="1"/>
    <x v="2"/>
    <x v="1"/>
    <x v="1"/>
  </r>
  <r>
    <n v="277"/>
    <x v="276"/>
    <x v="108"/>
    <s v="CUST9408"/>
    <x v="3"/>
    <x v="4"/>
    <x v="3"/>
    <x v="0"/>
    <x v="7"/>
    <x v="276"/>
    <x v="2"/>
    <x v="25"/>
    <n v="500.26"/>
    <x v="0"/>
    <x v="1"/>
    <x v="5"/>
    <x v="1"/>
    <x v="3"/>
  </r>
  <r>
    <n v="278"/>
    <x v="277"/>
    <x v="228"/>
    <s v="CUST1254"/>
    <x v="2"/>
    <x v="0"/>
    <x v="6"/>
    <x v="3"/>
    <x v="6"/>
    <x v="277"/>
    <x v="0"/>
    <x v="1"/>
    <n v="373.77"/>
    <x v="2"/>
    <x v="0"/>
    <x v="3"/>
    <x v="1"/>
    <x v="0"/>
  </r>
  <r>
    <n v="279"/>
    <x v="278"/>
    <x v="229"/>
    <s v="CUST4282"/>
    <x v="1"/>
    <x v="2"/>
    <x v="2"/>
    <x v="3"/>
    <x v="4"/>
    <x v="278"/>
    <x v="2"/>
    <x v="7"/>
    <n v="92.47"/>
    <x v="0"/>
    <x v="0"/>
    <x v="3"/>
    <x v="0"/>
    <x v="10"/>
  </r>
  <r>
    <n v="280"/>
    <x v="279"/>
    <x v="230"/>
    <s v="CUST5623"/>
    <x v="3"/>
    <x v="2"/>
    <x v="4"/>
    <x v="0"/>
    <x v="5"/>
    <x v="279"/>
    <x v="3"/>
    <x v="20"/>
    <n v="42.22"/>
    <x v="0"/>
    <x v="2"/>
    <x v="4"/>
    <x v="0"/>
    <x v="2"/>
  </r>
  <r>
    <n v="281"/>
    <x v="280"/>
    <x v="231"/>
    <s v="CUST9995"/>
    <x v="4"/>
    <x v="2"/>
    <x v="4"/>
    <x v="1"/>
    <x v="5"/>
    <x v="280"/>
    <x v="3"/>
    <x v="12"/>
    <n v="88.46"/>
    <x v="0"/>
    <x v="3"/>
    <x v="8"/>
    <x v="0"/>
    <x v="10"/>
  </r>
  <r>
    <n v="282"/>
    <x v="281"/>
    <x v="208"/>
    <s v="CUST1673"/>
    <x v="3"/>
    <x v="3"/>
    <x v="6"/>
    <x v="3"/>
    <x v="3"/>
    <x v="281"/>
    <x v="4"/>
    <x v="13"/>
    <n v="558.33000000000004"/>
    <x v="1"/>
    <x v="0"/>
    <x v="7"/>
    <x v="1"/>
    <x v="6"/>
  </r>
  <r>
    <n v="283"/>
    <x v="282"/>
    <x v="232"/>
    <s v="CUST5637"/>
    <x v="4"/>
    <x v="3"/>
    <x v="0"/>
    <x v="3"/>
    <x v="3"/>
    <x v="282"/>
    <x v="1"/>
    <x v="10"/>
    <n v="20.02"/>
    <x v="2"/>
    <x v="0"/>
    <x v="8"/>
    <x v="0"/>
    <x v="6"/>
  </r>
  <r>
    <n v="284"/>
    <x v="283"/>
    <x v="205"/>
    <s v="CUST7418"/>
    <x v="2"/>
    <x v="3"/>
    <x v="6"/>
    <x v="4"/>
    <x v="1"/>
    <x v="283"/>
    <x v="3"/>
    <x v="11"/>
    <n v="643.23"/>
    <x v="2"/>
    <x v="3"/>
    <x v="6"/>
    <x v="0"/>
    <x v="6"/>
  </r>
  <r>
    <n v="285"/>
    <x v="284"/>
    <x v="173"/>
    <s v="CUST1279"/>
    <x v="2"/>
    <x v="3"/>
    <x v="7"/>
    <x v="3"/>
    <x v="6"/>
    <x v="284"/>
    <x v="3"/>
    <x v="16"/>
    <n v="763.18"/>
    <x v="1"/>
    <x v="3"/>
    <x v="0"/>
    <x v="1"/>
    <x v="1"/>
  </r>
  <r>
    <n v="286"/>
    <x v="285"/>
    <x v="229"/>
    <s v="CUST5231"/>
    <x v="3"/>
    <x v="2"/>
    <x v="4"/>
    <x v="2"/>
    <x v="8"/>
    <x v="285"/>
    <x v="1"/>
    <x v="13"/>
    <n v="70.56"/>
    <x v="0"/>
    <x v="2"/>
    <x v="1"/>
    <x v="0"/>
    <x v="10"/>
  </r>
  <r>
    <n v="287"/>
    <x v="286"/>
    <x v="118"/>
    <s v="CUST4748"/>
    <x v="4"/>
    <x v="4"/>
    <x v="3"/>
    <x v="4"/>
    <x v="8"/>
    <x v="286"/>
    <x v="0"/>
    <x v="5"/>
    <n v="790.11"/>
    <x v="2"/>
    <x v="1"/>
    <x v="0"/>
    <x v="1"/>
    <x v="9"/>
  </r>
  <r>
    <n v="288"/>
    <x v="287"/>
    <x v="233"/>
    <s v="CUST9121"/>
    <x v="4"/>
    <x v="0"/>
    <x v="2"/>
    <x v="3"/>
    <x v="1"/>
    <x v="287"/>
    <x v="3"/>
    <x v="30"/>
    <n v="79.489999999999995"/>
    <x v="0"/>
    <x v="3"/>
    <x v="2"/>
    <x v="0"/>
    <x v="0"/>
  </r>
  <r>
    <n v="289"/>
    <x v="288"/>
    <x v="234"/>
    <s v="CUST2307"/>
    <x v="3"/>
    <x v="1"/>
    <x v="5"/>
    <x v="1"/>
    <x v="8"/>
    <x v="288"/>
    <x v="4"/>
    <x v="16"/>
    <n v="210.75"/>
    <x v="0"/>
    <x v="2"/>
    <x v="7"/>
    <x v="1"/>
    <x v="4"/>
  </r>
  <r>
    <n v="290"/>
    <x v="289"/>
    <x v="189"/>
    <s v="CUST4992"/>
    <x v="0"/>
    <x v="3"/>
    <x v="5"/>
    <x v="0"/>
    <x v="2"/>
    <x v="289"/>
    <x v="3"/>
    <x v="18"/>
    <n v="416.02"/>
    <x v="2"/>
    <x v="0"/>
    <x v="2"/>
    <x v="0"/>
    <x v="11"/>
  </r>
  <r>
    <n v="291"/>
    <x v="290"/>
    <x v="235"/>
    <s v="CUST1411"/>
    <x v="4"/>
    <x v="4"/>
    <x v="2"/>
    <x v="2"/>
    <x v="4"/>
    <x v="290"/>
    <x v="4"/>
    <x v="17"/>
    <n v="202.45"/>
    <x v="1"/>
    <x v="3"/>
    <x v="9"/>
    <x v="0"/>
    <x v="6"/>
  </r>
  <r>
    <n v="292"/>
    <x v="291"/>
    <x v="186"/>
    <s v="CUST6053"/>
    <x v="2"/>
    <x v="1"/>
    <x v="4"/>
    <x v="0"/>
    <x v="1"/>
    <x v="291"/>
    <x v="4"/>
    <x v="29"/>
    <n v="90.38"/>
    <x v="2"/>
    <x v="3"/>
    <x v="9"/>
    <x v="1"/>
    <x v="7"/>
  </r>
  <r>
    <n v="293"/>
    <x v="292"/>
    <x v="48"/>
    <s v="CUST9399"/>
    <x v="2"/>
    <x v="6"/>
    <x v="4"/>
    <x v="2"/>
    <x v="1"/>
    <x v="292"/>
    <x v="4"/>
    <x v="23"/>
    <n v="128.19"/>
    <x v="2"/>
    <x v="3"/>
    <x v="6"/>
    <x v="0"/>
    <x v="9"/>
  </r>
  <r>
    <n v="294"/>
    <x v="293"/>
    <x v="139"/>
    <s v="CUST4883"/>
    <x v="3"/>
    <x v="5"/>
    <x v="1"/>
    <x v="2"/>
    <x v="8"/>
    <x v="293"/>
    <x v="0"/>
    <x v="24"/>
    <n v="612.03"/>
    <x v="1"/>
    <x v="0"/>
    <x v="2"/>
    <x v="1"/>
    <x v="2"/>
  </r>
  <r>
    <n v="295"/>
    <x v="294"/>
    <x v="236"/>
    <s v="CUST6417"/>
    <x v="4"/>
    <x v="4"/>
    <x v="1"/>
    <x v="3"/>
    <x v="5"/>
    <x v="294"/>
    <x v="0"/>
    <x v="1"/>
    <n v="80.69"/>
    <x v="2"/>
    <x v="1"/>
    <x v="2"/>
    <x v="0"/>
    <x v="5"/>
  </r>
  <r>
    <n v="296"/>
    <x v="295"/>
    <x v="158"/>
    <s v="CUST7966"/>
    <x v="0"/>
    <x v="1"/>
    <x v="6"/>
    <x v="4"/>
    <x v="7"/>
    <x v="295"/>
    <x v="4"/>
    <x v="27"/>
    <n v="63.79"/>
    <x v="1"/>
    <x v="3"/>
    <x v="6"/>
    <x v="1"/>
    <x v="7"/>
  </r>
  <r>
    <n v="297"/>
    <x v="296"/>
    <x v="237"/>
    <s v="CUST3215"/>
    <x v="4"/>
    <x v="0"/>
    <x v="5"/>
    <x v="2"/>
    <x v="2"/>
    <x v="296"/>
    <x v="1"/>
    <x v="17"/>
    <n v="24.35"/>
    <x v="1"/>
    <x v="2"/>
    <x v="2"/>
    <x v="1"/>
    <x v="3"/>
  </r>
  <r>
    <n v="298"/>
    <x v="297"/>
    <x v="238"/>
    <s v="CUST6514"/>
    <x v="4"/>
    <x v="4"/>
    <x v="6"/>
    <x v="0"/>
    <x v="8"/>
    <x v="297"/>
    <x v="2"/>
    <x v="17"/>
    <n v="961.51"/>
    <x v="2"/>
    <x v="1"/>
    <x v="6"/>
    <x v="1"/>
    <x v="3"/>
  </r>
  <r>
    <n v="299"/>
    <x v="298"/>
    <x v="239"/>
    <s v="CUST9468"/>
    <x v="0"/>
    <x v="3"/>
    <x v="6"/>
    <x v="1"/>
    <x v="6"/>
    <x v="298"/>
    <x v="0"/>
    <x v="24"/>
    <n v="124.06"/>
    <x v="0"/>
    <x v="0"/>
    <x v="3"/>
    <x v="1"/>
    <x v="6"/>
  </r>
  <r>
    <n v="300"/>
    <x v="299"/>
    <x v="240"/>
    <s v="CUST5184"/>
    <x v="4"/>
    <x v="0"/>
    <x v="5"/>
    <x v="1"/>
    <x v="4"/>
    <x v="299"/>
    <x v="2"/>
    <x v="16"/>
    <n v="180.41"/>
    <x v="1"/>
    <x v="1"/>
    <x v="4"/>
    <x v="0"/>
    <x v="3"/>
  </r>
  <r>
    <n v="301"/>
    <x v="300"/>
    <x v="241"/>
    <s v="CUST8124"/>
    <x v="0"/>
    <x v="3"/>
    <x v="5"/>
    <x v="3"/>
    <x v="8"/>
    <x v="300"/>
    <x v="1"/>
    <x v="6"/>
    <n v="30.22"/>
    <x v="0"/>
    <x v="2"/>
    <x v="2"/>
    <x v="1"/>
    <x v="3"/>
  </r>
  <r>
    <n v="302"/>
    <x v="301"/>
    <x v="201"/>
    <s v="CUST2010"/>
    <x v="0"/>
    <x v="4"/>
    <x v="3"/>
    <x v="4"/>
    <x v="5"/>
    <x v="301"/>
    <x v="2"/>
    <x v="8"/>
    <n v="899.5"/>
    <x v="2"/>
    <x v="4"/>
    <x v="8"/>
    <x v="0"/>
    <x v="5"/>
  </r>
  <r>
    <n v="303"/>
    <x v="302"/>
    <x v="242"/>
    <s v="CUST3361"/>
    <x v="2"/>
    <x v="1"/>
    <x v="3"/>
    <x v="2"/>
    <x v="1"/>
    <x v="302"/>
    <x v="4"/>
    <x v="14"/>
    <n v="570.92999999999995"/>
    <x v="2"/>
    <x v="4"/>
    <x v="6"/>
    <x v="0"/>
    <x v="10"/>
  </r>
  <r>
    <n v="304"/>
    <x v="303"/>
    <x v="243"/>
    <s v="CUST9771"/>
    <x v="3"/>
    <x v="3"/>
    <x v="6"/>
    <x v="1"/>
    <x v="1"/>
    <x v="303"/>
    <x v="0"/>
    <x v="2"/>
    <n v="860.52"/>
    <x v="1"/>
    <x v="0"/>
    <x v="3"/>
    <x v="0"/>
    <x v="2"/>
  </r>
  <r>
    <n v="305"/>
    <x v="304"/>
    <x v="244"/>
    <s v="CUST3508"/>
    <x v="4"/>
    <x v="0"/>
    <x v="3"/>
    <x v="0"/>
    <x v="6"/>
    <x v="304"/>
    <x v="3"/>
    <x v="24"/>
    <n v="168.21"/>
    <x v="1"/>
    <x v="3"/>
    <x v="9"/>
    <x v="1"/>
    <x v="5"/>
  </r>
  <r>
    <n v="306"/>
    <x v="305"/>
    <x v="245"/>
    <s v="CUST2024"/>
    <x v="2"/>
    <x v="5"/>
    <x v="4"/>
    <x v="3"/>
    <x v="6"/>
    <x v="305"/>
    <x v="4"/>
    <x v="28"/>
    <n v="413.96"/>
    <x v="1"/>
    <x v="4"/>
    <x v="9"/>
    <x v="1"/>
    <x v="10"/>
  </r>
  <r>
    <n v="307"/>
    <x v="306"/>
    <x v="15"/>
    <s v="CUST7334"/>
    <x v="4"/>
    <x v="0"/>
    <x v="2"/>
    <x v="3"/>
    <x v="8"/>
    <x v="306"/>
    <x v="3"/>
    <x v="14"/>
    <n v="653.55999999999995"/>
    <x v="0"/>
    <x v="2"/>
    <x v="4"/>
    <x v="0"/>
    <x v="0"/>
  </r>
  <r>
    <n v="308"/>
    <x v="307"/>
    <x v="246"/>
    <s v="CUST8388"/>
    <x v="0"/>
    <x v="1"/>
    <x v="2"/>
    <x v="2"/>
    <x v="7"/>
    <x v="307"/>
    <x v="0"/>
    <x v="3"/>
    <n v="1141.54"/>
    <x v="2"/>
    <x v="3"/>
    <x v="7"/>
    <x v="1"/>
    <x v="5"/>
  </r>
  <r>
    <n v="309"/>
    <x v="308"/>
    <x v="247"/>
    <s v="CUST3724"/>
    <x v="3"/>
    <x v="1"/>
    <x v="0"/>
    <x v="3"/>
    <x v="2"/>
    <x v="308"/>
    <x v="0"/>
    <x v="16"/>
    <n v="1531.24"/>
    <x v="0"/>
    <x v="4"/>
    <x v="3"/>
    <x v="1"/>
    <x v="4"/>
  </r>
  <r>
    <n v="310"/>
    <x v="309"/>
    <x v="47"/>
    <s v="CUST6204"/>
    <x v="4"/>
    <x v="1"/>
    <x v="0"/>
    <x v="3"/>
    <x v="0"/>
    <x v="309"/>
    <x v="1"/>
    <x v="24"/>
    <n v="61.31"/>
    <x v="2"/>
    <x v="0"/>
    <x v="0"/>
    <x v="0"/>
    <x v="8"/>
  </r>
  <r>
    <n v="311"/>
    <x v="310"/>
    <x v="248"/>
    <s v="CUST2109"/>
    <x v="0"/>
    <x v="6"/>
    <x v="0"/>
    <x v="4"/>
    <x v="8"/>
    <x v="310"/>
    <x v="4"/>
    <x v="29"/>
    <n v="95.05"/>
    <x v="2"/>
    <x v="3"/>
    <x v="3"/>
    <x v="0"/>
    <x v="3"/>
  </r>
  <r>
    <n v="312"/>
    <x v="311"/>
    <x v="249"/>
    <s v="CUST3744"/>
    <x v="1"/>
    <x v="6"/>
    <x v="6"/>
    <x v="3"/>
    <x v="0"/>
    <x v="311"/>
    <x v="0"/>
    <x v="7"/>
    <n v="730.2"/>
    <x v="0"/>
    <x v="1"/>
    <x v="1"/>
    <x v="1"/>
    <x v="2"/>
  </r>
  <r>
    <n v="313"/>
    <x v="312"/>
    <x v="83"/>
    <s v="CUST5204"/>
    <x v="1"/>
    <x v="1"/>
    <x v="2"/>
    <x v="1"/>
    <x v="3"/>
    <x v="312"/>
    <x v="3"/>
    <x v="17"/>
    <n v="279.16000000000003"/>
    <x v="2"/>
    <x v="3"/>
    <x v="9"/>
    <x v="0"/>
    <x v="9"/>
  </r>
  <r>
    <n v="314"/>
    <x v="313"/>
    <x v="250"/>
    <s v="CUST2989"/>
    <x v="1"/>
    <x v="1"/>
    <x v="2"/>
    <x v="2"/>
    <x v="2"/>
    <x v="313"/>
    <x v="2"/>
    <x v="29"/>
    <n v="476.7"/>
    <x v="1"/>
    <x v="0"/>
    <x v="1"/>
    <x v="0"/>
    <x v="5"/>
  </r>
  <r>
    <n v="315"/>
    <x v="314"/>
    <x v="144"/>
    <s v="CUST1924"/>
    <x v="4"/>
    <x v="6"/>
    <x v="0"/>
    <x v="2"/>
    <x v="8"/>
    <x v="314"/>
    <x v="2"/>
    <x v="12"/>
    <n v="235.7"/>
    <x v="2"/>
    <x v="4"/>
    <x v="1"/>
    <x v="1"/>
    <x v="4"/>
  </r>
  <r>
    <n v="316"/>
    <x v="315"/>
    <x v="251"/>
    <s v="CUST7746"/>
    <x v="3"/>
    <x v="4"/>
    <x v="0"/>
    <x v="1"/>
    <x v="8"/>
    <x v="315"/>
    <x v="2"/>
    <x v="14"/>
    <n v="352.98"/>
    <x v="2"/>
    <x v="1"/>
    <x v="2"/>
    <x v="0"/>
    <x v="4"/>
  </r>
  <r>
    <n v="317"/>
    <x v="316"/>
    <x v="210"/>
    <s v="CUST7569"/>
    <x v="2"/>
    <x v="0"/>
    <x v="5"/>
    <x v="0"/>
    <x v="0"/>
    <x v="316"/>
    <x v="4"/>
    <x v="11"/>
    <n v="76.12"/>
    <x v="0"/>
    <x v="2"/>
    <x v="9"/>
    <x v="1"/>
    <x v="6"/>
  </r>
  <r>
    <n v="318"/>
    <x v="317"/>
    <x v="252"/>
    <s v="CUST8886"/>
    <x v="4"/>
    <x v="1"/>
    <x v="1"/>
    <x v="3"/>
    <x v="1"/>
    <x v="317"/>
    <x v="0"/>
    <x v="11"/>
    <n v="655.05999999999995"/>
    <x v="0"/>
    <x v="3"/>
    <x v="1"/>
    <x v="1"/>
    <x v="10"/>
  </r>
  <r>
    <n v="319"/>
    <x v="318"/>
    <x v="15"/>
    <s v="CUST1888"/>
    <x v="2"/>
    <x v="1"/>
    <x v="4"/>
    <x v="2"/>
    <x v="0"/>
    <x v="318"/>
    <x v="1"/>
    <x v="4"/>
    <n v="152.21"/>
    <x v="1"/>
    <x v="0"/>
    <x v="7"/>
    <x v="0"/>
    <x v="0"/>
  </r>
  <r>
    <n v="320"/>
    <x v="319"/>
    <x v="0"/>
    <s v="CUST2992"/>
    <x v="0"/>
    <x v="6"/>
    <x v="6"/>
    <x v="2"/>
    <x v="4"/>
    <x v="319"/>
    <x v="4"/>
    <x v="15"/>
    <n v="83.06"/>
    <x v="2"/>
    <x v="4"/>
    <x v="3"/>
    <x v="0"/>
    <x v="0"/>
  </r>
  <r>
    <n v="321"/>
    <x v="320"/>
    <x v="253"/>
    <s v="CUST7432"/>
    <x v="4"/>
    <x v="4"/>
    <x v="1"/>
    <x v="4"/>
    <x v="1"/>
    <x v="320"/>
    <x v="2"/>
    <x v="27"/>
    <n v="731.66"/>
    <x v="2"/>
    <x v="3"/>
    <x v="9"/>
    <x v="1"/>
    <x v="11"/>
  </r>
  <r>
    <n v="322"/>
    <x v="321"/>
    <x v="169"/>
    <s v="CUST2747"/>
    <x v="4"/>
    <x v="2"/>
    <x v="2"/>
    <x v="4"/>
    <x v="8"/>
    <x v="321"/>
    <x v="3"/>
    <x v="27"/>
    <n v="336.03"/>
    <x v="1"/>
    <x v="2"/>
    <x v="3"/>
    <x v="0"/>
    <x v="10"/>
  </r>
  <r>
    <n v="323"/>
    <x v="322"/>
    <x v="254"/>
    <s v="CUST6704"/>
    <x v="3"/>
    <x v="6"/>
    <x v="1"/>
    <x v="2"/>
    <x v="0"/>
    <x v="322"/>
    <x v="0"/>
    <x v="2"/>
    <n v="571.14"/>
    <x v="2"/>
    <x v="0"/>
    <x v="4"/>
    <x v="0"/>
    <x v="7"/>
  </r>
  <r>
    <n v="324"/>
    <x v="323"/>
    <x v="255"/>
    <s v="CUST3654"/>
    <x v="0"/>
    <x v="6"/>
    <x v="4"/>
    <x v="1"/>
    <x v="0"/>
    <x v="323"/>
    <x v="1"/>
    <x v="18"/>
    <n v="90.08"/>
    <x v="1"/>
    <x v="4"/>
    <x v="7"/>
    <x v="1"/>
    <x v="6"/>
  </r>
  <r>
    <n v="325"/>
    <x v="324"/>
    <x v="256"/>
    <s v="CUST8831"/>
    <x v="2"/>
    <x v="1"/>
    <x v="3"/>
    <x v="0"/>
    <x v="4"/>
    <x v="324"/>
    <x v="2"/>
    <x v="10"/>
    <n v="638.62"/>
    <x v="0"/>
    <x v="1"/>
    <x v="9"/>
    <x v="1"/>
    <x v="6"/>
  </r>
  <r>
    <n v="326"/>
    <x v="325"/>
    <x v="257"/>
    <s v="CUST3066"/>
    <x v="2"/>
    <x v="3"/>
    <x v="3"/>
    <x v="1"/>
    <x v="5"/>
    <x v="325"/>
    <x v="3"/>
    <x v="15"/>
    <n v="296.93"/>
    <x v="2"/>
    <x v="0"/>
    <x v="0"/>
    <x v="1"/>
    <x v="4"/>
  </r>
  <r>
    <n v="327"/>
    <x v="326"/>
    <x v="258"/>
    <s v="CUST7214"/>
    <x v="0"/>
    <x v="4"/>
    <x v="2"/>
    <x v="4"/>
    <x v="7"/>
    <x v="326"/>
    <x v="1"/>
    <x v="19"/>
    <n v="288.01"/>
    <x v="1"/>
    <x v="2"/>
    <x v="5"/>
    <x v="0"/>
    <x v="11"/>
  </r>
  <r>
    <n v="328"/>
    <x v="327"/>
    <x v="11"/>
    <s v="CUST9240"/>
    <x v="0"/>
    <x v="4"/>
    <x v="2"/>
    <x v="3"/>
    <x v="6"/>
    <x v="327"/>
    <x v="3"/>
    <x v="12"/>
    <n v="283.18"/>
    <x v="1"/>
    <x v="3"/>
    <x v="7"/>
    <x v="0"/>
    <x v="9"/>
  </r>
  <r>
    <n v="329"/>
    <x v="328"/>
    <x v="216"/>
    <s v="CUST4996"/>
    <x v="4"/>
    <x v="6"/>
    <x v="7"/>
    <x v="3"/>
    <x v="7"/>
    <x v="328"/>
    <x v="4"/>
    <x v="14"/>
    <n v="14.55"/>
    <x v="0"/>
    <x v="1"/>
    <x v="7"/>
    <x v="0"/>
    <x v="4"/>
  </r>
  <r>
    <n v="330"/>
    <x v="329"/>
    <x v="26"/>
    <s v="CUST8716"/>
    <x v="2"/>
    <x v="2"/>
    <x v="2"/>
    <x v="0"/>
    <x v="1"/>
    <x v="329"/>
    <x v="4"/>
    <x v="16"/>
    <n v="142.71"/>
    <x v="0"/>
    <x v="3"/>
    <x v="4"/>
    <x v="0"/>
    <x v="3"/>
  </r>
  <r>
    <n v="331"/>
    <x v="330"/>
    <x v="210"/>
    <s v="CUST8077"/>
    <x v="1"/>
    <x v="1"/>
    <x v="7"/>
    <x v="3"/>
    <x v="0"/>
    <x v="330"/>
    <x v="4"/>
    <x v="30"/>
    <n v="349.87"/>
    <x v="0"/>
    <x v="0"/>
    <x v="2"/>
    <x v="1"/>
    <x v="6"/>
  </r>
  <r>
    <n v="332"/>
    <x v="331"/>
    <x v="215"/>
    <s v="CUST6464"/>
    <x v="2"/>
    <x v="6"/>
    <x v="2"/>
    <x v="4"/>
    <x v="8"/>
    <x v="331"/>
    <x v="1"/>
    <x v="30"/>
    <n v="53.65"/>
    <x v="0"/>
    <x v="0"/>
    <x v="6"/>
    <x v="1"/>
    <x v="8"/>
  </r>
  <r>
    <n v="333"/>
    <x v="332"/>
    <x v="259"/>
    <s v="CUST1144"/>
    <x v="2"/>
    <x v="4"/>
    <x v="4"/>
    <x v="3"/>
    <x v="3"/>
    <x v="332"/>
    <x v="1"/>
    <x v="3"/>
    <n v="52.02"/>
    <x v="0"/>
    <x v="4"/>
    <x v="3"/>
    <x v="0"/>
    <x v="5"/>
  </r>
  <r>
    <n v="334"/>
    <x v="333"/>
    <x v="260"/>
    <s v="CUST5088"/>
    <x v="4"/>
    <x v="2"/>
    <x v="2"/>
    <x v="3"/>
    <x v="2"/>
    <x v="333"/>
    <x v="3"/>
    <x v="6"/>
    <n v="606.49"/>
    <x v="2"/>
    <x v="4"/>
    <x v="0"/>
    <x v="1"/>
    <x v="10"/>
  </r>
  <r>
    <n v="335"/>
    <x v="334"/>
    <x v="261"/>
    <s v="CUST2668"/>
    <x v="2"/>
    <x v="0"/>
    <x v="0"/>
    <x v="2"/>
    <x v="1"/>
    <x v="334"/>
    <x v="0"/>
    <x v="0"/>
    <n v="389.42"/>
    <x v="0"/>
    <x v="1"/>
    <x v="2"/>
    <x v="0"/>
    <x v="5"/>
  </r>
  <r>
    <n v="336"/>
    <x v="335"/>
    <x v="262"/>
    <s v="CUST7661"/>
    <x v="3"/>
    <x v="5"/>
    <x v="4"/>
    <x v="4"/>
    <x v="0"/>
    <x v="335"/>
    <x v="1"/>
    <x v="18"/>
    <n v="49.59"/>
    <x v="2"/>
    <x v="2"/>
    <x v="8"/>
    <x v="0"/>
    <x v="8"/>
  </r>
  <r>
    <n v="337"/>
    <x v="336"/>
    <x v="263"/>
    <s v="CUST5177"/>
    <x v="4"/>
    <x v="1"/>
    <x v="4"/>
    <x v="0"/>
    <x v="2"/>
    <x v="336"/>
    <x v="2"/>
    <x v="18"/>
    <n v="235.18"/>
    <x v="0"/>
    <x v="1"/>
    <x v="8"/>
    <x v="1"/>
    <x v="8"/>
  </r>
  <r>
    <n v="338"/>
    <x v="337"/>
    <x v="264"/>
    <s v="CUST5096"/>
    <x v="3"/>
    <x v="4"/>
    <x v="3"/>
    <x v="1"/>
    <x v="8"/>
    <x v="337"/>
    <x v="1"/>
    <x v="8"/>
    <n v="71.41"/>
    <x v="2"/>
    <x v="0"/>
    <x v="7"/>
    <x v="1"/>
    <x v="5"/>
  </r>
  <r>
    <n v="339"/>
    <x v="338"/>
    <x v="265"/>
    <s v="CUST1024"/>
    <x v="3"/>
    <x v="3"/>
    <x v="2"/>
    <x v="4"/>
    <x v="5"/>
    <x v="338"/>
    <x v="0"/>
    <x v="7"/>
    <n v="288.26"/>
    <x v="1"/>
    <x v="3"/>
    <x v="1"/>
    <x v="0"/>
    <x v="2"/>
  </r>
  <r>
    <n v="340"/>
    <x v="339"/>
    <x v="266"/>
    <s v="CUST5503"/>
    <x v="4"/>
    <x v="6"/>
    <x v="3"/>
    <x v="3"/>
    <x v="1"/>
    <x v="339"/>
    <x v="1"/>
    <x v="12"/>
    <n v="6.94"/>
    <x v="0"/>
    <x v="4"/>
    <x v="3"/>
    <x v="0"/>
    <x v="1"/>
  </r>
  <r>
    <n v="341"/>
    <x v="340"/>
    <x v="267"/>
    <s v="CUST9351"/>
    <x v="0"/>
    <x v="3"/>
    <x v="4"/>
    <x v="3"/>
    <x v="3"/>
    <x v="340"/>
    <x v="0"/>
    <x v="14"/>
    <n v="369.55"/>
    <x v="1"/>
    <x v="3"/>
    <x v="5"/>
    <x v="1"/>
    <x v="8"/>
  </r>
  <r>
    <n v="342"/>
    <x v="341"/>
    <x v="268"/>
    <s v="CUST6948"/>
    <x v="4"/>
    <x v="4"/>
    <x v="4"/>
    <x v="0"/>
    <x v="0"/>
    <x v="341"/>
    <x v="4"/>
    <x v="28"/>
    <n v="231.47"/>
    <x v="0"/>
    <x v="1"/>
    <x v="3"/>
    <x v="0"/>
    <x v="7"/>
  </r>
  <r>
    <n v="343"/>
    <x v="342"/>
    <x v="269"/>
    <s v="CUST7735"/>
    <x v="4"/>
    <x v="4"/>
    <x v="2"/>
    <x v="0"/>
    <x v="8"/>
    <x v="342"/>
    <x v="3"/>
    <x v="18"/>
    <n v="181.5"/>
    <x v="0"/>
    <x v="3"/>
    <x v="7"/>
    <x v="0"/>
    <x v="10"/>
  </r>
  <r>
    <n v="344"/>
    <x v="343"/>
    <x v="270"/>
    <s v="CUST5688"/>
    <x v="0"/>
    <x v="6"/>
    <x v="7"/>
    <x v="0"/>
    <x v="4"/>
    <x v="343"/>
    <x v="4"/>
    <x v="8"/>
    <n v="156.01"/>
    <x v="0"/>
    <x v="1"/>
    <x v="3"/>
    <x v="1"/>
    <x v="1"/>
  </r>
  <r>
    <n v="345"/>
    <x v="344"/>
    <x v="154"/>
    <s v="CUST6995"/>
    <x v="3"/>
    <x v="2"/>
    <x v="0"/>
    <x v="3"/>
    <x v="6"/>
    <x v="344"/>
    <x v="3"/>
    <x v="21"/>
    <n v="363.87"/>
    <x v="0"/>
    <x v="2"/>
    <x v="8"/>
    <x v="0"/>
    <x v="11"/>
  </r>
  <r>
    <n v="346"/>
    <x v="345"/>
    <x v="271"/>
    <s v="CUST8668"/>
    <x v="1"/>
    <x v="2"/>
    <x v="5"/>
    <x v="0"/>
    <x v="4"/>
    <x v="345"/>
    <x v="0"/>
    <x v="26"/>
    <n v="177.33"/>
    <x v="0"/>
    <x v="2"/>
    <x v="9"/>
    <x v="0"/>
    <x v="2"/>
  </r>
  <r>
    <n v="347"/>
    <x v="346"/>
    <x v="268"/>
    <s v="CUST8260"/>
    <x v="3"/>
    <x v="1"/>
    <x v="5"/>
    <x v="0"/>
    <x v="4"/>
    <x v="346"/>
    <x v="1"/>
    <x v="10"/>
    <n v="63.96"/>
    <x v="0"/>
    <x v="4"/>
    <x v="1"/>
    <x v="0"/>
    <x v="7"/>
  </r>
  <r>
    <n v="348"/>
    <x v="347"/>
    <x v="272"/>
    <s v="CUST7037"/>
    <x v="3"/>
    <x v="0"/>
    <x v="5"/>
    <x v="0"/>
    <x v="0"/>
    <x v="347"/>
    <x v="2"/>
    <x v="1"/>
    <n v="333.38"/>
    <x v="2"/>
    <x v="2"/>
    <x v="1"/>
    <x v="0"/>
    <x v="6"/>
  </r>
  <r>
    <n v="349"/>
    <x v="348"/>
    <x v="273"/>
    <s v="CUST2875"/>
    <x v="3"/>
    <x v="5"/>
    <x v="2"/>
    <x v="3"/>
    <x v="0"/>
    <x v="348"/>
    <x v="1"/>
    <x v="5"/>
    <n v="35.61"/>
    <x v="2"/>
    <x v="2"/>
    <x v="3"/>
    <x v="0"/>
    <x v="2"/>
  </r>
  <r>
    <n v="350"/>
    <x v="349"/>
    <x v="189"/>
    <s v="CUST5356"/>
    <x v="3"/>
    <x v="4"/>
    <x v="5"/>
    <x v="3"/>
    <x v="1"/>
    <x v="349"/>
    <x v="0"/>
    <x v="30"/>
    <n v="440.86"/>
    <x v="2"/>
    <x v="2"/>
    <x v="4"/>
    <x v="0"/>
    <x v="11"/>
  </r>
  <r>
    <n v="351"/>
    <x v="350"/>
    <x v="274"/>
    <s v="CUST4943"/>
    <x v="4"/>
    <x v="5"/>
    <x v="5"/>
    <x v="4"/>
    <x v="4"/>
    <x v="350"/>
    <x v="2"/>
    <x v="0"/>
    <n v="1092.1099999999999"/>
    <x v="0"/>
    <x v="1"/>
    <x v="8"/>
    <x v="0"/>
    <x v="6"/>
  </r>
  <r>
    <n v="352"/>
    <x v="351"/>
    <x v="197"/>
    <s v="CUST9079"/>
    <x v="2"/>
    <x v="0"/>
    <x v="7"/>
    <x v="2"/>
    <x v="2"/>
    <x v="351"/>
    <x v="4"/>
    <x v="0"/>
    <n v="19.53"/>
    <x v="1"/>
    <x v="0"/>
    <x v="3"/>
    <x v="1"/>
    <x v="1"/>
  </r>
  <r>
    <n v="353"/>
    <x v="352"/>
    <x v="139"/>
    <s v="CUST5212"/>
    <x v="2"/>
    <x v="2"/>
    <x v="4"/>
    <x v="2"/>
    <x v="1"/>
    <x v="352"/>
    <x v="4"/>
    <x v="29"/>
    <n v="191.54"/>
    <x v="0"/>
    <x v="0"/>
    <x v="3"/>
    <x v="1"/>
    <x v="2"/>
  </r>
  <r>
    <n v="354"/>
    <x v="353"/>
    <x v="275"/>
    <s v="CUST5376"/>
    <x v="2"/>
    <x v="4"/>
    <x v="2"/>
    <x v="2"/>
    <x v="0"/>
    <x v="353"/>
    <x v="3"/>
    <x v="9"/>
    <n v="513.64"/>
    <x v="2"/>
    <x v="0"/>
    <x v="4"/>
    <x v="0"/>
    <x v="7"/>
  </r>
  <r>
    <n v="355"/>
    <x v="354"/>
    <x v="276"/>
    <s v="CUST8703"/>
    <x v="1"/>
    <x v="6"/>
    <x v="2"/>
    <x v="1"/>
    <x v="0"/>
    <x v="354"/>
    <x v="2"/>
    <x v="2"/>
    <n v="98.38"/>
    <x v="0"/>
    <x v="4"/>
    <x v="3"/>
    <x v="0"/>
    <x v="7"/>
  </r>
  <r>
    <n v="356"/>
    <x v="355"/>
    <x v="277"/>
    <s v="CUST9638"/>
    <x v="3"/>
    <x v="0"/>
    <x v="0"/>
    <x v="2"/>
    <x v="0"/>
    <x v="355"/>
    <x v="3"/>
    <x v="8"/>
    <n v="399.47"/>
    <x v="1"/>
    <x v="0"/>
    <x v="4"/>
    <x v="1"/>
    <x v="11"/>
  </r>
  <r>
    <n v="357"/>
    <x v="356"/>
    <x v="278"/>
    <s v="CUST8308"/>
    <x v="3"/>
    <x v="6"/>
    <x v="3"/>
    <x v="4"/>
    <x v="7"/>
    <x v="356"/>
    <x v="2"/>
    <x v="10"/>
    <n v="682.21"/>
    <x v="2"/>
    <x v="1"/>
    <x v="4"/>
    <x v="1"/>
    <x v="1"/>
  </r>
  <r>
    <n v="358"/>
    <x v="357"/>
    <x v="64"/>
    <s v="CUST3339"/>
    <x v="2"/>
    <x v="3"/>
    <x v="2"/>
    <x v="2"/>
    <x v="5"/>
    <x v="357"/>
    <x v="0"/>
    <x v="1"/>
    <n v="966.84"/>
    <x v="0"/>
    <x v="2"/>
    <x v="7"/>
    <x v="0"/>
    <x v="3"/>
  </r>
  <r>
    <n v="359"/>
    <x v="358"/>
    <x v="279"/>
    <s v="CUST7494"/>
    <x v="1"/>
    <x v="4"/>
    <x v="7"/>
    <x v="0"/>
    <x v="3"/>
    <x v="358"/>
    <x v="2"/>
    <x v="22"/>
    <n v="290.58"/>
    <x v="1"/>
    <x v="3"/>
    <x v="0"/>
    <x v="1"/>
    <x v="3"/>
  </r>
  <r>
    <n v="360"/>
    <x v="359"/>
    <x v="243"/>
    <s v="CUST5412"/>
    <x v="4"/>
    <x v="4"/>
    <x v="0"/>
    <x v="2"/>
    <x v="5"/>
    <x v="359"/>
    <x v="3"/>
    <x v="25"/>
    <n v="421.42"/>
    <x v="0"/>
    <x v="2"/>
    <x v="1"/>
    <x v="0"/>
    <x v="2"/>
  </r>
  <r>
    <n v="361"/>
    <x v="360"/>
    <x v="280"/>
    <s v="CUST6950"/>
    <x v="0"/>
    <x v="6"/>
    <x v="1"/>
    <x v="2"/>
    <x v="4"/>
    <x v="360"/>
    <x v="2"/>
    <x v="17"/>
    <n v="517.91999999999996"/>
    <x v="2"/>
    <x v="3"/>
    <x v="0"/>
    <x v="1"/>
    <x v="9"/>
  </r>
  <r>
    <n v="362"/>
    <x v="361"/>
    <x v="281"/>
    <s v="CUST1378"/>
    <x v="2"/>
    <x v="0"/>
    <x v="3"/>
    <x v="0"/>
    <x v="2"/>
    <x v="361"/>
    <x v="0"/>
    <x v="17"/>
    <n v="799.76"/>
    <x v="2"/>
    <x v="4"/>
    <x v="8"/>
    <x v="1"/>
    <x v="4"/>
  </r>
  <r>
    <n v="363"/>
    <x v="362"/>
    <x v="282"/>
    <s v="CUST2581"/>
    <x v="3"/>
    <x v="2"/>
    <x v="6"/>
    <x v="2"/>
    <x v="5"/>
    <x v="362"/>
    <x v="3"/>
    <x v="4"/>
    <n v="656.64"/>
    <x v="0"/>
    <x v="1"/>
    <x v="4"/>
    <x v="0"/>
    <x v="5"/>
  </r>
  <r>
    <n v="364"/>
    <x v="363"/>
    <x v="187"/>
    <s v="CUST8233"/>
    <x v="4"/>
    <x v="1"/>
    <x v="7"/>
    <x v="1"/>
    <x v="2"/>
    <x v="363"/>
    <x v="0"/>
    <x v="30"/>
    <n v="56.11"/>
    <x v="1"/>
    <x v="0"/>
    <x v="4"/>
    <x v="1"/>
    <x v="4"/>
  </r>
  <r>
    <n v="365"/>
    <x v="364"/>
    <x v="166"/>
    <s v="CUST7425"/>
    <x v="4"/>
    <x v="0"/>
    <x v="6"/>
    <x v="3"/>
    <x v="2"/>
    <x v="364"/>
    <x v="0"/>
    <x v="26"/>
    <n v="106.7"/>
    <x v="2"/>
    <x v="1"/>
    <x v="4"/>
    <x v="0"/>
    <x v="2"/>
  </r>
  <r>
    <n v="366"/>
    <x v="365"/>
    <x v="283"/>
    <s v="CUST3262"/>
    <x v="4"/>
    <x v="4"/>
    <x v="7"/>
    <x v="0"/>
    <x v="0"/>
    <x v="365"/>
    <x v="4"/>
    <x v="16"/>
    <n v="203.33"/>
    <x v="1"/>
    <x v="2"/>
    <x v="9"/>
    <x v="1"/>
    <x v="11"/>
  </r>
  <r>
    <n v="367"/>
    <x v="366"/>
    <x v="284"/>
    <s v="CUST6470"/>
    <x v="1"/>
    <x v="0"/>
    <x v="1"/>
    <x v="4"/>
    <x v="4"/>
    <x v="366"/>
    <x v="4"/>
    <x v="17"/>
    <n v="405.13"/>
    <x v="2"/>
    <x v="3"/>
    <x v="9"/>
    <x v="0"/>
    <x v="0"/>
  </r>
  <r>
    <n v="368"/>
    <x v="367"/>
    <x v="68"/>
    <s v="CUST3515"/>
    <x v="3"/>
    <x v="1"/>
    <x v="1"/>
    <x v="4"/>
    <x v="6"/>
    <x v="367"/>
    <x v="2"/>
    <x v="29"/>
    <n v="321.11"/>
    <x v="2"/>
    <x v="4"/>
    <x v="3"/>
    <x v="1"/>
    <x v="1"/>
  </r>
  <r>
    <n v="369"/>
    <x v="368"/>
    <x v="285"/>
    <s v="CUST5500"/>
    <x v="2"/>
    <x v="1"/>
    <x v="6"/>
    <x v="4"/>
    <x v="2"/>
    <x v="368"/>
    <x v="3"/>
    <x v="18"/>
    <n v="54.69"/>
    <x v="2"/>
    <x v="4"/>
    <x v="6"/>
    <x v="1"/>
    <x v="2"/>
  </r>
  <r>
    <n v="370"/>
    <x v="369"/>
    <x v="286"/>
    <s v="CUST2580"/>
    <x v="4"/>
    <x v="5"/>
    <x v="5"/>
    <x v="4"/>
    <x v="8"/>
    <x v="369"/>
    <x v="2"/>
    <x v="18"/>
    <n v="437.86"/>
    <x v="2"/>
    <x v="4"/>
    <x v="2"/>
    <x v="0"/>
    <x v="5"/>
  </r>
  <r>
    <n v="371"/>
    <x v="370"/>
    <x v="287"/>
    <s v="CUST9680"/>
    <x v="4"/>
    <x v="6"/>
    <x v="1"/>
    <x v="4"/>
    <x v="3"/>
    <x v="370"/>
    <x v="2"/>
    <x v="23"/>
    <n v="222.49"/>
    <x v="0"/>
    <x v="2"/>
    <x v="2"/>
    <x v="0"/>
    <x v="7"/>
  </r>
  <r>
    <n v="372"/>
    <x v="371"/>
    <x v="232"/>
    <s v="CUST2558"/>
    <x v="1"/>
    <x v="1"/>
    <x v="2"/>
    <x v="3"/>
    <x v="6"/>
    <x v="371"/>
    <x v="2"/>
    <x v="13"/>
    <n v="420.17"/>
    <x v="2"/>
    <x v="4"/>
    <x v="6"/>
    <x v="0"/>
    <x v="6"/>
  </r>
  <r>
    <n v="373"/>
    <x v="372"/>
    <x v="288"/>
    <s v="CUST7171"/>
    <x v="2"/>
    <x v="5"/>
    <x v="1"/>
    <x v="1"/>
    <x v="8"/>
    <x v="372"/>
    <x v="0"/>
    <x v="29"/>
    <n v="1266.83"/>
    <x v="0"/>
    <x v="0"/>
    <x v="8"/>
    <x v="0"/>
    <x v="8"/>
  </r>
  <r>
    <n v="374"/>
    <x v="373"/>
    <x v="260"/>
    <s v="CUST3028"/>
    <x v="2"/>
    <x v="6"/>
    <x v="3"/>
    <x v="0"/>
    <x v="6"/>
    <x v="373"/>
    <x v="1"/>
    <x v="21"/>
    <n v="171.47"/>
    <x v="2"/>
    <x v="2"/>
    <x v="9"/>
    <x v="1"/>
    <x v="10"/>
  </r>
  <r>
    <n v="375"/>
    <x v="374"/>
    <x v="248"/>
    <s v="CUST9213"/>
    <x v="4"/>
    <x v="4"/>
    <x v="6"/>
    <x v="2"/>
    <x v="4"/>
    <x v="374"/>
    <x v="4"/>
    <x v="5"/>
    <n v="280.95999999999998"/>
    <x v="2"/>
    <x v="0"/>
    <x v="6"/>
    <x v="0"/>
    <x v="3"/>
  </r>
  <r>
    <n v="376"/>
    <x v="375"/>
    <x v="289"/>
    <s v="CUST7268"/>
    <x v="1"/>
    <x v="1"/>
    <x v="1"/>
    <x v="2"/>
    <x v="8"/>
    <x v="375"/>
    <x v="2"/>
    <x v="15"/>
    <n v="321.77999999999997"/>
    <x v="0"/>
    <x v="4"/>
    <x v="8"/>
    <x v="0"/>
    <x v="11"/>
  </r>
  <r>
    <n v="377"/>
    <x v="376"/>
    <x v="290"/>
    <s v="CUST2730"/>
    <x v="3"/>
    <x v="4"/>
    <x v="6"/>
    <x v="4"/>
    <x v="4"/>
    <x v="376"/>
    <x v="1"/>
    <x v="3"/>
    <n v="22.88"/>
    <x v="2"/>
    <x v="2"/>
    <x v="9"/>
    <x v="1"/>
    <x v="8"/>
  </r>
  <r>
    <n v="378"/>
    <x v="377"/>
    <x v="291"/>
    <s v="CUST6560"/>
    <x v="0"/>
    <x v="0"/>
    <x v="3"/>
    <x v="3"/>
    <x v="3"/>
    <x v="377"/>
    <x v="4"/>
    <x v="15"/>
    <n v="220.47"/>
    <x v="0"/>
    <x v="1"/>
    <x v="1"/>
    <x v="0"/>
    <x v="3"/>
  </r>
  <r>
    <n v="379"/>
    <x v="378"/>
    <x v="53"/>
    <s v="CUST2090"/>
    <x v="4"/>
    <x v="1"/>
    <x v="1"/>
    <x v="4"/>
    <x v="8"/>
    <x v="378"/>
    <x v="1"/>
    <x v="11"/>
    <n v="164.49"/>
    <x v="1"/>
    <x v="1"/>
    <x v="8"/>
    <x v="0"/>
    <x v="7"/>
  </r>
  <r>
    <n v="380"/>
    <x v="379"/>
    <x v="292"/>
    <s v="CUST9733"/>
    <x v="1"/>
    <x v="2"/>
    <x v="0"/>
    <x v="4"/>
    <x v="3"/>
    <x v="379"/>
    <x v="1"/>
    <x v="30"/>
    <n v="140.13"/>
    <x v="1"/>
    <x v="4"/>
    <x v="5"/>
    <x v="1"/>
    <x v="11"/>
  </r>
  <r>
    <n v="381"/>
    <x v="380"/>
    <x v="293"/>
    <s v="CUST2072"/>
    <x v="0"/>
    <x v="2"/>
    <x v="3"/>
    <x v="1"/>
    <x v="8"/>
    <x v="380"/>
    <x v="0"/>
    <x v="10"/>
    <n v="447.04"/>
    <x v="2"/>
    <x v="1"/>
    <x v="9"/>
    <x v="0"/>
    <x v="7"/>
  </r>
  <r>
    <n v="382"/>
    <x v="381"/>
    <x v="294"/>
    <s v="CUST8593"/>
    <x v="0"/>
    <x v="3"/>
    <x v="1"/>
    <x v="4"/>
    <x v="1"/>
    <x v="381"/>
    <x v="0"/>
    <x v="15"/>
    <n v="216.36"/>
    <x v="0"/>
    <x v="4"/>
    <x v="8"/>
    <x v="1"/>
    <x v="0"/>
  </r>
  <r>
    <n v="383"/>
    <x v="382"/>
    <x v="295"/>
    <s v="CUST8503"/>
    <x v="2"/>
    <x v="2"/>
    <x v="1"/>
    <x v="3"/>
    <x v="2"/>
    <x v="382"/>
    <x v="1"/>
    <x v="13"/>
    <n v="143.52000000000001"/>
    <x v="0"/>
    <x v="3"/>
    <x v="5"/>
    <x v="1"/>
    <x v="2"/>
  </r>
  <r>
    <n v="384"/>
    <x v="383"/>
    <x v="296"/>
    <s v="CUST9788"/>
    <x v="2"/>
    <x v="0"/>
    <x v="7"/>
    <x v="2"/>
    <x v="1"/>
    <x v="383"/>
    <x v="1"/>
    <x v="5"/>
    <n v="14.06"/>
    <x v="1"/>
    <x v="3"/>
    <x v="7"/>
    <x v="0"/>
    <x v="9"/>
  </r>
  <r>
    <n v="385"/>
    <x v="384"/>
    <x v="152"/>
    <s v="CUST5964"/>
    <x v="2"/>
    <x v="3"/>
    <x v="7"/>
    <x v="4"/>
    <x v="3"/>
    <x v="384"/>
    <x v="2"/>
    <x v="12"/>
    <n v="1207.55"/>
    <x v="2"/>
    <x v="0"/>
    <x v="6"/>
    <x v="1"/>
    <x v="11"/>
  </r>
  <r>
    <n v="386"/>
    <x v="385"/>
    <x v="297"/>
    <s v="CUST9234"/>
    <x v="1"/>
    <x v="1"/>
    <x v="5"/>
    <x v="0"/>
    <x v="4"/>
    <x v="385"/>
    <x v="2"/>
    <x v="25"/>
    <n v="323.58"/>
    <x v="2"/>
    <x v="1"/>
    <x v="8"/>
    <x v="0"/>
    <x v="7"/>
  </r>
  <r>
    <n v="387"/>
    <x v="386"/>
    <x v="298"/>
    <s v="CUST8179"/>
    <x v="1"/>
    <x v="3"/>
    <x v="3"/>
    <x v="2"/>
    <x v="7"/>
    <x v="386"/>
    <x v="3"/>
    <x v="11"/>
    <n v="57.21"/>
    <x v="1"/>
    <x v="4"/>
    <x v="9"/>
    <x v="0"/>
    <x v="1"/>
  </r>
  <r>
    <n v="388"/>
    <x v="387"/>
    <x v="299"/>
    <s v="CUST9075"/>
    <x v="1"/>
    <x v="4"/>
    <x v="6"/>
    <x v="0"/>
    <x v="7"/>
    <x v="387"/>
    <x v="1"/>
    <x v="16"/>
    <n v="171.26"/>
    <x v="2"/>
    <x v="1"/>
    <x v="1"/>
    <x v="1"/>
    <x v="5"/>
  </r>
  <r>
    <n v="389"/>
    <x v="388"/>
    <x v="23"/>
    <s v="CUST5468"/>
    <x v="3"/>
    <x v="6"/>
    <x v="3"/>
    <x v="3"/>
    <x v="4"/>
    <x v="388"/>
    <x v="2"/>
    <x v="12"/>
    <n v="478.02"/>
    <x v="0"/>
    <x v="3"/>
    <x v="3"/>
    <x v="1"/>
    <x v="9"/>
  </r>
  <r>
    <n v="390"/>
    <x v="389"/>
    <x v="300"/>
    <s v="CUST8213"/>
    <x v="0"/>
    <x v="3"/>
    <x v="1"/>
    <x v="3"/>
    <x v="0"/>
    <x v="389"/>
    <x v="4"/>
    <x v="18"/>
    <n v="109.78"/>
    <x v="2"/>
    <x v="3"/>
    <x v="8"/>
    <x v="0"/>
    <x v="3"/>
  </r>
  <r>
    <n v="391"/>
    <x v="390"/>
    <x v="301"/>
    <s v="CUST1110"/>
    <x v="4"/>
    <x v="1"/>
    <x v="4"/>
    <x v="3"/>
    <x v="6"/>
    <x v="390"/>
    <x v="2"/>
    <x v="5"/>
    <n v="401.63"/>
    <x v="0"/>
    <x v="2"/>
    <x v="4"/>
    <x v="0"/>
    <x v="6"/>
  </r>
  <r>
    <n v="392"/>
    <x v="391"/>
    <x v="302"/>
    <s v="CUST7519"/>
    <x v="0"/>
    <x v="1"/>
    <x v="4"/>
    <x v="1"/>
    <x v="7"/>
    <x v="391"/>
    <x v="4"/>
    <x v="29"/>
    <n v="357.63"/>
    <x v="1"/>
    <x v="2"/>
    <x v="9"/>
    <x v="0"/>
    <x v="4"/>
  </r>
  <r>
    <n v="393"/>
    <x v="392"/>
    <x v="303"/>
    <s v="CUST2705"/>
    <x v="4"/>
    <x v="3"/>
    <x v="3"/>
    <x v="1"/>
    <x v="4"/>
    <x v="392"/>
    <x v="4"/>
    <x v="2"/>
    <n v="28.75"/>
    <x v="2"/>
    <x v="3"/>
    <x v="7"/>
    <x v="0"/>
    <x v="9"/>
  </r>
  <r>
    <n v="394"/>
    <x v="393"/>
    <x v="304"/>
    <s v="CUST6814"/>
    <x v="2"/>
    <x v="0"/>
    <x v="7"/>
    <x v="0"/>
    <x v="7"/>
    <x v="393"/>
    <x v="1"/>
    <x v="2"/>
    <n v="59.02"/>
    <x v="0"/>
    <x v="2"/>
    <x v="0"/>
    <x v="1"/>
    <x v="10"/>
  </r>
  <r>
    <n v="395"/>
    <x v="394"/>
    <x v="305"/>
    <s v="CUST3641"/>
    <x v="0"/>
    <x v="0"/>
    <x v="0"/>
    <x v="1"/>
    <x v="2"/>
    <x v="394"/>
    <x v="2"/>
    <x v="27"/>
    <n v="212.41"/>
    <x v="2"/>
    <x v="4"/>
    <x v="7"/>
    <x v="0"/>
    <x v="4"/>
  </r>
  <r>
    <n v="396"/>
    <x v="395"/>
    <x v="306"/>
    <s v="CUST7662"/>
    <x v="3"/>
    <x v="6"/>
    <x v="4"/>
    <x v="2"/>
    <x v="6"/>
    <x v="395"/>
    <x v="3"/>
    <x v="21"/>
    <n v="331.04"/>
    <x v="0"/>
    <x v="0"/>
    <x v="4"/>
    <x v="1"/>
    <x v="8"/>
  </r>
  <r>
    <n v="397"/>
    <x v="396"/>
    <x v="146"/>
    <s v="CUST2619"/>
    <x v="3"/>
    <x v="4"/>
    <x v="2"/>
    <x v="3"/>
    <x v="8"/>
    <x v="396"/>
    <x v="4"/>
    <x v="19"/>
    <n v="110.17"/>
    <x v="1"/>
    <x v="0"/>
    <x v="1"/>
    <x v="0"/>
    <x v="9"/>
  </r>
  <r>
    <n v="398"/>
    <x v="397"/>
    <x v="128"/>
    <s v="CUST8296"/>
    <x v="1"/>
    <x v="1"/>
    <x v="3"/>
    <x v="2"/>
    <x v="8"/>
    <x v="397"/>
    <x v="1"/>
    <x v="9"/>
    <n v="82.2"/>
    <x v="0"/>
    <x v="1"/>
    <x v="0"/>
    <x v="0"/>
    <x v="7"/>
  </r>
  <r>
    <n v="399"/>
    <x v="398"/>
    <x v="307"/>
    <s v="CUST6412"/>
    <x v="0"/>
    <x v="3"/>
    <x v="6"/>
    <x v="1"/>
    <x v="3"/>
    <x v="398"/>
    <x v="0"/>
    <x v="0"/>
    <n v="829.3"/>
    <x v="2"/>
    <x v="0"/>
    <x v="0"/>
    <x v="1"/>
    <x v="9"/>
  </r>
  <r>
    <n v="400"/>
    <x v="399"/>
    <x v="308"/>
    <s v="CUST9797"/>
    <x v="0"/>
    <x v="6"/>
    <x v="3"/>
    <x v="2"/>
    <x v="0"/>
    <x v="399"/>
    <x v="3"/>
    <x v="0"/>
    <n v="557.80999999999995"/>
    <x v="0"/>
    <x v="2"/>
    <x v="0"/>
    <x v="1"/>
    <x v="7"/>
  </r>
  <r>
    <n v="401"/>
    <x v="400"/>
    <x v="309"/>
    <s v="CUST1975"/>
    <x v="4"/>
    <x v="5"/>
    <x v="4"/>
    <x v="1"/>
    <x v="5"/>
    <x v="400"/>
    <x v="2"/>
    <x v="0"/>
    <n v="526.5"/>
    <x v="0"/>
    <x v="2"/>
    <x v="3"/>
    <x v="1"/>
    <x v="10"/>
  </r>
  <r>
    <n v="402"/>
    <x v="401"/>
    <x v="138"/>
    <s v="CUST2234"/>
    <x v="0"/>
    <x v="5"/>
    <x v="0"/>
    <x v="3"/>
    <x v="5"/>
    <x v="401"/>
    <x v="4"/>
    <x v="14"/>
    <n v="211.06"/>
    <x v="0"/>
    <x v="1"/>
    <x v="9"/>
    <x v="0"/>
    <x v="3"/>
  </r>
  <r>
    <n v="403"/>
    <x v="402"/>
    <x v="310"/>
    <s v="CUST5300"/>
    <x v="2"/>
    <x v="6"/>
    <x v="4"/>
    <x v="3"/>
    <x v="6"/>
    <x v="402"/>
    <x v="0"/>
    <x v="2"/>
    <n v="362.89"/>
    <x v="1"/>
    <x v="4"/>
    <x v="1"/>
    <x v="0"/>
    <x v="9"/>
  </r>
  <r>
    <n v="404"/>
    <x v="403"/>
    <x v="119"/>
    <s v="CUST2182"/>
    <x v="3"/>
    <x v="2"/>
    <x v="1"/>
    <x v="3"/>
    <x v="0"/>
    <x v="403"/>
    <x v="2"/>
    <x v="28"/>
    <n v="1169.3900000000001"/>
    <x v="0"/>
    <x v="0"/>
    <x v="3"/>
    <x v="1"/>
    <x v="7"/>
  </r>
  <r>
    <n v="405"/>
    <x v="404"/>
    <x v="311"/>
    <s v="CUST6617"/>
    <x v="1"/>
    <x v="2"/>
    <x v="0"/>
    <x v="1"/>
    <x v="6"/>
    <x v="404"/>
    <x v="0"/>
    <x v="29"/>
    <n v="245.66"/>
    <x v="0"/>
    <x v="1"/>
    <x v="2"/>
    <x v="0"/>
    <x v="5"/>
  </r>
  <r>
    <n v="406"/>
    <x v="405"/>
    <x v="92"/>
    <s v="CUST8317"/>
    <x v="2"/>
    <x v="4"/>
    <x v="4"/>
    <x v="1"/>
    <x v="5"/>
    <x v="405"/>
    <x v="2"/>
    <x v="12"/>
    <n v="497.16"/>
    <x v="1"/>
    <x v="2"/>
    <x v="4"/>
    <x v="1"/>
    <x v="10"/>
  </r>
  <r>
    <n v="407"/>
    <x v="406"/>
    <x v="76"/>
    <s v="CUST7532"/>
    <x v="3"/>
    <x v="6"/>
    <x v="5"/>
    <x v="4"/>
    <x v="6"/>
    <x v="406"/>
    <x v="2"/>
    <x v="1"/>
    <n v="414.73"/>
    <x v="2"/>
    <x v="3"/>
    <x v="5"/>
    <x v="0"/>
    <x v="4"/>
  </r>
  <r>
    <n v="408"/>
    <x v="407"/>
    <x v="312"/>
    <s v="CUST4385"/>
    <x v="4"/>
    <x v="3"/>
    <x v="6"/>
    <x v="1"/>
    <x v="6"/>
    <x v="407"/>
    <x v="2"/>
    <x v="0"/>
    <n v="386.81"/>
    <x v="0"/>
    <x v="0"/>
    <x v="4"/>
    <x v="0"/>
    <x v="5"/>
  </r>
  <r>
    <n v="409"/>
    <x v="408"/>
    <x v="119"/>
    <s v="CUST2762"/>
    <x v="4"/>
    <x v="2"/>
    <x v="0"/>
    <x v="2"/>
    <x v="7"/>
    <x v="408"/>
    <x v="0"/>
    <x v="27"/>
    <n v="302.31"/>
    <x v="2"/>
    <x v="1"/>
    <x v="3"/>
    <x v="1"/>
    <x v="7"/>
  </r>
  <r>
    <n v="410"/>
    <x v="409"/>
    <x v="313"/>
    <s v="CUST8654"/>
    <x v="1"/>
    <x v="4"/>
    <x v="4"/>
    <x v="3"/>
    <x v="2"/>
    <x v="409"/>
    <x v="4"/>
    <x v="1"/>
    <n v="436.61"/>
    <x v="1"/>
    <x v="0"/>
    <x v="8"/>
    <x v="0"/>
    <x v="6"/>
  </r>
  <r>
    <n v="411"/>
    <x v="410"/>
    <x v="304"/>
    <s v="CUST1292"/>
    <x v="1"/>
    <x v="2"/>
    <x v="3"/>
    <x v="2"/>
    <x v="1"/>
    <x v="410"/>
    <x v="4"/>
    <x v="12"/>
    <n v="354.77"/>
    <x v="0"/>
    <x v="4"/>
    <x v="5"/>
    <x v="1"/>
    <x v="10"/>
  </r>
  <r>
    <n v="412"/>
    <x v="411"/>
    <x v="314"/>
    <s v="CUST1131"/>
    <x v="0"/>
    <x v="1"/>
    <x v="2"/>
    <x v="2"/>
    <x v="0"/>
    <x v="411"/>
    <x v="0"/>
    <x v="13"/>
    <n v="259.18"/>
    <x v="1"/>
    <x v="3"/>
    <x v="3"/>
    <x v="1"/>
    <x v="10"/>
  </r>
  <r>
    <n v="413"/>
    <x v="412"/>
    <x v="279"/>
    <s v="CUST3791"/>
    <x v="3"/>
    <x v="2"/>
    <x v="4"/>
    <x v="0"/>
    <x v="7"/>
    <x v="412"/>
    <x v="4"/>
    <x v="23"/>
    <n v="153.99"/>
    <x v="0"/>
    <x v="0"/>
    <x v="5"/>
    <x v="1"/>
    <x v="3"/>
  </r>
  <r>
    <n v="414"/>
    <x v="413"/>
    <x v="258"/>
    <s v="CUST9650"/>
    <x v="1"/>
    <x v="6"/>
    <x v="7"/>
    <x v="4"/>
    <x v="1"/>
    <x v="413"/>
    <x v="3"/>
    <x v="12"/>
    <n v="385.87"/>
    <x v="0"/>
    <x v="1"/>
    <x v="9"/>
    <x v="0"/>
    <x v="11"/>
  </r>
  <r>
    <n v="415"/>
    <x v="414"/>
    <x v="78"/>
    <s v="CUST6978"/>
    <x v="3"/>
    <x v="4"/>
    <x v="2"/>
    <x v="1"/>
    <x v="5"/>
    <x v="414"/>
    <x v="2"/>
    <x v="26"/>
    <n v="270.07"/>
    <x v="2"/>
    <x v="2"/>
    <x v="5"/>
    <x v="1"/>
    <x v="6"/>
  </r>
  <r>
    <n v="416"/>
    <x v="415"/>
    <x v="315"/>
    <s v="CUST4181"/>
    <x v="2"/>
    <x v="6"/>
    <x v="1"/>
    <x v="0"/>
    <x v="2"/>
    <x v="415"/>
    <x v="2"/>
    <x v="27"/>
    <n v="794.47"/>
    <x v="0"/>
    <x v="2"/>
    <x v="2"/>
    <x v="0"/>
    <x v="4"/>
  </r>
  <r>
    <n v="417"/>
    <x v="416"/>
    <x v="220"/>
    <s v="CUST6139"/>
    <x v="2"/>
    <x v="2"/>
    <x v="0"/>
    <x v="2"/>
    <x v="1"/>
    <x v="416"/>
    <x v="2"/>
    <x v="16"/>
    <n v="116.58"/>
    <x v="2"/>
    <x v="2"/>
    <x v="9"/>
    <x v="1"/>
    <x v="3"/>
  </r>
  <r>
    <n v="418"/>
    <x v="417"/>
    <x v="316"/>
    <s v="CUST8200"/>
    <x v="3"/>
    <x v="3"/>
    <x v="6"/>
    <x v="2"/>
    <x v="6"/>
    <x v="417"/>
    <x v="1"/>
    <x v="3"/>
    <n v="83.47"/>
    <x v="1"/>
    <x v="1"/>
    <x v="4"/>
    <x v="1"/>
    <x v="1"/>
  </r>
  <r>
    <n v="419"/>
    <x v="418"/>
    <x v="178"/>
    <s v="CUST5526"/>
    <x v="1"/>
    <x v="3"/>
    <x v="2"/>
    <x v="1"/>
    <x v="3"/>
    <x v="418"/>
    <x v="0"/>
    <x v="26"/>
    <n v="1183.47"/>
    <x v="1"/>
    <x v="2"/>
    <x v="8"/>
    <x v="1"/>
    <x v="6"/>
  </r>
  <r>
    <n v="420"/>
    <x v="419"/>
    <x v="123"/>
    <s v="CUST8248"/>
    <x v="1"/>
    <x v="4"/>
    <x v="1"/>
    <x v="3"/>
    <x v="5"/>
    <x v="419"/>
    <x v="1"/>
    <x v="13"/>
    <n v="48.61"/>
    <x v="0"/>
    <x v="1"/>
    <x v="8"/>
    <x v="0"/>
    <x v="0"/>
  </r>
  <r>
    <n v="421"/>
    <x v="420"/>
    <x v="317"/>
    <s v="CUST7476"/>
    <x v="3"/>
    <x v="0"/>
    <x v="7"/>
    <x v="1"/>
    <x v="1"/>
    <x v="420"/>
    <x v="3"/>
    <x v="23"/>
    <n v="364.88"/>
    <x v="0"/>
    <x v="3"/>
    <x v="9"/>
    <x v="1"/>
    <x v="5"/>
  </r>
  <r>
    <n v="422"/>
    <x v="421"/>
    <x v="318"/>
    <s v="CUST3754"/>
    <x v="4"/>
    <x v="0"/>
    <x v="6"/>
    <x v="0"/>
    <x v="2"/>
    <x v="421"/>
    <x v="3"/>
    <x v="11"/>
    <n v="102.1"/>
    <x v="2"/>
    <x v="0"/>
    <x v="9"/>
    <x v="1"/>
    <x v="8"/>
  </r>
  <r>
    <n v="423"/>
    <x v="422"/>
    <x v="319"/>
    <s v="CUST9651"/>
    <x v="2"/>
    <x v="5"/>
    <x v="5"/>
    <x v="2"/>
    <x v="0"/>
    <x v="422"/>
    <x v="0"/>
    <x v="26"/>
    <n v="874.87"/>
    <x v="2"/>
    <x v="4"/>
    <x v="2"/>
    <x v="0"/>
    <x v="7"/>
  </r>
  <r>
    <n v="424"/>
    <x v="423"/>
    <x v="38"/>
    <s v="CUST4449"/>
    <x v="3"/>
    <x v="2"/>
    <x v="5"/>
    <x v="2"/>
    <x v="1"/>
    <x v="423"/>
    <x v="1"/>
    <x v="18"/>
    <n v="97.39"/>
    <x v="0"/>
    <x v="0"/>
    <x v="8"/>
    <x v="1"/>
    <x v="11"/>
  </r>
  <r>
    <n v="425"/>
    <x v="424"/>
    <x v="173"/>
    <s v="CUST7172"/>
    <x v="1"/>
    <x v="5"/>
    <x v="6"/>
    <x v="4"/>
    <x v="1"/>
    <x v="424"/>
    <x v="4"/>
    <x v="4"/>
    <n v="229.84"/>
    <x v="2"/>
    <x v="4"/>
    <x v="0"/>
    <x v="1"/>
    <x v="1"/>
  </r>
  <r>
    <n v="426"/>
    <x v="425"/>
    <x v="135"/>
    <s v="CUST5707"/>
    <x v="1"/>
    <x v="5"/>
    <x v="1"/>
    <x v="1"/>
    <x v="7"/>
    <x v="425"/>
    <x v="1"/>
    <x v="15"/>
    <n v="149.66999999999999"/>
    <x v="2"/>
    <x v="4"/>
    <x v="9"/>
    <x v="0"/>
    <x v="7"/>
  </r>
  <r>
    <n v="427"/>
    <x v="426"/>
    <x v="168"/>
    <s v="CUST3395"/>
    <x v="3"/>
    <x v="1"/>
    <x v="1"/>
    <x v="0"/>
    <x v="7"/>
    <x v="426"/>
    <x v="4"/>
    <x v="7"/>
    <n v="261.86"/>
    <x v="0"/>
    <x v="1"/>
    <x v="2"/>
    <x v="0"/>
    <x v="1"/>
  </r>
  <r>
    <n v="428"/>
    <x v="427"/>
    <x v="91"/>
    <s v="CUST6268"/>
    <x v="0"/>
    <x v="2"/>
    <x v="7"/>
    <x v="4"/>
    <x v="2"/>
    <x v="427"/>
    <x v="0"/>
    <x v="13"/>
    <n v="641.13"/>
    <x v="1"/>
    <x v="4"/>
    <x v="1"/>
    <x v="0"/>
    <x v="11"/>
  </r>
  <r>
    <n v="429"/>
    <x v="428"/>
    <x v="257"/>
    <s v="CUST4052"/>
    <x v="3"/>
    <x v="0"/>
    <x v="6"/>
    <x v="3"/>
    <x v="0"/>
    <x v="428"/>
    <x v="2"/>
    <x v="17"/>
    <n v="930.03"/>
    <x v="0"/>
    <x v="0"/>
    <x v="4"/>
    <x v="1"/>
    <x v="4"/>
  </r>
  <r>
    <n v="430"/>
    <x v="429"/>
    <x v="320"/>
    <s v="CUST9222"/>
    <x v="2"/>
    <x v="5"/>
    <x v="1"/>
    <x v="4"/>
    <x v="7"/>
    <x v="429"/>
    <x v="3"/>
    <x v="29"/>
    <n v="104.04"/>
    <x v="1"/>
    <x v="3"/>
    <x v="7"/>
    <x v="0"/>
    <x v="4"/>
  </r>
  <r>
    <n v="431"/>
    <x v="430"/>
    <x v="321"/>
    <s v="CUST8982"/>
    <x v="3"/>
    <x v="6"/>
    <x v="6"/>
    <x v="2"/>
    <x v="2"/>
    <x v="430"/>
    <x v="4"/>
    <x v="1"/>
    <n v="178.1"/>
    <x v="0"/>
    <x v="4"/>
    <x v="8"/>
    <x v="1"/>
    <x v="7"/>
  </r>
  <r>
    <n v="432"/>
    <x v="431"/>
    <x v="187"/>
    <s v="CUST9992"/>
    <x v="1"/>
    <x v="3"/>
    <x v="3"/>
    <x v="0"/>
    <x v="1"/>
    <x v="431"/>
    <x v="2"/>
    <x v="24"/>
    <n v="95.9"/>
    <x v="0"/>
    <x v="4"/>
    <x v="1"/>
    <x v="1"/>
    <x v="4"/>
  </r>
  <r>
    <n v="433"/>
    <x v="432"/>
    <x v="322"/>
    <s v="CUST5713"/>
    <x v="3"/>
    <x v="5"/>
    <x v="1"/>
    <x v="2"/>
    <x v="1"/>
    <x v="432"/>
    <x v="1"/>
    <x v="12"/>
    <n v="24.01"/>
    <x v="0"/>
    <x v="2"/>
    <x v="2"/>
    <x v="0"/>
    <x v="1"/>
  </r>
  <r>
    <n v="434"/>
    <x v="433"/>
    <x v="323"/>
    <s v="CUST3652"/>
    <x v="4"/>
    <x v="2"/>
    <x v="6"/>
    <x v="2"/>
    <x v="5"/>
    <x v="433"/>
    <x v="0"/>
    <x v="17"/>
    <n v="566.49"/>
    <x v="0"/>
    <x v="3"/>
    <x v="2"/>
    <x v="1"/>
    <x v="4"/>
  </r>
  <r>
    <n v="435"/>
    <x v="434"/>
    <x v="324"/>
    <s v="CUST4594"/>
    <x v="0"/>
    <x v="3"/>
    <x v="2"/>
    <x v="3"/>
    <x v="8"/>
    <x v="434"/>
    <x v="3"/>
    <x v="24"/>
    <n v="486.21"/>
    <x v="2"/>
    <x v="2"/>
    <x v="2"/>
    <x v="1"/>
    <x v="6"/>
  </r>
  <r>
    <n v="436"/>
    <x v="435"/>
    <x v="102"/>
    <s v="CUST5059"/>
    <x v="0"/>
    <x v="0"/>
    <x v="3"/>
    <x v="4"/>
    <x v="1"/>
    <x v="435"/>
    <x v="4"/>
    <x v="6"/>
    <n v="165.13"/>
    <x v="1"/>
    <x v="0"/>
    <x v="7"/>
    <x v="1"/>
    <x v="9"/>
  </r>
  <r>
    <n v="437"/>
    <x v="436"/>
    <x v="325"/>
    <s v="CUST9133"/>
    <x v="1"/>
    <x v="6"/>
    <x v="1"/>
    <x v="0"/>
    <x v="1"/>
    <x v="436"/>
    <x v="3"/>
    <x v="20"/>
    <n v="450.92"/>
    <x v="0"/>
    <x v="1"/>
    <x v="5"/>
    <x v="1"/>
    <x v="3"/>
  </r>
  <r>
    <n v="438"/>
    <x v="437"/>
    <x v="326"/>
    <s v="CUST4152"/>
    <x v="2"/>
    <x v="1"/>
    <x v="6"/>
    <x v="1"/>
    <x v="4"/>
    <x v="437"/>
    <x v="1"/>
    <x v="4"/>
    <n v="190.24"/>
    <x v="0"/>
    <x v="4"/>
    <x v="2"/>
    <x v="1"/>
    <x v="1"/>
  </r>
  <r>
    <n v="439"/>
    <x v="438"/>
    <x v="327"/>
    <s v="CUST1411"/>
    <x v="1"/>
    <x v="1"/>
    <x v="5"/>
    <x v="4"/>
    <x v="0"/>
    <x v="438"/>
    <x v="1"/>
    <x v="10"/>
    <n v="295.35000000000002"/>
    <x v="2"/>
    <x v="4"/>
    <x v="3"/>
    <x v="1"/>
    <x v="0"/>
  </r>
  <r>
    <n v="440"/>
    <x v="439"/>
    <x v="328"/>
    <s v="CUST6641"/>
    <x v="0"/>
    <x v="1"/>
    <x v="0"/>
    <x v="0"/>
    <x v="5"/>
    <x v="439"/>
    <x v="2"/>
    <x v="29"/>
    <n v="353.52"/>
    <x v="2"/>
    <x v="1"/>
    <x v="3"/>
    <x v="0"/>
    <x v="9"/>
  </r>
  <r>
    <n v="441"/>
    <x v="440"/>
    <x v="54"/>
    <s v="CUST9517"/>
    <x v="1"/>
    <x v="5"/>
    <x v="0"/>
    <x v="1"/>
    <x v="4"/>
    <x v="440"/>
    <x v="0"/>
    <x v="30"/>
    <n v="949.98"/>
    <x v="2"/>
    <x v="1"/>
    <x v="4"/>
    <x v="0"/>
    <x v="9"/>
  </r>
  <r>
    <n v="442"/>
    <x v="441"/>
    <x v="47"/>
    <s v="CUST2953"/>
    <x v="1"/>
    <x v="2"/>
    <x v="0"/>
    <x v="1"/>
    <x v="1"/>
    <x v="441"/>
    <x v="3"/>
    <x v="19"/>
    <n v="438.47"/>
    <x v="1"/>
    <x v="3"/>
    <x v="1"/>
    <x v="0"/>
    <x v="8"/>
  </r>
  <r>
    <n v="443"/>
    <x v="442"/>
    <x v="21"/>
    <s v="CUST3034"/>
    <x v="4"/>
    <x v="3"/>
    <x v="5"/>
    <x v="2"/>
    <x v="0"/>
    <x v="442"/>
    <x v="4"/>
    <x v="1"/>
    <n v="246.27"/>
    <x v="0"/>
    <x v="0"/>
    <x v="0"/>
    <x v="0"/>
    <x v="2"/>
  </r>
  <r>
    <n v="444"/>
    <x v="443"/>
    <x v="121"/>
    <s v="CUST5842"/>
    <x v="2"/>
    <x v="0"/>
    <x v="4"/>
    <x v="1"/>
    <x v="6"/>
    <x v="443"/>
    <x v="4"/>
    <x v="30"/>
    <n v="408.6"/>
    <x v="2"/>
    <x v="0"/>
    <x v="3"/>
    <x v="1"/>
    <x v="3"/>
  </r>
  <r>
    <n v="445"/>
    <x v="444"/>
    <x v="329"/>
    <s v="CUST6073"/>
    <x v="3"/>
    <x v="3"/>
    <x v="1"/>
    <x v="4"/>
    <x v="6"/>
    <x v="444"/>
    <x v="1"/>
    <x v="22"/>
    <n v="139.24"/>
    <x v="0"/>
    <x v="3"/>
    <x v="0"/>
    <x v="1"/>
    <x v="1"/>
  </r>
  <r>
    <n v="446"/>
    <x v="445"/>
    <x v="330"/>
    <s v="CUST9969"/>
    <x v="0"/>
    <x v="3"/>
    <x v="6"/>
    <x v="2"/>
    <x v="2"/>
    <x v="445"/>
    <x v="1"/>
    <x v="23"/>
    <n v="28.98"/>
    <x v="2"/>
    <x v="0"/>
    <x v="3"/>
    <x v="1"/>
    <x v="4"/>
  </r>
  <r>
    <n v="447"/>
    <x v="446"/>
    <x v="215"/>
    <s v="CUST6884"/>
    <x v="1"/>
    <x v="5"/>
    <x v="5"/>
    <x v="2"/>
    <x v="8"/>
    <x v="446"/>
    <x v="4"/>
    <x v="11"/>
    <n v="358.04"/>
    <x v="2"/>
    <x v="0"/>
    <x v="2"/>
    <x v="1"/>
    <x v="8"/>
  </r>
  <r>
    <n v="448"/>
    <x v="447"/>
    <x v="331"/>
    <s v="CUST4444"/>
    <x v="4"/>
    <x v="5"/>
    <x v="3"/>
    <x v="3"/>
    <x v="6"/>
    <x v="447"/>
    <x v="4"/>
    <x v="19"/>
    <n v="504.29"/>
    <x v="1"/>
    <x v="1"/>
    <x v="4"/>
    <x v="1"/>
    <x v="3"/>
  </r>
  <r>
    <n v="449"/>
    <x v="448"/>
    <x v="332"/>
    <s v="CUST3291"/>
    <x v="0"/>
    <x v="0"/>
    <x v="1"/>
    <x v="0"/>
    <x v="0"/>
    <x v="448"/>
    <x v="3"/>
    <x v="23"/>
    <n v="30.13"/>
    <x v="0"/>
    <x v="1"/>
    <x v="6"/>
    <x v="0"/>
    <x v="10"/>
  </r>
  <r>
    <n v="450"/>
    <x v="449"/>
    <x v="333"/>
    <s v="CUST7272"/>
    <x v="2"/>
    <x v="2"/>
    <x v="4"/>
    <x v="1"/>
    <x v="2"/>
    <x v="449"/>
    <x v="4"/>
    <x v="6"/>
    <n v="42.97"/>
    <x v="0"/>
    <x v="1"/>
    <x v="7"/>
    <x v="1"/>
    <x v="7"/>
  </r>
  <r>
    <n v="451"/>
    <x v="450"/>
    <x v="207"/>
    <s v="CUST1157"/>
    <x v="0"/>
    <x v="0"/>
    <x v="7"/>
    <x v="4"/>
    <x v="5"/>
    <x v="450"/>
    <x v="3"/>
    <x v="19"/>
    <n v="469.77"/>
    <x v="0"/>
    <x v="1"/>
    <x v="1"/>
    <x v="0"/>
    <x v="11"/>
  </r>
  <r>
    <n v="452"/>
    <x v="451"/>
    <x v="322"/>
    <s v="CUST1760"/>
    <x v="1"/>
    <x v="5"/>
    <x v="3"/>
    <x v="4"/>
    <x v="3"/>
    <x v="451"/>
    <x v="0"/>
    <x v="3"/>
    <n v="504.35"/>
    <x v="2"/>
    <x v="1"/>
    <x v="3"/>
    <x v="0"/>
    <x v="1"/>
  </r>
  <r>
    <n v="453"/>
    <x v="452"/>
    <x v="334"/>
    <s v="CUST8320"/>
    <x v="3"/>
    <x v="3"/>
    <x v="3"/>
    <x v="3"/>
    <x v="6"/>
    <x v="452"/>
    <x v="3"/>
    <x v="29"/>
    <n v="314.5"/>
    <x v="2"/>
    <x v="3"/>
    <x v="4"/>
    <x v="0"/>
    <x v="11"/>
  </r>
  <r>
    <n v="454"/>
    <x v="453"/>
    <x v="69"/>
    <s v="CUST4763"/>
    <x v="0"/>
    <x v="6"/>
    <x v="6"/>
    <x v="4"/>
    <x v="5"/>
    <x v="453"/>
    <x v="4"/>
    <x v="21"/>
    <n v="258.63"/>
    <x v="2"/>
    <x v="2"/>
    <x v="6"/>
    <x v="1"/>
    <x v="10"/>
  </r>
  <r>
    <n v="455"/>
    <x v="454"/>
    <x v="335"/>
    <s v="CUST8529"/>
    <x v="3"/>
    <x v="6"/>
    <x v="1"/>
    <x v="1"/>
    <x v="8"/>
    <x v="454"/>
    <x v="0"/>
    <x v="6"/>
    <n v="439.54"/>
    <x v="1"/>
    <x v="2"/>
    <x v="7"/>
    <x v="1"/>
    <x v="2"/>
  </r>
  <r>
    <n v="456"/>
    <x v="455"/>
    <x v="122"/>
    <s v="CUST8699"/>
    <x v="2"/>
    <x v="0"/>
    <x v="1"/>
    <x v="1"/>
    <x v="8"/>
    <x v="455"/>
    <x v="3"/>
    <x v="12"/>
    <n v="258.57"/>
    <x v="1"/>
    <x v="3"/>
    <x v="9"/>
    <x v="0"/>
    <x v="7"/>
  </r>
  <r>
    <n v="457"/>
    <x v="456"/>
    <x v="99"/>
    <s v="CUST5898"/>
    <x v="4"/>
    <x v="5"/>
    <x v="0"/>
    <x v="2"/>
    <x v="4"/>
    <x v="456"/>
    <x v="3"/>
    <x v="7"/>
    <n v="178.17"/>
    <x v="2"/>
    <x v="2"/>
    <x v="2"/>
    <x v="1"/>
    <x v="7"/>
  </r>
  <r>
    <n v="458"/>
    <x v="457"/>
    <x v="336"/>
    <s v="CUST5392"/>
    <x v="0"/>
    <x v="6"/>
    <x v="2"/>
    <x v="0"/>
    <x v="7"/>
    <x v="457"/>
    <x v="3"/>
    <x v="10"/>
    <n v="819.13"/>
    <x v="0"/>
    <x v="0"/>
    <x v="9"/>
    <x v="1"/>
    <x v="5"/>
  </r>
  <r>
    <n v="459"/>
    <x v="458"/>
    <x v="68"/>
    <s v="CUST9326"/>
    <x v="3"/>
    <x v="5"/>
    <x v="7"/>
    <x v="2"/>
    <x v="8"/>
    <x v="458"/>
    <x v="0"/>
    <x v="0"/>
    <n v="131.07"/>
    <x v="2"/>
    <x v="4"/>
    <x v="5"/>
    <x v="1"/>
    <x v="1"/>
  </r>
  <r>
    <n v="460"/>
    <x v="459"/>
    <x v="337"/>
    <s v="CUST6134"/>
    <x v="0"/>
    <x v="2"/>
    <x v="1"/>
    <x v="1"/>
    <x v="8"/>
    <x v="459"/>
    <x v="4"/>
    <x v="29"/>
    <n v="148.49"/>
    <x v="2"/>
    <x v="0"/>
    <x v="3"/>
    <x v="1"/>
    <x v="5"/>
  </r>
  <r>
    <n v="461"/>
    <x v="460"/>
    <x v="172"/>
    <s v="CUST3600"/>
    <x v="3"/>
    <x v="3"/>
    <x v="2"/>
    <x v="4"/>
    <x v="6"/>
    <x v="460"/>
    <x v="0"/>
    <x v="16"/>
    <n v="645.41999999999996"/>
    <x v="1"/>
    <x v="4"/>
    <x v="9"/>
    <x v="0"/>
    <x v="0"/>
  </r>
  <r>
    <n v="462"/>
    <x v="461"/>
    <x v="338"/>
    <s v="CUST6756"/>
    <x v="4"/>
    <x v="2"/>
    <x v="1"/>
    <x v="3"/>
    <x v="0"/>
    <x v="461"/>
    <x v="2"/>
    <x v="13"/>
    <n v="566.89"/>
    <x v="0"/>
    <x v="1"/>
    <x v="0"/>
    <x v="0"/>
    <x v="1"/>
  </r>
  <r>
    <n v="463"/>
    <x v="462"/>
    <x v="339"/>
    <s v="CUST1709"/>
    <x v="3"/>
    <x v="6"/>
    <x v="1"/>
    <x v="1"/>
    <x v="7"/>
    <x v="462"/>
    <x v="0"/>
    <x v="11"/>
    <n v="228.41"/>
    <x v="1"/>
    <x v="3"/>
    <x v="0"/>
    <x v="0"/>
    <x v="3"/>
  </r>
  <r>
    <n v="464"/>
    <x v="463"/>
    <x v="340"/>
    <s v="CUST1733"/>
    <x v="4"/>
    <x v="6"/>
    <x v="6"/>
    <x v="2"/>
    <x v="1"/>
    <x v="463"/>
    <x v="2"/>
    <x v="30"/>
    <n v="498.75"/>
    <x v="2"/>
    <x v="3"/>
    <x v="4"/>
    <x v="0"/>
    <x v="3"/>
  </r>
  <r>
    <n v="465"/>
    <x v="464"/>
    <x v="52"/>
    <s v="CUST1107"/>
    <x v="4"/>
    <x v="3"/>
    <x v="7"/>
    <x v="0"/>
    <x v="0"/>
    <x v="464"/>
    <x v="0"/>
    <x v="24"/>
    <n v="298.8"/>
    <x v="2"/>
    <x v="4"/>
    <x v="8"/>
    <x v="0"/>
    <x v="11"/>
  </r>
  <r>
    <n v="466"/>
    <x v="465"/>
    <x v="341"/>
    <s v="CUST2143"/>
    <x v="3"/>
    <x v="0"/>
    <x v="5"/>
    <x v="2"/>
    <x v="7"/>
    <x v="465"/>
    <x v="2"/>
    <x v="8"/>
    <n v="584.63"/>
    <x v="0"/>
    <x v="1"/>
    <x v="8"/>
    <x v="0"/>
    <x v="10"/>
  </r>
  <r>
    <n v="467"/>
    <x v="466"/>
    <x v="342"/>
    <s v="CUST6903"/>
    <x v="4"/>
    <x v="3"/>
    <x v="4"/>
    <x v="2"/>
    <x v="5"/>
    <x v="466"/>
    <x v="4"/>
    <x v="29"/>
    <n v="49.89"/>
    <x v="1"/>
    <x v="4"/>
    <x v="7"/>
    <x v="0"/>
    <x v="2"/>
  </r>
  <r>
    <n v="468"/>
    <x v="467"/>
    <x v="1"/>
    <s v="CUST5632"/>
    <x v="4"/>
    <x v="6"/>
    <x v="0"/>
    <x v="3"/>
    <x v="3"/>
    <x v="467"/>
    <x v="0"/>
    <x v="1"/>
    <n v="1207.29"/>
    <x v="1"/>
    <x v="0"/>
    <x v="1"/>
    <x v="0"/>
    <x v="1"/>
  </r>
  <r>
    <n v="469"/>
    <x v="468"/>
    <x v="233"/>
    <s v="CUST6447"/>
    <x v="0"/>
    <x v="4"/>
    <x v="6"/>
    <x v="1"/>
    <x v="2"/>
    <x v="468"/>
    <x v="1"/>
    <x v="18"/>
    <n v="108.83"/>
    <x v="2"/>
    <x v="4"/>
    <x v="7"/>
    <x v="0"/>
    <x v="0"/>
  </r>
  <r>
    <n v="470"/>
    <x v="469"/>
    <x v="343"/>
    <s v="CUST7242"/>
    <x v="1"/>
    <x v="6"/>
    <x v="7"/>
    <x v="4"/>
    <x v="3"/>
    <x v="469"/>
    <x v="0"/>
    <x v="28"/>
    <n v="819.94"/>
    <x v="2"/>
    <x v="1"/>
    <x v="6"/>
    <x v="0"/>
    <x v="7"/>
  </r>
  <r>
    <n v="471"/>
    <x v="470"/>
    <x v="344"/>
    <s v="CUST7587"/>
    <x v="4"/>
    <x v="6"/>
    <x v="5"/>
    <x v="0"/>
    <x v="6"/>
    <x v="470"/>
    <x v="2"/>
    <x v="17"/>
    <n v="86.15"/>
    <x v="0"/>
    <x v="3"/>
    <x v="0"/>
    <x v="1"/>
    <x v="0"/>
  </r>
  <r>
    <n v="472"/>
    <x v="471"/>
    <x v="34"/>
    <s v="CUST5756"/>
    <x v="2"/>
    <x v="4"/>
    <x v="6"/>
    <x v="0"/>
    <x v="8"/>
    <x v="471"/>
    <x v="3"/>
    <x v="22"/>
    <n v="39.270000000000003"/>
    <x v="2"/>
    <x v="4"/>
    <x v="5"/>
    <x v="1"/>
    <x v="9"/>
  </r>
  <r>
    <n v="473"/>
    <x v="472"/>
    <x v="326"/>
    <s v="CUST7000"/>
    <x v="4"/>
    <x v="5"/>
    <x v="5"/>
    <x v="3"/>
    <x v="6"/>
    <x v="472"/>
    <x v="2"/>
    <x v="4"/>
    <n v="476.44"/>
    <x v="2"/>
    <x v="4"/>
    <x v="8"/>
    <x v="1"/>
    <x v="1"/>
  </r>
  <r>
    <n v="474"/>
    <x v="473"/>
    <x v="345"/>
    <s v="CUST9270"/>
    <x v="2"/>
    <x v="3"/>
    <x v="1"/>
    <x v="2"/>
    <x v="8"/>
    <x v="473"/>
    <x v="0"/>
    <x v="26"/>
    <n v="163.25"/>
    <x v="2"/>
    <x v="2"/>
    <x v="8"/>
    <x v="1"/>
    <x v="6"/>
  </r>
  <r>
    <n v="475"/>
    <x v="474"/>
    <x v="346"/>
    <s v="CUST6818"/>
    <x v="0"/>
    <x v="0"/>
    <x v="5"/>
    <x v="3"/>
    <x v="1"/>
    <x v="474"/>
    <x v="3"/>
    <x v="15"/>
    <n v="121.95"/>
    <x v="0"/>
    <x v="1"/>
    <x v="0"/>
    <x v="1"/>
    <x v="11"/>
  </r>
  <r>
    <n v="476"/>
    <x v="475"/>
    <x v="347"/>
    <s v="CUST9485"/>
    <x v="0"/>
    <x v="5"/>
    <x v="7"/>
    <x v="3"/>
    <x v="1"/>
    <x v="475"/>
    <x v="2"/>
    <x v="1"/>
    <n v="872.98"/>
    <x v="2"/>
    <x v="4"/>
    <x v="7"/>
    <x v="0"/>
    <x v="11"/>
  </r>
  <r>
    <n v="477"/>
    <x v="476"/>
    <x v="348"/>
    <s v="CUST7964"/>
    <x v="2"/>
    <x v="1"/>
    <x v="1"/>
    <x v="3"/>
    <x v="3"/>
    <x v="476"/>
    <x v="2"/>
    <x v="6"/>
    <n v="674.18"/>
    <x v="1"/>
    <x v="2"/>
    <x v="2"/>
    <x v="0"/>
    <x v="4"/>
  </r>
  <r>
    <n v="478"/>
    <x v="477"/>
    <x v="153"/>
    <s v="CUST8205"/>
    <x v="3"/>
    <x v="3"/>
    <x v="3"/>
    <x v="3"/>
    <x v="8"/>
    <x v="477"/>
    <x v="2"/>
    <x v="28"/>
    <n v="641.34"/>
    <x v="0"/>
    <x v="1"/>
    <x v="6"/>
    <x v="0"/>
    <x v="4"/>
  </r>
  <r>
    <n v="479"/>
    <x v="478"/>
    <x v="349"/>
    <s v="CUST5684"/>
    <x v="3"/>
    <x v="3"/>
    <x v="3"/>
    <x v="0"/>
    <x v="1"/>
    <x v="478"/>
    <x v="4"/>
    <x v="26"/>
    <n v="229.07"/>
    <x v="0"/>
    <x v="3"/>
    <x v="2"/>
    <x v="0"/>
    <x v="5"/>
  </r>
  <r>
    <n v="480"/>
    <x v="479"/>
    <x v="87"/>
    <s v="CUST2312"/>
    <x v="4"/>
    <x v="5"/>
    <x v="6"/>
    <x v="3"/>
    <x v="6"/>
    <x v="479"/>
    <x v="4"/>
    <x v="21"/>
    <n v="72.709999999999994"/>
    <x v="0"/>
    <x v="4"/>
    <x v="3"/>
    <x v="1"/>
    <x v="0"/>
  </r>
  <r>
    <n v="481"/>
    <x v="480"/>
    <x v="223"/>
    <s v="CUST9244"/>
    <x v="4"/>
    <x v="5"/>
    <x v="7"/>
    <x v="0"/>
    <x v="8"/>
    <x v="480"/>
    <x v="0"/>
    <x v="27"/>
    <n v="820.79"/>
    <x v="2"/>
    <x v="4"/>
    <x v="1"/>
    <x v="0"/>
    <x v="0"/>
  </r>
  <r>
    <n v="482"/>
    <x v="481"/>
    <x v="350"/>
    <s v="CUST7587"/>
    <x v="3"/>
    <x v="1"/>
    <x v="1"/>
    <x v="3"/>
    <x v="3"/>
    <x v="481"/>
    <x v="1"/>
    <x v="24"/>
    <n v="93.74"/>
    <x v="0"/>
    <x v="3"/>
    <x v="4"/>
    <x v="0"/>
    <x v="4"/>
  </r>
  <r>
    <n v="483"/>
    <x v="482"/>
    <x v="94"/>
    <s v="CUST3237"/>
    <x v="1"/>
    <x v="5"/>
    <x v="0"/>
    <x v="1"/>
    <x v="3"/>
    <x v="482"/>
    <x v="2"/>
    <x v="2"/>
    <n v="36.97"/>
    <x v="2"/>
    <x v="3"/>
    <x v="8"/>
    <x v="0"/>
    <x v="3"/>
  </r>
  <r>
    <n v="484"/>
    <x v="483"/>
    <x v="197"/>
    <s v="CUST3022"/>
    <x v="1"/>
    <x v="0"/>
    <x v="2"/>
    <x v="3"/>
    <x v="1"/>
    <x v="483"/>
    <x v="2"/>
    <x v="12"/>
    <n v="500.26"/>
    <x v="2"/>
    <x v="4"/>
    <x v="6"/>
    <x v="1"/>
    <x v="1"/>
  </r>
  <r>
    <n v="485"/>
    <x v="484"/>
    <x v="192"/>
    <s v="CUST5045"/>
    <x v="0"/>
    <x v="6"/>
    <x v="6"/>
    <x v="0"/>
    <x v="8"/>
    <x v="484"/>
    <x v="4"/>
    <x v="11"/>
    <n v="211.6"/>
    <x v="2"/>
    <x v="3"/>
    <x v="3"/>
    <x v="1"/>
    <x v="3"/>
  </r>
  <r>
    <n v="486"/>
    <x v="485"/>
    <x v="351"/>
    <s v="CUST9370"/>
    <x v="0"/>
    <x v="6"/>
    <x v="4"/>
    <x v="2"/>
    <x v="0"/>
    <x v="485"/>
    <x v="4"/>
    <x v="4"/>
    <n v="115.04"/>
    <x v="2"/>
    <x v="2"/>
    <x v="7"/>
    <x v="0"/>
    <x v="8"/>
  </r>
  <r>
    <n v="487"/>
    <x v="486"/>
    <x v="352"/>
    <s v="CUST2765"/>
    <x v="2"/>
    <x v="3"/>
    <x v="2"/>
    <x v="4"/>
    <x v="3"/>
    <x v="486"/>
    <x v="2"/>
    <x v="24"/>
    <n v="190.89"/>
    <x v="1"/>
    <x v="2"/>
    <x v="9"/>
    <x v="0"/>
    <x v="2"/>
  </r>
  <r>
    <n v="488"/>
    <x v="487"/>
    <x v="88"/>
    <s v="CUST9395"/>
    <x v="4"/>
    <x v="1"/>
    <x v="0"/>
    <x v="1"/>
    <x v="0"/>
    <x v="487"/>
    <x v="4"/>
    <x v="26"/>
    <n v="83.28"/>
    <x v="2"/>
    <x v="3"/>
    <x v="3"/>
    <x v="0"/>
    <x v="1"/>
  </r>
  <r>
    <n v="489"/>
    <x v="488"/>
    <x v="65"/>
    <s v="CUST9310"/>
    <x v="0"/>
    <x v="2"/>
    <x v="1"/>
    <x v="2"/>
    <x v="3"/>
    <x v="488"/>
    <x v="1"/>
    <x v="4"/>
    <n v="103.14"/>
    <x v="0"/>
    <x v="0"/>
    <x v="0"/>
    <x v="0"/>
    <x v="4"/>
  </r>
  <r>
    <n v="490"/>
    <x v="489"/>
    <x v="286"/>
    <s v="CUST7141"/>
    <x v="3"/>
    <x v="4"/>
    <x v="0"/>
    <x v="3"/>
    <x v="2"/>
    <x v="489"/>
    <x v="1"/>
    <x v="21"/>
    <n v="9.3699999999999992"/>
    <x v="1"/>
    <x v="2"/>
    <x v="2"/>
    <x v="0"/>
    <x v="5"/>
  </r>
  <r>
    <n v="491"/>
    <x v="490"/>
    <x v="249"/>
    <s v="CUST7820"/>
    <x v="4"/>
    <x v="0"/>
    <x v="2"/>
    <x v="4"/>
    <x v="7"/>
    <x v="490"/>
    <x v="0"/>
    <x v="3"/>
    <n v="928.36"/>
    <x v="1"/>
    <x v="2"/>
    <x v="6"/>
    <x v="1"/>
    <x v="2"/>
  </r>
  <r>
    <n v="492"/>
    <x v="491"/>
    <x v="353"/>
    <s v="CUST1646"/>
    <x v="3"/>
    <x v="1"/>
    <x v="1"/>
    <x v="4"/>
    <x v="2"/>
    <x v="491"/>
    <x v="0"/>
    <x v="11"/>
    <n v="183.93"/>
    <x v="2"/>
    <x v="0"/>
    <x v="9"/>
    <x v="0"/>
    <x v="6"/>
  </r>
  <r>
    <n v="493"/>
    <x v="492"/>
    <x v="161"/>
    <s v="CUST4757"/>
    <x v="1"/>
    <x v="1"/>
    <x v="4"/>
    <x v="3"/>
    <x v="4"/>
    <x v="492"/>
    <x v="2"/>
    <x v="27"/>
    <n v="1261.8499999999999"/>
    <x v="2"/>
    <x v="2"/>
    <x v="6"/>
    <x v="1"/>
    <x v="5"/>
  </r>
  <r>
    <n v="494"/>
    <x v="493"/>
    <x v="99"/>
    <s v="CUST2831"/>
    <x v="1"/>
    <x v="5"/>
    <x v="0"/>
    <x v="0"/>
    <x v="5"/>
    <x v="493"/>
    <x v="3"/>
    <x v="23"/>
    <n v="343.03"/>
    <x v="1"/>
    <x v="1"/>
    <x v="8"/>
    <x v="1"/>
    <x v="7"/>
  </r>
  <r>
    <n v="495"/>
    <x v="494"/>
    <x v="354"/>
    <s v="CUST3777"/>
    <x v="3"/>
    <x v="1"/>
    <x v="5"/>
    <x v="1"/>
    <x v="3"/>
    <x v="494"/>
    <x v="0"/>
    <x v="28"/>
    <n v="516.79999999999995"/>
    <x v="1"/>
    <x v="0"/>
    <x v="3"/>
    <x v="1"/>
    <x v="9"/>
  </r>
  <r>
    <n v="496"/>
    <x v="495"/>
    <x v="355"/>
    <s v="CUST1122"/>
    <x v="0"/>
    <x v="5"/>
    <x v="6"/>
    <x v="3"/>
    <x v="6"/>
    <x v="495"/>
    <x v="2"/>
    <x v="26"/>
    <n v="40.26"/>
    <x v="0"/>
    <x v="0"/>
    <x v="1"/>
    <x v="1"/>
    <x v="3"/>
  </r>
  <r>
    <n v="497"/>
    <x v="496"/>
    <x v="356"/>
    <s v="CUST7638"/>
    <x v="2"/>
    <x v="6"/>
    <x v="6"/>
    <x v="3"/>
    <x v="4"/>
    <x v="496"/>
    <x v="3"/>
    <x v="15"/>
    <n v="342.09"/>
    <x v="1"/>
    <x v="1"/>
    <x v="4"/>
    <x v="1"/>
    <x v="8"/>
  </r>
  <r>
    <n v="498"/>
    <x v="497"/>
    <x v="207"/>
    <s v="CUST4857"/>
    <x v="4"/>
    <x v="1"/>
    <x v="7"/>
    <x v="2"/>
    <x v="4"/>
    <x v="497"/>
    <x v="4"/>
    <x v="29"/>
    <n v="191.1"/>
    <x v="0"/>
    <x v="2"/>
    <x v="5"/>
    <x v="0"/>
    <x v="11"/>
  </r>
  <r>
    <n v="499"/>
    <x v="498"/>
    <x v="357"/>
    <s v="CUST6054"/>
    <x v="4"/>
    <x v="4"/>
    <x v="1"/>
    <x v="4"/>
    <x v="1"/>
    <x v="498"/>
    <x v="1"/>
    <x v="26"/>
    <n v="163.28"/>
    <x v="1"/>
    <x v="3"/>
    <x v="6"/>
    <x v="0"/>
    <x v="8"/>
  </r>
  <r>
    <n v="500"/>
    <x v="499"/>
    <x v="358"/>
    <s v="CUST9188"/>
    <x v="3"/>
    <x v="1"/>
    <x v="4"/>
    <x v="1"/>
    <x v="7"/>
    <x v="499"/>
    <x v="1"/>
    <x v="20"/>
    <n v="240.31"/>
    <x v="0"/>
    <x v="4"/>
    <x v="5"/>
    <x v="0"/>
    <x v="2"/>
  </r>
  <r>
    <n v="501"/>
    <x v="500"/>
    <x v="359"/>
    <s v="CUST2996"/>
    <x v="3"/>
    <x v="6"/>
    <x v="2"/>
    <x v="3"/>
    <x v="0"/>
    <x v="500"/>
    <x v="1"/>
    <x v="15"/>
    <n v="19.62"/>
    <x v="2"/>
    <x v="0"/>
    <x v="5"/>
    <x v="0"/>
    <x v="9"/>
  </r>
  <r>
    <n v="502"/>
    <x v="501"/>
    <x v="360"/>
    <s v="CUST3904"/>
    <x v="1"/>
    <x v="3"/>
    <x v="0"/>
    <x v="1"/>
    <x v="6"/>
    <x v="501"/>
    <x v="3"/>
    <x v="24"/>
    <n v="551.75"/>
    <x v="2"/>
    <x v="3"/>
    <x v="6"/>
    <x v="1"/>
    <x v="8"/>
  </r>
  <r>
    <n v="503"/>
    <x v="502"/>
    <x v="361"/>
    <s v="CUST4744"/>
    <x v="0"/>
    <x v="3"/>
    <x v="6"/>
    <x v="2"/>
    <x v="8"/>
    <x v="502"/>
    <x v="1"/>
    <x v="19"/>
    <n v="33.1"/>
    <x v="1"/>
    <x v="4"/>
    <x v="2"/>
    <x v="0"/>
    <x v="9"/>
  </r>
  <r>
    <n v="504"/>
    <x v="503"/>
    <x v="46"/>
    <s v="CUST7938"/>
    <x v="3"/>
    <x v="4"/>
    <x v="0"/>
    <x v="0"/>
    <x v="8"/>
    <x v="503"/>
    <x v="4"/>
    <x v="24"/>
    <n v="63.37"/>
    <x v="2"/>
    <x v="1"/>
    <x v="5"/>
    <x v="0"/>
    <x v="10"/>
  </r>
  <r>
    <n v="505"/>
    <x v="504"/>
    <x v="362"/>
    <s v="CUST3716"/>
    <x v="1"/>
    <x v="0"/>
    <x v="2"/>
    <x v="4"/>
    <x v="8"/>
    <x v="504"/>
    <x v="4"/>
    <x v="0"/>
    <n v="26.88"/>
    <x v="0"/>
    <x v="0"/>
    <x v="6"/>
    <x v="0"/>
    <x v="9"/>
  </r>
  <r>
    <n v="506"/>
    <x v="505"/>
    <x v="44"/>
    <s v="CUST6571"/>
    <x v="2"/>
    <x v="2"/>
    <x v="6"/>
    <x v="4"/>
    <x v="8"/>
    <x v="505"/>
    <x v="4"/>
    <x v="27"/>
    <n v="225.69"/>
    <x v="0"/>
    <x v="1"/>
    <x v="1"/>
    <x v="1"/>
    <x v="3"/>
  </r>
  <r>
    <n v="507"/>
    <x v="506"/>
    <x v="345"/>
    <s v="CUST6050"/>
    <x v="1"/>
    <x v="0"/>
    <x v="3"/>
    <x v="4"/>
    <x v="2"/>
    <x v="506"/>
    <x v="1"/>
    <x v="10"/>
    <n v="154.16"/>
    <x v="2"/>
    <x v="0"/>
    <x v="8"/>
    <x v="1"/>
    <x v="6"/>
  </r>
  <r>
    <n v="508"/>
    <x v="507"/>
    <x v="219"/>
    <s v="CUST9884"/>
    <x v="4"/>
    <x v="5"/>
    <x v="3"/>
    <x v="2"/>
    <x v="6"/>
    <x v="507"/>
    <x v="3"/>
    <x v="16"/>
    <n v="433.98"/>
    <x v="2"/>
    <x v="3"/>
    <x v="0"/>
    <x v="1"/>
    <x v="9"/>
  </r>
  <r>
    <n v="509"/>
    <x v="508"/>
    <x v="363"/>
    <s v="CUST7086"/>
    <x v="0"/>
    <x v="6"/>
    <x v="3"/>
    <x v="1"/>
    <x v="4"/>
    <x v="508"/>
    <x v="3"/>
    <x v="14"/>
    <n v="511.65"/>
    <x v="1"/>
    <x v="0"/>
    <x v="6"/>
    <x v="0"/>
    <x v="6"/>
  </r>
  <r>
    <n v="510"/>
    <x v="509"/>
    <x v="364"/>
    <s v="CUST1482"/>
    <x v="3"/>
    <x v="3"/>
    <x v="1"/>
    <x v="3"/>
    <x v="8"/>
    <x v="509"/>
    <x v="1"/>
    <x v="11"/>
    <n v="115.09"/>
    <x v="1"/>
    <x v="0"/>
    <x v="3"/>
    <x v="1"/>
    <x v="6"/>
  </r>
  <r>
    <n v="511"/>
    <x v="510"/>
    <x v="266"/>
    <s v="CUST2363"/>
    <x v="4"/>
    <x v="2"/>
    <x v="2"/>
    <x v="1"/>
    <x v="4"/>
    <x v="510"/>
    <x v="3"/>
    <x v="5"/>
    <n v="616.6"/>
    <x v="1"/>
    <x v="2"/>
    <x v="3"/>
    <x v="0"/>
    <x v="1"/>
  </r>
  <r>
    <n v="512"/>
    <x v="511"/>
    <x v="365"/>
    <s v="CUST3572"/>
    <x v="2"/>
    <x v="5"/>
    <x v="1"/>
    <x v="1"/>
    <x v="3"/>
    <x v="511"/>
    <x v="4"/>
    <x v="20"/>
    <n v="26.24"/>
    <x v="0"/>
    <x v="0"/>
    <x v="0"/>
    <x v="0"/>
    <x v="3"/>
  </r>
  <r>
    <n v="513"/>
    <x v="512"/>
    <x v="269"/>
    <s v="CUST7121"/>
    <x v="2"/>
    <x v="3"/>
    <x v="6"/>
    <x v="3"/>
    <x v="6"/>
    <x v="512"/>
    <x v="1"/>
    <x v="17"/>
    <n v="242.49"/>
    <x v="1"/>
    <x v="0"/>
    <x v="0"/>
    <x v="0"/>
    <x v="10"/>
  </r>
  <r>
    <n v="514"/>
    <x v="513"/>
    <x v="366"/>
    <s v="CUST7286"/>
    <x v="0"/>
    <x v="5"/>
    <x v="1"/>
    <x v="3"/>
    <x v="6"/>
    <x v="513"/>
    <x v="2"/>
    <x v="14"/>
    <n v="1050.31"/>
    <x v="1"/>
    <x v="2"/>
    <x v="5"/>
    <x v="1"/>
    <x v="11"/>
  </r>
  <r>
    <n v="515"/>
    <x v="514"/>
    <x v="262"/>
    <s v="CUST7427"/>
    <x v="4"/>
    <x v="2"/>
    <x v="2"/>
    <x v="2"/>
    <x v="0"/>
    <x v="514"/>
    <x v="2"/>
    <x v="0"/>
    <n v="123.98"/>
    <x v="1"/>
    <x v="0"/>
    <x v="8"/>
    <x v="0"/>
    <x v="8"/>
  </r>
  <r>
    <n v="516"/>
    <x v="515"/>
    <x v="323"/>
    <s v="CUST6421"/>
    <x v="4"/>
    <x v="2"/>
    <x v="1"/>
    <x v="4"/>
    <x v="7"/>
    <x v="515"/>
    <x v="1"/>
    <x v="24"/>
    <n v="70.83"/>
    <x v="0"/>
    <x v="1"/>
    <x v="7"/>
    <x v="1"/>
    <x v="4"/>
  </r>
  <r>
    <n v="517"/>
    <x v="516"/>
    <x v="367"/>
    <s v="CUST9280"/>
    <x v="0"/>
    <x v="0"/>
    <x v="5"/>
    <x v="4"/>
    <x v="3"/>
    <x v="516"/>
    <x v="4"/>
    <x v="24"/>
    <n v="591.22"/>
    <x v="1"/>
    <x v="2"/>
    <x v="0"/>
    <x v="0"/>
    <x v="8"/>
  </r>
  <r>
    <n v="518"/>
    <x v="517"/>
    <x v="368"/>
    <s v="CUST1716"/>
    <x v="1"/>
    <x v="2"/>
    <x v="1"/>
    <x v="0"/>
    <x v="1"/>
    <x v="517"/>
    <x v="1"/>
    <x v="28"/>
    <n v="53.35"/>
    <x v="1"/>
    <x v="3"/>
    <x v="0"/>
    <x v="1"/>
    <x v="1"/>
  </r>
  <r>
    <n v="519"/>
    <x v="518"/>
    <x v="369"/>
    <s v="CUST2362"/>
    <x v="1"/>
    <x v="1"/>
    <x v="7"/>
    <x v="0"/>
    <x v="5"/>
    <x v="518"/>
    <x v="2"/>
    <x v="14"/>
    <n v="490.72"/>
    <x v="0"/>
    <x v="4"/>
    <x v="0"/>
    <x v="1"/>
    <x v="0"/>
  </r>
  <r>
    <n v="520"/>
    <x v="519"/>
    <x v="370"/>
    <s v="CUST2482"/>
    <x v="0"/>
    <x v="1"/>
    <x v="7"/>
    <x v="2"/>
    <x v="7"/>
    <x v="519"/>
    <x v="1"/>
    <x v="3"/>
    <n v="88.6"/>
    <x v="1"/>
    <x v="1"/>
    <x v="1"/>
    <x v="0"/>
    <x v="0"/>
  </r>
  <r>
    <n v="521"/>
    <x v="520"/>
    <x v="371"/>
    <s v="CUST6479"/>
    <x v="4"/>
    <x v="2"/>
    <x v="1"/>
    <x v="3"/>
    <x v="0"/>
    <x v="520"/>
    <x v="4"/>
    <x v="13"/>
    <n v="622.4"/>
    <x v="1"/>
    <x v="1"/>
    <x v="9"/>
    <x v="0"/>
    <x v="4"/>
  </r>
  <r>
    <n v="522"/>
    <x v="521"/>
    <x v="372"/>
    <s v="CUST2313"/>
    <x v="0"/>
    <x v="6"/>
    <x v="3"/>
    <x v="0"/>
    <x v="3"/>
    <x v="521"/>
    <x v="1"/>
    <x v="15"/>
    <n v="55.57"/>
    <x v="1"/>
    <x v="1"/>
    <x v="1"/>
    <x v="0"/>
    <x v="1"/>
  </r>
  <r>
    <n v="523"/>
    <x v="522"/>
    <x v="273"/>
    <s v="CUST7055"/>
    <x v="0"/>
    <x v="5"/>
    <x v="0"/>
    <x v="2"/>
    <x v="1"/>
    <x v="522"/>
    <x v="0"/>
    <x v="11"/>
    <n v="1047.55"/>
    <x v="1"/>
    <x v="2"/>
    <x v="3"/>
    <x v="0"/>
    <x v="2"/>
  </r>
  <r>
    <n v="524"/>
    <x v="523"/>
    <x v="63"/>
    <s v="CUST8410"/>
    <x v="1"/>
    <x v="4"/>
    <x v="2"/>
    <x v="1"/>
    <x v="1"/>
    <x v="523"/>
    <x v="2"/>
    <x v="11"/>
    <n v="161.80000000000001"/>
    <x v="0"/>
    <x v="0"/>
    <x v="7"/>
    <x v="0"/>
    <x v="4"/>
  </r>
  <r>
    <n v="525"/>
    <x v="524"/>
    <x v="373"/>
    <s v="CUST6866"/>
    <x v="1"/>
    <x v="2"/>
    <x v="6"/>
    <x v="2"/>
    <x v="7"/>
    <x v="524"/>
    <x v="2"/>
    <x v="28"/>
    <n v="1116.94"/>
    <x v="1"/>
    <x v="1"/>
    <x v="7"/>
    <x v="1"/>
    <x v="1"/>
  </r>
  <r>
    <n v="526"/>
    <x v="525"/>
    <x v="153"/>
    <s v="CUST8909"/>
    <x v="1"/>
    <x v="3"/>
    <x v="3"/>
    <x v="4"/>
    <x v="3"/>
    <x v="525"/>
    <x v="2"/>
    <x v="18"/>
    <n v="64.760000000000005"/>
    <x v="2"/>
    <x v="2"/>
    <x v="1"/>
    <x v="0"/>
    <x v="4"/>
  </r>
  <r>
    <n v="527"/>
    <x v="526"/>
    <x v="374"/>
    <s v="CUST5051"/>
    <x v="3"/>
    <x v="2"/>
    <x v="6"/>
    <x v="2"/>
    <x v="7"/>
    <x v="526"/>
    <x v="3"/>
    <x v="16"/>
    <n v="174.69"/>
    <x v="0"/>
    <x v="2"/>
    <x v="7"/>
    <x v="0"/>
    <x v="11"/>
  </r>
  <r>
    <n v="528"/>
    <x v="527"/>
    <x v="375"/>
    <s v="CUST7895"/>
    <x v="3"/>
    <x v="2"/>
    <x v="3"/>
    <x v="0"/>
    <x v="6"/>
    <x v="527"/>
    <x v="2"/>
    <x v="24"/>
    <n v="854.45"/>
    <x v="1"/>
    <x v="1"/>
    <x v="2"/>
    <x v="0"/>
    <x v="3"/>
  </r>
  <r>
    <n v="529"/>
    <x v="528"/>
    <x v="376"/>
    <s v="CUST4560"/>
    <x v="0"/>
    <x v="6"/>
    <x v="3"/>
    <x v="2"/>
    <x v="3"/>
    <x v="528"/>
    <x v="1"/>
    <x v="23"/>
    <n v="90.67"/>
    <x v="0"/>
    <x v="2"/>
    <x v="3"/>
    <x v="0"/>
    <x v="1"/>
  </r>
  <r>
    <n v="530"/>
    <x v="529"/>
    <x v="377"/>
    <s v="CUST7718"/>
    <x v="4"/>
    <x v="2"/>
    <x v="6"/>
    <x v="0"/>
    <x v="6"/>
    <x v="529"/>
    <x v="3"/>
    <x v="27"/>
    <n v="595.49"/>
    <x v="2"/>
    <x v="0"/>
    <x v="1"/>
    <x v="0"/>
    <x v="9"/>
  </r>
  <r>
    <n v="531"/>
    <x v="530"/>
    <x v="378"/>
    <s v="CUST6072"/>
    <x v="4"/>
    <x v="0"/>
    <x v="5"/>
    <x v="1"/>
    <x v="8"/>
    <x v="530"/>
    <x v="0"/>
    <x v="30"/>
    <n v="858.28"/>
    <x v="2"/>
    <x v="2"/>
    <x v="7"/>
    <x v="0"/>
    <x v="3"/>
  </r>
  <r>
    <n v="532"/>
    <x v="531"/>
    <x v="379"/>
    <s v="CUST1013"/>
    <x v="4"/>
    <x v="6"/>
    <x v="2"/>
    <x v="0"/>
    <x v="1"/>
    <x v="531"/>
    <x v="1"/>
    <x v="19"/>
    <n v="64.44"/>
    <x v="1"/>
    <x v="0"/>
    <x v="2"/>
    <x v="0"/>
    <x v="9"/>
  </r>
  <r>
    <n v="533"/>
    <x v="532"/>
    <x v="225"/>
    <s v="CUST1872"/>
    <x v="3"/>
    <x v="4"/>
    <x v="2"/>
    <x v="2"/>
    <x v="6"/>
    <x v="532"/>
    <x v="0"/>
    <x v="16"/>
    <n v="172.37"/>
    <x v="2"/>
    <x v="2"/>
    <x v="3"/>
    <x v="1"/>
    <x v="2"/>
  </r>
  <r>
    <n v="534"/>
    <x v="533"/>
    <x v="68"/>
    <s v="CUST8248"/>
    <x v="4"/>
    <x v="2"/>
    <x v="5"/>
    <x v="4"/>
    <x v="4"/>
    <x v="533"/>
    <x v="1"/>
    <x v="28"/>
    <n v="14.81"/>
    <x v="1"/>
    <x v="3"/>
    <x v="9"/>
    <x v="1"/>
    <x v="1"/>
  </r>
  <r>
    <n v="535"/>
    <x v="534"/>
    <x v="354"/>
    <s v="CUST1902"/>
    <x v="4"/>
    <x v="1"/>
    <x v="0"/>
    <x v="1"/>
    <x v="3"/>
    <x v="534"/>
    <x v="1"/>
    <x v="4"/>
    <n v="175.04"/>
    <x v="2"/>
    <x v="2"/>
    <x v="8"/>
    <x v="1"/>
    <x v="9"/>
  </r>
  <r>
    <n v="536"/>
    <x v="535"/>
    <x v="79"/>
    <s v="CUST8524"/>
    <x v="3"/>
    <x v="5"/>
    <x v="1"/>
    <x v="2"/>
    <x v="3"/>
    <x v="535"/>
    <x v="2"/>
    <x v="7"/>
    <n v="1208.21"/>
    <x v="1"/>
    <x v="2"/>
    <x v="2"/>
    <x v="1"/>
    <x v="8"/>
  </r>
  <r>
    <n v="537"/>
    <x v="536"/>
    <x v="380"/>
    <s v="CUST1702"/>
    <x v="1"/>
    <x v="5"/>
    <x v="3"/>
    <x v="2"/>
    <x v="7"/>
    <x v="536"/>
    <x v="2"/>
    <x v="0"/>
    <n v="428.9"/>
    <x v="2"/>
    <x v="3"/>
    <x v="2"/>
    <x v="0"/>
    <x v="7"/>
  </r>
  <r>
    <n v="538"/>
    <x v="537"/>
    <x v="187"/>
    <s v="CUST9949"/>
    <x v="0"/>
    <x v="3"/>
    <x v="0"/>
    <x v="2"/>
    <x v="5"/>
    <x v="537"/>
    <x v="2"/>
    <x v="25"/>
    <n v="607.11"/>
    <x v="1"/>
    <x v="3"/>
    <x v="9"/>
    <x v="1"/>
    <x v="4"/>
  </r>
  <r>
    <n v="539"/>
    <x v="538"/>
    <x v="381"/>
    <s v="CUST2257"/>
    <x v="2"/>
    <x v="1"/>
    <x v="5"/>
    <x v="0"/>
    <x v="4"/>
    <x v="538"/>
    <x v="3"/>
    <x v="17"/>
    <n v="329.58"/>
    <x v="0"/>
    <x v="4"/>
    <x v="9"/>
    <x v="0"/>
    <x v="4"/>
  </r>
  <r>
    <n v="540"/>
    <x v="539"/>
    <x v="68"/>
    <s v="CUST3914"/>
    <x v="0"/>
    <x v="6"/>
    <x v="3"/>
    <x v="1"/>
    <x v="4"/>
    <x v="539"/>
    <x v="1"/>
    <x v="20"/>
    <n v="187.64"/>
    <x v="1"/>
    <x v="4"/>
    <x v="6"/>
    <x v="1"/>
    <x v="1"/>
  </r>
  <r>
    <n v="541"/>
    <x v="540"/>
    <x v="36"/>
    <s v="CUST6080"/>
    <x v="4"/>
    <x v="2"/>
    <x v="3"/>
    <x v="2"/>
    <x v="7"/>
    <x v="540"/>
    <x v="2"/>
    <x v="29"/>
    <n v="94.03"/>
    <x v="1"/>
    <x v="2"/>
    <x v="9"/>
    <x v="1"/>
    <x v="4"/>
  </r>
  <r>
    <n v="542"/>
    <x v="541"/>
    <x v="382"/>
    <s v="CUST7121"/>
    <x v="1"/>
    <x v="5"/>
    <x v="7"/>
    <x v="4"/>
    <x v="8"/>
    <x v="541"/>
    <x v="0"/>
    <x v="9"/>
    <n v="198.92"/>
    <x v="0"/>
    <x v="2"/>
    <x v="5"/>
    <x v="0"/>
    <x v="0"/>
  </r>
  <r>
    <n v="543"/>
    <x v="542"/>
    <x v="1"/>
    <s v="CUST9300"/>
    <x v="2"/>
    <x v="6"/>
    <x v="5"/>
    <x v="0"/>
    <x v="4"/>
    <x v="542"/>
    <x v="0"/>
    <x v="21"/>
    <n v="1167.96"/>
    <x v="1"/>
    <x v="3"/>
    <x v="7"/>
    <x v="0"/>
    <x v="1"/>
  </r>
  <r>
    <n v="544"/>
    <x v="543"/>
    <x v="383"/>
    <s v="CUST2799"/>
    <x v="3"/>
    <x v="6"/>
    <x v="3"/>
    <x v="4"/>
    <x v="8"/>
    <x v="543"/>
    <x v="0"/>
    <x v="20"/>
    <n v="844.5"/>
    <x v="2"/>
    <x v="4"/>
    <x v="4"/>
    <x v="0"/>
    <x v="9"/>
  </r>
  <r>
    <n v="545"/>
    <x v="544"/>
    <x v="180"/>
    <s v="CUST4602"/>
    <x v="1"/>
    <x v="3"/>
    <x v="0"/>
    <x v="1"/>
    <x v="4"/>
    <x v="544"/>
    <x v="4"/>
    <x v="30"/>
    <n v="366.2"/>
    <x v="2"/>
    <x v="4"/>
    <x v="5"/>
    <x v="0"/>
    <x v="1"/>
  </r>
  <r>
    <n v="546"/>
    <x v="545"/>
    <x v="120"/>
    <s v="CUST6755"/>
    <x v="0"/>
    <x v="2"/>
    <x v="4"/>
    <x v="0"/>
    <x v="4"/>
    <x v="545"/>
    <x v="0"/>
    <x v="22"/>
    <n v="704.92"/>
    <x v="2"/>
    <x v="1"/>
    <x v="3"/>
    <x v="1"/>
    <x v="10"/>
  </r>
  <r>
    <n v="547"/>
    <x v="546"/>
    <x v="384"/>
    <s v="CUST7666"/>
    <x v="2"/>
    <x v="5"/>
    <x v="5"/>
    <x v="3"/>
    <x v="1"/>
    <x v="546"/>
    <x v="2"/>
    <x v="0"/>
    <n v="927.1"/>
    <x v="2"/>
    <x v="0"/>
    <x v="5"/>
    <x v="1"/>
    <x v="4"/>
  </r>
  <r>
    <n v="548"/>
    <x v="547"/>
    <x v="110"/>
    <s v="CUST9583"/>
    <x v="4"/>
    <x v="1"/>
    <x v="3"/>
    <x v="0"/>
    <x v="7"/>
    <x v="547"/>
    <x v="3"/>
    <x v="11"/>
    <n v="412.95"/>
    <x v="2"/>
    <x v="2"/>
    <x v="7"/>
    <x v="0"/>
    <x v="1"/>
  </r>
  <r>
    <n v="549"/>
    <x v="548"/>
    <x v="183"/>
    <s v="CUST6777"/>
    <x v="2"/>
    <x v="3"/>
    <x v="3"/>
    <x v="3"/>
    <x v="7"/>
    <x v="548"/>
    <x v="2"/>
    <x v="16"/>
    <n v="560.20000000000005"/>
    <x v="0"/>
    <x v="0"/>
    <x v="3"/>
    <x v="1"/>
    <x v="10"/>
  </r>
  <r>
    <n v="550"/>
    <x v="549"/>
    <x v="385"/>
    <s v="CUST3573"/>
    <x v="3"/>
    <x v="2"/>
    <x v="7"/>
    <x v="0"/>
    <x v="5"/>
    <x v="549"/>
    <x v="3"/>
    <x v="26"/>
    <n v="109.85"/>
    <x v="0"/>
    <x v="1"/>
    <x v="9"/>
    <x v="1"/>
    <x v="4"/>
  </r>
  <r>
    <n v="551"/>
    <x v="550"/>
    <x v="94"/>
    <s v="CUST3715"/>
    <x v="0"/>
    <x v="3"/>
    <x v="7"/>
    <x v="3"/>
    <x v="8"/>
    <x v="550"/>
    <x v="1"/>
    <x v="2"/>
    <n v="155.88999999999999"/>
    <x v="1"/>
    <x v="3"/>
    <x v="8"/>
    <x v="0"/>
    <x v="3"/>
  </r>
  <r>
    <n v="552"/>
    <x v="551"/>
    <x v="386"/>
    <s v="CUST1192"/>
    <x v="3"/>
    <x v="2"/>
    <x v="4"/>
    <x v="2"/>
    <x v="4"/>
    <x v="551"/>
    <x v="4"/>
    <x v="17"/>
    <n v="148.03"/>
    <x v="0"/>
    <x v="2"/>
    <x v="7"/>
    <x v="0"/>
    <x v="5"/>
  </r>
  <r>
    <n v="553"/>
    <x v="552"/>
    <x v="59"/>
    <s v="CUST8880"/>
    <x v="2"/>
    <x v="0"/>
    <x v="1"/>
    <x v="4"/>
    <x v="3"/>
    <x v="552"/>
    <x v="0"/>
    <x v="11"/>
    <n v="583.87"/>
    <x v="2"/>
    <x v="2"/>
    <x v="6"/>
    <x v="0"/>
    <x v="4"/>
  </r>
  <r>
    <n v="554"/>
    <x v="553"/>
    <x v="387"/>
    <s v="CUST3030"/>
    <x v="2"/>
    <x v="1"/>
    <x v="5"/>
    <x v="4"/>
    <x v="5"/>
    <x v="553"/>
    <x v="3"/>
    <x v="4"/>
    <n v="517.67999999999995"/>
    <x v="0"/>
    <x v="1"/>
    <x v="0"/>
    <x v="0"/>
    <x v="5"/>
  </r>
  <r>
    <n v="555"/>
    <x v="554"/>
    <x v="388"/>
    <s v="CUST1021"/>
    <x v="4"/>
    <x v="3"/>
    <x v="7"/>
    <x v="2"/>
    <x v="5"/>
    <x v="554"/>
    <x v="3"/>
    <x v="29"/>
    <n v="530.32000000000005"/>
    <x v="1"/>
    <x v="4"/>
    <x v="6"/>
    <x v="0"/>
    <x v="6"/>
  </r>
  <r>
    <n v="556"/>
    <x v="555"/>
    <x v="389"/>
    <s v="CUST3496"/>
    <x v="1"/>
    <x v="5"/>
    <x v="5"/>
    <x v="2"/>
    <x v="5"/>
    <x v="555"/>
    <x v="4"/>
    <x v="17"/>
    <n v="144.33000000000001"/>
    <x v="2"/>
    <x v="3"/>
    <x v="9"/>
    <x v="1"/>
    <x v="6"/>
  </r>
  <r>
    <n v="557"/>
    <x v="556"/>
    <x v="390"/>
    <s v="CUST9032"/>
    <x v="2"/>
    <x v="1"/>
    <x v="5"/>
    <x v="2"/>
    <x v="2"/>
    <x v="556"/>
    <x v="2"/>
    <x v="13"/>
    <n v="218.04"/>
    <x v="1"/>
    <x v="3"/>
    <x v="7"/>
    <x v="0"/>
    <x v="5"/>
  </r>
  <r>
    <n v="558"/>
    <x v="557"/>
    <x v="134"/>
    <s v="CUST3397"/>
    <x v="4"/>
    <x v="6"/>
    <x v="6"/>
    <x v="4"/>
    <x v="8"/>
    <x v="557"/>
    <x v="2"/>
    <x v="11"/>
    <n v="587.54"/>
    <x v="2"/>
    <x v="3"/>
    <x v="9"/>
    <x v="1"/>
    <x v="1"/>
  </r>
  <r>
    <n v="559"/>
    <x v="558"/>
    <x v="361"/>
    <s v="CUST1393"/>
    <x v="0"/>
    <x v="2"/>
    <x v="5"/>
    <x v="1"/>
    <x v="3"/>
    <x v="558"/>
    <x v="0"/>
    <x v="16"/>
    <n v="711.2"/>
    <x v="2"/>
    <x v="3"/>
    <x v="9"/>
    <x v="0"/>
    <x v="9"/>
  </r>
  <r>
    <n v="560"/>
    <x v="559"/>
    <x v="229"/>
    <s v="CUST3331"/>
    <x v="0"/>
    <x v="1"/>
    <x v="6"/>
    <x v="1"/>
    <x v="7"/>
    <x v="559"/>
    <x v="1"/>
    <x v="24"/>
    <n v="109.05"/>
    <x v="2"/>
    <x v="1"/>
    <x v="4"/>
    <x v="0"/>
    <x v="10"/>
  </r>
  <r>
    <n v="561"/>
    <x v="560"/>
    <x v="391"/>
    <s v="CUST7867"/>
    <x v="1"/>
    <x v="1"/>
    <x v="3"/>
    <x v="3"/>
    <x v="0"/>
    <x v="560"/>
    <x v="0"/>
    <x v="2"/>
    <n v="506.77"/>
    <x v="2"/>
    <x v="3"/>
    <x v="5"/>
    <x v="0"/>
    <x v="10"/>
  </r>
  <r>
    <n v="562"/>
    <x v="561"/>
    <x v="379"/>
    <s v="CUST6081"/>
    <x v="4"/>
    <x v="3"/>
    <x v="5"/>
    <x v="2"/>
    <x v="6"/>
    <x v="561"/>
    <x v="2"/>
    <x v="28"/>
    <n v="367.39"/>
    <x v="1"/>
    <x v="3"/>
    <x v="8"/>
    <x v="0"/>
    <x v="9"/>
  </r>
  <r>
    <n v="563"/>
    <x v="562"/>
    <x v="291"/>
    <s v="CUST1451"/>
    <x v="0"/>
    <x v="0"/>
    <x v="2"/>
    <x v="1"/>
    <x v="0"/>
    <x v="562"/>
    <x v="1"/>
    <x v="23"/>
    <n v="92.17"/>
    <x v="2"/>
    <x v="2"/>
    <x v="4"/>
    <x v="0"/>
    <x v="3"/>
  </r>
  <r>
    <n v="564"/>
    <x v="563"/>
    <x v="388"/>
    <s v="CUST2500"/>
    <x v="0"/>
    <x v="6"/>
    <x v="1"/>
    <x v="2"/>
    <x v="3"/>
    <x v="563"/>
    <x v="2"/>
    <x v="14"/>
    <n v="306.33"/>
    <x v="2"/>
    <x v="1"/>
    <x v="5"/>
    <x v="0"/>
    <x v="6"/>
  </r>
  <r>
    <n v="565"/>
    <x v="564"/>
    <x v="392"/>
    <s v="CUST3051"/>
    <x v="3"/>
    <x v="2"/>
    <x v="6"/>
    <x v="3"/>
    <x v="0"/>
    <x v="564"/>
    <x v="4"/>
    <x v="0"/>
    <n v="242.85"/>
    <x v="1"/>
    <x v="1"/>
    <x v="0"/>
    <x v="1"/>
    <x v="0"/>
  </r>
  <r>
    <n v="566"/>
    <x v="565"/>
    <x v="393"/>
    <s v="CUST8268"/>
    <x v="1"/>
    <x v="2"/>
    <x v="7"/>
    <x v="3"/>
    <x v="0"/>
    <x v="565"/>
    <x v="0"/>
    <x v="29"/>
    <n v="276.8"/>
    <x v="2"/>
    <x v="0"/>
    <x v="7"/>
    <x v="0"/>
    <x v="1"/>
  </r>
  <r>
    <n v="567"/>
    <x v="566"/>
    <x v="250"/>
    <s v="CUST1534"/>
    <x v="3"/>
    <x v="1"/>
    <x v="6"/>
    <x v="3"/>
    <x v="1"/>
    <x v="566"/>
    <x v="1"/>
    <x v="7"/>
    <n v="7.85"/>
    <x v="1"/>
    <x v="4"/>
    <x v="9"/>
    <x v="0"/>
    <x v="5"/>
  </r>
  <r>
    <n v="568"/>
    <x v="567"/>
    <x v="220"/>
    <s v="CUST7352"/>
    <x v="1"/>
    <x v="0"/>
    <x v="4"/>
    <x v="3"/>
    <x v="3"/>
    <x v="567"/>
    <x v="3"/>
    <x v="4"/>
    <n v="496.66"/>
    <x v="1"/>
    <x v="4"/>
    <x v="6"/>
    <x v="1"/>
    <x v="3"/>
  </r>
  <r>
    <n v="569"/>
    <x v="568"/>
    <x v="152"/>
    <s v="CUST4529"/>
    <x v="0"/>
    <x v="4"/>
    <x v="5"/>
    <x v="2"/>
    <x v="8"/>
    <x v="568"/>
    <x v="4"/>
    <x v="21"/>
    <n v="164.76"/>
    <x v="0"/>
    <x v="0"/>
    <x v="1"/>
    <x v="1"/>
    <x v="11"/>
  </r>
  <r>
    <n v="570"/>
    <x v="569"/>
    <x v="160"/>
    <s v="CUST7498"/>
    <x v="1"/>
    <x v="1"/>
    <x v="4"/>
    <x v="3"/>
    <x v="7"/>
    <x v="569"/>
    <x v="2"/>
    <x v="11"/>
    <n v="599.97"/>
    <x v="2"/>
    <x v="4"/>
    <x v="2"/>
    <x v="1"/>
    <x v="7"/>
  </r>
  <r>
    <n v="571"/>
    <x v="570"/>
    <x v="83"/>
    <s v="CUST8035"/>
    <x v="4"/>
    <x v="1"/>
    <x v="5"/>
    <x v="2"/>
    <x v="3"/>
    <x v="570"/>
    <x v="1"/>
    <x v="9"/>
    <n v="320.39"/>
    <x v="0"/>
    <x v="4"/>
    <x v="7"/>
    <x v="0"/>
    <x v="9"/>
  </r>
  <r>
    <n v="572"/>
    <x v="571"/>
    <x v="90"/>
    <s v="CUST6797"/>
    <x v="0"/>
    <x v="3"/>
    <x v="5"/>
    <x v="4"/>
    <x v="6"/>
    <x v="571"/>
    <x v="3"/>
    <x v="2"/>
    <n v="29.89"/>
    <x v="2"/>
    <x v="3"/>
    <x v="6"/>
    <x v="1"/>
    <x v="0"/>
  </r>
  <r>
    <n v="573"/>
    <x v="572"/>
    <x v="239"/>
    <s v="CUST6183"/>
    <x v="0"/>
    <x v="6"/>
    <x v="4"/>
    <x v="2"/>
    <x v="3"/>
    <x v="572"/>
    <x v="4"/>
    <x v="24"/>
    <n v="182.09"/>
    <x v="0"/>
    <x v="4"/>
    <x v="9"/>
    <x v="1"/>
    <x v="6"/>
  </r>
  <r>
    <n v="574"/>
    <x v="573"/>
    <x v="87"/>
    <s v="CUST5485"/>
    <x v="3"/>
    <x v="2"/>
    <x v="2"/>
    <x v="0"/>
    <x v="3"/>
    <x v="573"/>
    <x v="2"/>
    <x v="9"/>
    <n v="288.08"/>
    <x v="2"/>
    <x v="2"/>
    <x v="4"/>
    <x v="1"/>
    <x v="0"/>
  </r>
  <r>
    <n v="575"/>
    <x v="574"/>
    <x v="394"/>
    <s v="CUST6216"/>
    <x v="3"/>
    <x v="1"/>
    <x v="3"/>
    <x v="4"/>
    <x v="1"/>
    <x v="574"/>
    <x v="2"/>
    <x v="1"/>
    <n v="557.74"/>
    <x v="0"/>
    <x v="1"/>
    <x v="2"/>
    <x v="0"/>
    <x v="2"/>
  </r>
  <r>
    <n v="576"/>
    <x v="575"/>
    <x v="346"/>
    <s v="CUST7234"/>
    <x v="2"/>
    <x v="4"/>
    <x v="6"/>
    <x v="1"/>
    <x v="3"/>
    <x v="575"/>
    <x v="1"/>
    <x v="17"/>
    <n v="51.86"/>
    <x v="2"/>
    <x v="1"/>
    <x v="9"/>
    <x v="1"/>
    <x v="11"/>
  </r>
  <r>
    <n v="577"/>
    <x v="576"/>
    <x v="370"/>
    <s v="CUST5830"/>
    <x v="2"/>
    <x v="1"/>
    <x v="1"/>
    <x v="2"/>
    <x v="5"/>
    <x v="576"/>
    <x v="4"/>
    <x v="12"/>
    <n v="489.92"/>
    <x v="2"/>
    <x v="4"/>
    <x v="2"/>
    <x v="0"/>
    <x v="0"/>
  </r>
  <r>
    <n v="578"/>
    <x v="577"/>
    <x v="81"/>
    <s v="CUST6426"/>
    <x v="2"/>
    <x v="0"/>
    <x v="3"/>
    <x v="3"/>
    <x v="0"/>
    <x v="577"/>
    <x v="4"/>
    <x v="23"/>
    <n v="54.66"/>
    <x v="0"/>
    <x v="3"/>
    <x v="4"/>
    <x v="0"/>
    <x v="1"/>
  </r>
  <r>
    <n v="579"/>
    <x v="578"/>
    <x v="395"/>
    <s v="CUST3238"/>
    <x v="0"/>
    <x v="5"/>
    <x v="0"/>
    <x v="4"/>
    <x v="8"/>
    <x v="578"/>
    <x v="0"/>
    <x v="29"/>
    <n v="348.22"/>
    <x v="0"/>
    <x v="1"/>
    <x v="6"/>
    <x v="0"/>
    <x v="1"/>
  </r>
  <r>
    <n v="580"/>
    <x v="579"/>
    <x v="128"/>
    <s v="CUST3548"/>
    <x v="3"/>
    <x v="1"/>
    <x v="1"/>
    <x v="4"/>
    <x v="1"/>
    <x v="579"/>
    <x v="0"/>
    <x v="21"/>
    <n v="444.72"/>
    <x v="0"/>
    <x v="4"/>
    <x v="6"/>
    <x v="0"/>
    <x v="7"/>
  </r>
  <r>
    <n v="581"/>
    <x v="580"/>
    <x v="233"/>
    <s v="CUST3443"/>
    <x v="3"/>
    <x v="5"/>
    <x v="3"/>
    <x v="0"/>
    <x v="3"/>
    <x v="580"/>
    <x v="1"/>
    <x v="11"/>
    <n v="82.42"/>
    <x v="1"/>
    <x v="3"/>
    <x v="0"/>
    <x v="0"/>
    <x v="0"/>
  </r>
  <r>
    <n v="582"/>
    <x v="581"/>
    <x v="396"/>
    <s v="CUST8092"/>
    <x v="2"/>
    <x v="2"/>
    <x v="3"/>
    <x v="1"/>
    <x v="2"/>
    <x v="581"/>
    <x v="4"/>
    <x v="20"/>
    <n v="67.78"/>
    <x v="0"/>
    <x v="1"/>
    <x v="0"/>
    <x v="1"/>
    <x v="6"/>
  </r>
  <r>
    <n v="583"/>
    <x v="582"/>
    <x v="397"/>
    <s v="CUST3425"/>
    <x v="2"/>
    <x v="6"/>
    <x v="7"/>
    <x v="2"/>
    <x v="6"/>
    <x v="582"/>
    <x v="1"/>
    <x v="29"/>
    <n v="115.24"/>
    <x v="0"/>
    <x v="0"/>
    <x v="1"/>
    <x v="1"/>
    <x v="3"/>
  </r>
  <r>
    <n v="584"/>
    <x v="583"/>
    <x v="398"/>
    <s v="CUST8526"/>
    <x v="0"/>
    <x v="0"/>
    <x v="4"/>
    <x v="3"/>
    <x v="3"/>
    <x v="583"/>
    <x v="3"/>
    <x v="6"/>
    <n v="263.94"/>
    <x v="0"/>
    <x v="3"/>
    <x v="1"/>
    <x v="0"/>
    <x v="10"/>
  </r>
  <r>
    <n v="585"/>
    <x v="584"/>
    <x v="328"/>
    <s v="CUST6861"/>
    <x v="3"/>
    <x v="6"/>
    <x v="2"/>
    <x v="4"/>
    <x v="0"/>
    <x v="584"/>
    <x v="0"/>
    <x v="11"/>
    <n v="1284.08"/>
    <x v="0"/>
    <x v="0"/>
    <x v="8"/>
    <x v="0"/>
    <x v="9"/>
  </r>
  <r>
    <n v="586"/>
    <x v="585"/>
    <x v="399"/>
    <s v="CUST6315"/>
    <x v="3"/>
    <x v="0"/>
    <x v="7"/>
    <x v="1"/>
    <x v="0"/>
    <x v="585"/>
    <x v="1"/>
    <x v="15"/>
    <n v="138.21"/>
    <x v="1"/>
    <x v="3"/>
    <x v="5"/>
    <x v="0"/>
    <x v="7"/>
  </r>
  <r>
    <n v="587"/>
    <x v="586"/>
    <x v="231"/>
    <s v="CUST1132"/>
    <x v="0"/>
    <x v="1"/>
    <x v="3"/>
    <x v="1"/>
    <x v="1"/>
    <x v="586"/>
    <x v="1"/>
    <x v="13"/>
    <n v="25.21"/>
    <x v="1"/>
    <x v="3"/>
    <x v="8"/>
    <x v="0"/>
    <x v="10"/>
  </r>
  <r>
    <n v="588"/>
    <x v="587"/>
    <x v="251"/>
    <s v="CUST4302"/>
    <x v="2"/>
    <x v="4"/>
    <x v="3"/>
    <x v="3"/>
    <x v="0"/>
    <x v="587"/>
    <x v="3"/>
    <x v="10"/>
    <n v="551.83000000000004"/>
    <x v="0"/>
    <x v="0"/>
    <x v="7"/>
    <x v="0"/>
    <x v="4"/>
  </r>
  <r>
    <n v="589"/>
    <x v="588"/>
    <x v="400"/>
    <s v="CUST7456"/>
    <x v="3"/>
    <x v="3"/>
    <x v="3"/>
    <x v="2"/>
    <x v="5"/>
    <x v="588"/>
    <x v="0"/>
    <x v="21"/>
    <n v="592.96"/>
    <x v="2"/>
    <x v="3"/>
    <x v="8"/>
    <x v="1"/>
    <x v="5"/>
  </r>
  <r>
    <n v="590"/>
    <x v="589"/>
    <x v="116"/>
    <s v="CUST3638"/>
    <x v="0"/>
    <x v="4"/>
    <x v="5"/>
    <x v="0"/>
    <x v="1"/>
    <x v="589"/>
    <x v="1"/>
    <x v="0"/>
    <n v="220.33"/>
    <x v="0"/>
    <x v="0"/>
    <x v="0"/>
    <x v="0"/>
    <x v="9"/>
  </r>
  <r>
    <n v="591"/>
    <x v="590"/>
    <x v="401"/>
    <s v="CUST5990"/>
    <x v="2"/>
    <x v="5"/>
    <x v="6"/>
    <x v="1"/>
    <x v="0"/>
    <x v="590"/>
    <x v="4"/>
    <x v="3"/>
    <n v="185.19"/>
    <x v="0"/>
    <x v="0"/>
    <x v="9"/>
    <x v="0"/>
    <x v="7"/>
  </r>
  <r>
    <n v="592"/>
    <x v="591"/>
    <x v="402"/>
    <s v="CUST4631"/>
    <x v="1"/>
    <x v="5"/>
    <x v="7"/>
    <x v="3"/>
    <x v="0"/>
    <x v="591"/>
    <x v="0"/>
    <x v="4"/>
    <n v="1689.47"/>
    <x v="1"/>
    <x v="3"/>
    <x v="5"/>
    <x v="0"/>
    <x v="6"/>
  </r>
  <r>
    <n v="593"/>
    <x v="592"/>
    <x v="403"/>
    <s v="CUST6827"/>
    <x v="1"/>
    <x v="5"/>
    <x v="4"/>
    <x v="3"/>
    <x v="4"/>
    <x v="592"/>
    <x v="2"/>
    <x v="23"/>
    <n v="198.36"/>
    <x v="1"/>
    <x v="4"/>
    <x v="3"/>
    <x v="0"/>
    <x v="3"/>
  </r>
  <r>
    <n v="594"/>
    <x v="593"/>
    <x v="404"/>
    <s v="CUST5257"/>
    <x v="0"/>
    <x v="6"/>
    <x v="7"/>
    <x v="3"/>
    <x v="6"/>
    <x v="593"/>
    <x v="0"/>
    <x v="8"/>
    <n v="667.4"/>
    <x v="2"/>
    <x v="1"/>
    <x v="5"/>
    <x v="0"/>
    <x v="9"/>
  </r>
  <r>
    <n v="595"/>
    <x v="594"/>
    <x v="405"/>
    <s v="CUST5192"/>
    <x v="4"/>
    <x v="5"/>
    <x v="7"/>
    <x v="0"/>
    <x v="4"/>
    <x v="594"/>
    <x v="3"/>
    <x v="4"/>
    <n v="118.15"/>
    <x v="0"/>
    <x v="1"/>
    <x v="1"/>
    <x v="0"/>
    <x v="5"/>
  </r>
  <r>
    <n v="596"/>
    <x v="595"/>
    <x v="406"/>
    <s v="CUST1185"/>
    <x v="0"/>
    <x v="3"/>
    <x v="2"/>
    <x v="3"/>
    <x v="6"/>
    <x v="595"/>
    <x v="3"/>
    <x v="23"/>
    <n v="336.69"/>
    <x v="1"/>
    <x v="1"/>
    <x v="0"/>
    <x v="1"/>
    <x v="1"/>
  </r>
  <r>
    <n v="597"/>
    <x v="596"/>
    <x v="374"/>
    <s v="CUST6765"/>
    <x v="4"/>
    <x v="5"/>
    <x v="3"/>
    <x v="1"/>
    <x v="7"/>
    <x v="596"/>
    <x v="0"/>
    <x v="2"/>
    <n v="694.65"/>
    <x v="0"/>
    <x v="4"/>
    <x v="1"/>
    <x v="0"/>
    <x v="11"/>
  </r>
  <r>
    <n v="598"/>
    <x v="597"/>
    <x v="300"/>
    <s v="CUST9124"/>
    <x v="3"/>
    <x v="2"/>
    <x v="5"/>
    <x v="4"/>
    <x v="1"/>
    <x v="597"/>
    <x v="1"/>
    <x v="8"/>
    <n v="79.290000000000006"/>
    <x v="0"/>
    <x v="3"/>
    <x v="7"/>
    <x v="0"/>
    <x v="3"/>
  </r>
  <r>
    <n v="599"/>
    <x v="598"/>
    <x v="407"/>
    <s v="CUST6276"/>
    <x v="4"/>
    <x v="1"/>
    <x v="4"/>
    <x v="2"/>
    <x v="8"/>
    <x v="598"/>
    <x v="0"/>
    <x v="20"/>
    <n v="418.94"/>
    <x v="0"/>
    <x v="3"/>
    <x v="7"/>
    <x v="0"/>
    <x v="2"/>
  </r>
  <r>
    <n v="600"/>
    <x v="599"/>
    <x v="408"/>
    <s v="CUST5363"/>
    <x v="3"/>
    <x v="5"/>
    <x v="4"/>
    <x v="1"/>
    <x v="8"/>
    <x v="599"/>
    <x v="4"/>
    <x v="20"/>
    <n v="463.54"/>
    <x v="1"/>
    <x v="3"/>
    <x v="4"/>
    <x v="1"/>
    <x v="3"/>
  </r>
  <r>
    <n v="601"/>
    <x v="600"/>
    <x v="409"/>
    <s v="CUST1089"/>
    <x v="2"/>
    <x v="5"/>
    <x v="3"/>
    <x v="2"/>
    <x v="3"/>
    <x v="600"/>
    <x v="1"/>
    <x v="18"/>
    <n v="80.400000000000006"/>
    <x v="2"/>
    <x v="3"/>
    <x v="7"/>
    <x v="1"/>
    <x v="5"/>
  </r>
  <r>
    <n v="602"/>
    <x v="601"/>
    <x v="197"/>
    <s v="CUST9536"/>
    <x v="3"/>
    <x v="3"/>
    <x v="6"/>
    <x v="2"/>
    <x v="0"/>
    <x v="601"/>
    <x v="0"/>
    <x v="13"/>
    <n v="1405.85"/>
    <x v="2"/>
    <x v="1"/>
    <x v="7"/>
    <x v="1"/>
    <x v="1"/>
  </r>
  <r>
    <n v="603"/>
    <x v="602"/>
    <x v="158"/>
    <s v="CUST6082"/>
    <x v="2"/>
    <x v="4"/>
    <x v="7"/>
    <x v="2"/>
    <x v="7"/>
    <x v="602"/>
    <x v="2"/>
    <x v="23"/>
    <n v="541.46"/>
    <x v="1"/>
    <x v="3"/>
    <x v="2"/>
    <x v="1"/>
    <x v="7"/>
  </r>
  <r>
    <n v="604"/>
    <x v="603"/>
    <x v="270"/>
    <s v="CUST1554"/>
    <x v="3"/>
    <x v="5"/>
    <x v="3"/>
    <x v="0"/>
    <x v="8"/>
    <x v="603"/>
    <x v="4"/>
    <x v="5"/>
    <n v="291.44"/>
    <x v="0"/>
    <x v="1"/>
    <x v="4"/>
    <x v="1"/>
    <x v="1"/>
  </r>
  <r>
    <n v="605"/>
    <x v="604"/>
    <x v="410"/>
    <s v="CUST7035"/>
    <x v="1"/>
    <x v="2"/>
    <x v="1"/>
    <x v="0"/>
    <x v="7"/>
    <x v="604"/>
    <x v="0"/>
    <x v="7"/>
    <n v="504.02"/>
    <x v="2"/>
    <x v="2"/>
    <x v="4"/>
    <x v="0"/>
    <x v="2"/>
  </r>
  <r>
    <n v="606"/>
    <x v="605"/>
    <x v="74"/>
    <s v="CUST5875"/>
    <x v="0"/>
    <x v="5"/>
    <x v="2"/>
    <x v="2"/>
    <x v="3"/>
    <x v="605"/>
    <x v="0"/>
    <x v="1"/>
    <n v="193.81"/>
    <x v="0"/>
    <x v="4"/>
    <x v="8"/>
    <x v="1"/>
    <x v="4"/>
  </r>
  <r>
    <n v="607"/>
    <x v="606"/>
    <x v="411"/>
    <s v="CUST6432"/>
    <x v="0"/>
    <x v="0"/>
    <x v="3"/>
    <x v="2"/>
    <x v="2"/>
    <x v="606"/>
    <x v="3"/>
    <x v="28"/>
    <n v="300.41000000000003"/>
    <x v="1"/>
    <x v="0"/>
    <x v="1"/>
    <x v="0"/>
    <x v="2"/>
  </r>
  <r>
    <n v="608"/>
    <x v="607"/>
    <x v="204"/>
    <s v="CUST9127"/>
    <x v="4"/>
    <x v="4"/>
    <x v="4"/>
    <x v="0"/>
    <x v="3"/>
    <x v="607"/>
    <x v="3"/>
    <x v="6"/>
    <n v="436.55"/>
    <x v="1"/>
    <x v="4"/>
    <x v="3"/>
    <x v="0"/>
    <x v="2"/>
  </r>
  <r>
    <n v="609"/>
    <x v="608"/>
    <x v="92"/>
    <s v="CUST1835"/>
    <x v="4"/>
    <x v="2"/>
    <x v="6"/>
    <x v="1"/>
    <x v="4"/>
    <x v="608"/>
    <x v="2"/>
    <x v="1"/>
    <n v="412.83"/>
    <x v="0"/>
    <x v="0"/>
    <x v="1"/>
    <x v="1"/>
    <x v="10"/>
  </r>
  <r>
    <n v="610"/>
    <x v="609"/>
    <x v="412"/>
    <s v="CUST4988"/>
    <x v="4"/>
    <x v="4"/>
    <x v="0"/>
    <x v="1"/>
    <x v="0"/>
    <x v="609"/>
    <x v="3"/>
    <x v="21"/>
    <n v="150.47"/>
    <x v="0"/>
    <x v="1"/>
    <x v="2"/>
    <x v="1"/>
    <x v="0"/>
  </r>
  <r>
    <n v="611"/>
    <x v="610"/>
    <x v="169"/>
    <s v="CUST1881"/>
    <x v="2"/>
    <x v="2"/>
    <x v="7"/>
    <x v="3"/>
    <x v="3"/>
    <x v="610"/>
    <x v="0"/>
    <x v="10"/>
    <n v="554.58000000000004"/>
    <x v="0"/>
    <x v="3"/>
    <x v="8"/>
    <x v="0"/>
    <x v="10"/>
  </r>
  <r>
    <n v="612"/>
    <x v="611"/>
    <x v="413"/>
    <s v="CUST6422"/>
    <x v="0"/>
    <x v="4"/>
    <x v="2"/>
    <x v="1"/>
    <x v="0"/>
    <x v="193"/>
    <x v="1"/>
    <x v="13"/>
    <n v="96.67"/>
    <x v="1"/>
    <x v="1"/>
    <x v="7"/>
    <x v="0"/>
    <x v="10"/>
  </r>
  <r>
    <n v="613"/>
    <x v="612"/>
    <x v="414"/>
    <s v="CUST9487"/>
    <x v="4"/>
    <x v="3"/>
    <x v="6"/>
    <x v="3"/>
    <x v="5"/>
    <x v="611"/>
    <x v="1"/>
    <x v="3"/>
    <n v="91.4"/>
    <x v="2"/>
    <x v="1"/>
    <x v="9"/>
    <x v="1"/>
    <x v="1"/>
  </r>
  <r>
    <n v="614"/>
    <x v="613"/>
    <x v="123"/>
    <s v="CUST6452"/>
    <x v="3"/>
    <x v="5"/>
    <x v="0"/>
    <x v="0"/>
    <x v="7"/>
    <x v="612"/>
    <x v="3"/>
    <x v="25"/>
    <n v="63.76"/>
    <x v="2"/>
    <x v="4"/>
    <x v="3"/>
    <x v="0"/>
    <x v="0"/>
  </r>
  <r>
    <n v="615"/>
    <x v="614"/>
    <x v="415"/>
    <s v="CUST7719"/>
    <x v="4"/>
    <x v="5"/>
    <x v="4"/>
    <x v="0"/>
    <x v="6"/>
    <x v="613"/>
    <x v="2"/>
    <x v="30"/>
    <n v="92.53"/>
    <x v="1"/>
    <x v="0"/>
    <x v="6"/>
    <x v="1"/>
    <x v="6"/>
  </r>
  <r>
    <n v="616"/>
    <x v="615"/>
    <x v="416"/>
    <s v="CUST3827"/>
    <x v="1"/>
    <x v="4"/>
    <x v="1"/>
    <x v="3"/>
    <x v="0"/>
    <x v="614"/>
    <x v="1"/>
    <x v="18"/>
    <n v="285.26"/>
    <x v="0"/>
    <x v="0"/>
    <x v="5"/>
    <x v="0"/>
    <x v="5"/>
  </r>
  <r>
    <n v="617"/>
    <x v="616"/>
    <x v="417"/>
    <s v="CUST7116"/>
    <x v="0"/>
    <x v="6"/>
    <x v="7"/>
    <x v="0"/>
    <x v="1"/>
    <x v="615"/>
    <x v="4"/>
    <x v="8"/>
    <n v="320.16000000000003"/>
    <x v="2"/>
    <x v="3"/>
    <x v="4"/>
    <x v="1"/>
    <x v="7"/>
  </r>
  <r>
    <n v="618"/>
    <x v="617"/>
    <x v="418"/>
    <s v="CUST2774"/>
    <x v="0"/>
    <x v="6"/>
    <x v="4"/>
    <x v="2"/>
    <x v="8"/>
    <x v="616"/>
    <x v="1"/>
    <x v="25"/>
    <n v="16.02"/>
    <x v="1"/>
    <x v="4"/>
    <x v="6"/>
    <x v="1"/>
    <x v="0"/>
  </r>
  <r>
    <n v="619"/>
    <x v="618"/>
    <x v="369"/>
    <s v="CUST3029"/>
    <x v="1"/>
    <x v="4"/>
    <x v="1"/>
    <x v="1"/>
    <x v="7"/>
    <x v="617"/>
    <x v="2"/>
    <x v="10"/>
    <n v="709.16"/>
    <x v="0"/>
    <x v="0"/>
    <x v="1"/>
    <x v="1"/>
    <x v="0"/>
  </r>
  <r>
    <n v="620"/>
    <x v="619"/>
    <x v="395"/>
    <s v="CUST9064"/>
    <x v="2"/>
    <x v="2"/>
    <x v="0"/>
    <x v="1"/>
    <x v="6"/>
    <x v="618"/>
    <x v="0"/>
    <x v="24"/>
    <n v="242.98"/>
    <x v="0"/>
    <x v="2"/>
    <x v="2"/>
    <x v="0"/>
    <x v="1"/>
  </r>
  <r>
    <n v="621"/>
    <x v="620"/>
    <x v="419"/>
    <s v="CUST5532"/>
    <x v="2"/>
    <x v="4"/>
    <x v="5"/>
    <x v="1"/>
    <x v="6"/>
    <x v="619"/>
    <x v="3"/>
    <x v="13"/>
    <n v="308.02999999999997"/>
    <x v="2"/>
    <x v="4"/>
    <x v="1"/>
    <x v="1"/>
    <x v="0"/>
  </r>
  <r>
    <n v="622"/>
    <x v="621"/>
    <x v="420"/>
    <s v="CUST1358"/>
    <x v="4"/>
    <x v="6"/>
    <x v="6"/>
    <x v="1"/>
    <x v="5"/>
    <x v="620"/>
    <x v="0"/>
    <x v="24"/>
    <n v="606.30999999999995"/>
    <x v="1"/>
    <x v="2"/>
    <x v="2"/>
    <x v="0"/>
    <x v="9"/>
  </r>
  <r>
    <n v="623"/>
    <x v="622"/>
    <x v="183"/>
    <s v="CUST5167"/>
    <x v="2"/>
    <x v="6"/>
    <x v="5"/>
    <x v="1"/>
    <x v="3"/>
    <x v="621"/>
    <x v="2"/>
    <x v="1"/>
    <n v="1056.17"/>
    <x v="2"/>
    <x v="1"/>
    <x v="0"/>
    <x v="1"/>
    <x v="10"/>
  </r>
  <r>
    <n v="624"/>
    <x v="623"/>
    <x v="421"/>
    <s v="CUST4885"/>
    <x v="4"/>
    <x v="2"/>
    <x v="3"/>
    <x v="0"/>
    <x v="6"/>
    <x v="622"/>
    <x v="1"/>
    <x v="6"/>
    <n v="119.3"/>
    <x v="0"/>
    <x v="0"/>
    <x v="0"/>
    <x v="1"/>
    <x v="9"/>
  </r>
  <r>
    <n v="625"/>
    <x v="624"/>
    <x v="2"/>
    <s v="CUST3381"/>
    <x v="1"/>
    <x v="2"/>
    <x v="5"/>
    <x v="2"/>
    <x v="7"/>
    <x v="623"/>
    <x v="0"/>
    <x v="3"/>
    <n v="671.51"/>
    <x v="0"/>
    <x v="2"/>
    <x v="5"/>
    <x v="1"/>
    <x v="0"/>
  </r>
  <r>
    <n v="626"/>
    <x v="625"/>
    <x v="422"/>
    <s v="CUST4694"/>
    <x v="4"/>
    <x v="3"/>
    <x v="2"/>
    <x v="4"/>
    <x v="8"/>
    <x v="624"/>
    <x v="0"/>
    <x v="3"/>
    <n v="671.25"/>
    <x v="0"/>
    <x v="3"/>
    <x v="5"/>
    <x v="0"/>
    <x v="11"/>
  </r>
  <r>
    <n v="627"/>
    <x v="626"/>
    <x v="141"/>
    <s v="CUST9944"/>
    <x v="0"/>
    <x v="1"/>
    <x v="6"/>
    <x v="4"/>
    <x v="8"/>
    <x v="625"/>
    <x v="0"/>
    <x v="13"/>
    <n v="31.28"/>
    <x v="1"/>
    <x v="4"/>
    <x v="8"/>
    <x v="1"/>
    <x v="2"/>
  </r>
  <r>
    <n v="628"/>
    <x v="627"/>
    <x v="250"/>
    <s v="CUST3788"/>
    <x v="3"/>
    <x v="0"/>
    <x v="7"/>
    <x v="3"/>
    <x v="4"/>
    <x v="626"/>
    <x v="1"/>
    <x v="1"/>
    <n v="75.39"/>
    <x v="2"/>
    <x v="2"/>
    <x v="5"/>
    <x v="0"/>
    <x v="5"/>
  </r>
  <r>
    <n v="629"/>
    <x v="628"/>
    <x v="423"/>
    <s v="CUST8709"/>
    <x v="0"/>
    <x v="5"/>
    <x v="4"/>
    <x v="3"/>
    <x v="7"/>
    <x v="627"/>
    <x v="2"/>
    <x v="0"/>
    <n v="654.94000000000005"/>
    <x v="2"/>
    <x v="0"/>
    <x v="2"/>
    <x v="0"/>
    <x v="7"/>
  </r>
  <r>
    <n v="630"/>
    <x v="629"/>
    <x v="407"/>
    <s v="CUST9976"/>
    <x v="1"/>
    <x v="4"/>
    <x v="6"/>
    <x v="0"/>
    <x v="7"/>
    <x v="628"/>
    <x v="0"/>
    <x v="30"/>
    <n v="406.72"/>
    <x v="0"/>
    <x v="3"/>
    <x v="1"/>
    <x v="0"/>
    <x v="2"/>
  </r>
  <r>
    <n v="631"/>
    <x v="630"/>
    <x v="424"/>
    <s v="CUST8355"/>
    <x v="0"/>
    <x v="4"/>
    <x v="7"/>
    <x v="0"/>
    <x v="3"/>
    <x v="629"/>
    <x v="1"/>
    <x v="3"/>
    <n v="120.92"/>
    <x v="0"/>
    <x v="1"/>
    <x v="6"/>
    <x v="1"/>
    <x v="8"/>
  </r>
  <r>
    <n v="632"/>
    <x v="631"/>
    <x v="425"/>
    <s v="CUST6006"/>
    <x v="3"/>
    <x v="4"/>
    <x v="3"/>
    <x v="4"/>
    <x v="4"/>
    <x v="630"/>
    <x v="1"/>
    <x v="5"/>
    <n v="116.49"/>
    <x v="1"/>
    <x v="2"/>
    <x v="0"/>
    <x v="0"/>
    <x v="11"/>
  </r>
  <r>
    <n v="633"/>
    <x v="632"/>
    <x v="224"/>
    <s v="CUST2903"/>
    <x v="2"/>
    <x v="4"/>
    <x v="2"/>
    <x v="4"/>
    <x v="4"/>
    <x v="631"/>
    <x v="4"/>
    <x v="1"/>
    <n v="164.79"/>
    <x v="1"/>
    <x v="0"/>
    <x v="0"/>
    <x v="0"/>
    <x v="0"/>
  </r>
  <r>
    <n v="634"/>
    <x v="633"/>
    <x v="426"/>
    <s v="CUST6788"/>
    <x v="2"/>
    <x v="2"/>
    <x v="5"/>
    <x v="0"/>
    <x v="2"/>
    <x v="632"/>
    <x v="2"/>
    <x v="11"/>
    <n v="116.39"/>
    <x v="2"/>
    <x v="3"/>
    <x v="3"/>
    <x v="0"/>
    <x v="9"/>
  </r>
  <r>
    <n v="635"/>
    <x v="634"/>
    <x v="426"/>
    <s v="CUST1551"/>
    <x v="4"/>
    <x v="3"/>
    <x v="6"/>
    <x v="1"/>
    <x v="2"/>
    <x v="633"/>
    <x v="1"/>
    <x v="8"/>
    <n v="159.05000000000001"/>
    <x v="2"/>
    <x v="1"/>
    <x v="5"/>
    <x v="0"/>
    <x v="9"/>
  </r>
  <r>
    <n v="636"/>
    <x v="635"/>
    <x v="427"/>
    <s v="CUST2587"/>
    <x v="2"/>
    <x v="0"/>
    <x v="4"/>
    <x v="1"/>
    <x v="4"/>
    <x v="634"/>
    <x v="4"/>
    <x v="10"/>
    <n v="215"/>
    <x v="0"/>
    <x v="3"/>
    <x v="9"/>
    <x v="1"/>
    <x v="6"/>
  </r>
  <r>
    <n v="637"/>
    <x v="636"/>
    <x v="116"/>
    <s v="CUST7305"/>
    <x v="0"/>
    <x v="1"/>
    <x v="5"/>
    <x v="0"/>
    <x v="2"/>
    <x v="635"/>
    <x v="1"/>
    <x v="19"/>
    <n v="97.51"/>
    <x v="1"/>
    <x v="2"/>
    <x v="5"/>
    <x v="0"/>
    <x v="9"/>
  </r>
  <r>
    <n v="638"/>
    <x v="637"/>
    <x v="428"/>
    <s v="CUST9425"/>
    <x v="1"/>
    <x v="6"/>
    <x v="3"/>
    <x v="4"/>
    <x v="0"/>
    <x v="636"/>
    <x v="0"/>
    <x v="18"/>
    <n v="487.77"/>
    <x v="0"/>
    <x v="2"/>
    <x v="9"/>
    <x v="0"/>
    <x v="10"/>
  </r>
  <r>
    <n v="639"/>
    <x v="638"/>
    <x v="252"/>
    <s v="CUST8338"/>
    <x v="1"/>
    <x v="6"/>
    <x v="1"/>
    <x v="2"/>
    <x v="4"/>
    <x v="637"/>
    <x v="2"/>
    <x v="17"/>
    <n v="42.12"/>
    <x v="2"/>
    <x v="1"/>
    <x v="7"/>
    <x v="1"/>
    <x v="10"/>
  </r>
  <r>
    <n v="640"/>
    <x v="639"/>
    <x v="429"/>
    <s v="CUST6576"/>
    <x v="1"/>
    <x v="3"/>
    <x v="4"/>
    <x v="0"/>
    <x v="8"/>
    <x v="638"/>
    <x v="0"/>
    <x v="6"/>
    <n v="698.5"/>
    <x v="0"/>
    <x v="0"/>
    <x v="5"/>
    <x v="1"/>
    <x v="4"/>
  </r>
  <r>
    <n v="641"/>
    <x v="640"/>
    <x v="430"/>
    <s v="CUST3141"/>
    <x v="1"/>
    <x v="2"/>
    <x v="0"/>
    <x v="2"/>
    <x v="6"/>
    <x v="639"/>
    <x v="3"/>
    <x v="19"/>
    <n v="221.95"/>
    <x v="2"/>
    <x v="0"/>
    <x v="7"/>
    <x v="1"/>
    <x v="7"/>
  </r>
  <r>
    <n v="642"/>
    <x v="641"/>
    <x v="174"/>
    <s v="CUST2087"/>
    <x v="0"/>
    <x v="1"/>
    <x v="4"/>
    <x v="2"/>
    <x v="2"/>
    <x v="640"/>
    <x v="4"/>
    <x v="25"/>
    <n v="298.63"/>
    <x v="0"/>
    <x v="2"/>
    <x v="2"/>
    <x v="0"/>
    <x v="2"/>
  </r>
  <r>
    <n v="643"/>
    <x v="642"/>
    <x v="302"/>
    <s v="CUST6090"/>
    <x v="1"/>
    <x v="1"/>
    <x v="3"/>
    <x v="0"/>
    <x v="0"/>
    <x v="641"/>
    <x v="2"/>
    <x v="15"/>
    <n v="238.01"/>
    <x v="0"/>
    <x v="1"/>
    <x v="4"/>
    <x v="0"/>
    <x v="4"/>
  </r>
  <r>
    <n v="644"/>
    <x v="643"/>
    <x v="273"/>
    <s v="CUST6239"/>
    <x v="1"/>
    <x v="4"/>
    <x v="3"/>
    <x v="4"/>
    <x v="0"/>
    <x v="642"/>
    <x v="3"/>
    <x v="16"/>
    <n v="373.02"/>
    <x v="2"/>
    <x v="1"/>
    <x v="4"/>
    <x v="0"/>
    <x v="2"/>
  </r>
  <r>
    <n v="645"/>
    <x v="644"/>
    <x v="29"/>
    <s v="CUST9481"/>
    <x v="3"/>
    <x v="1"/>
    <x v="2"/>
    <x v="0"/>
    <x v="1"/>
    <x v="643"/>
    <x v="1"/>
    <x v="26"/>
    <n v="182.77"/>
    <x v="2"/>
    <x v="1"/>
    <x v="9"/>
    <x v="1"/>
    <x v="8"/>
  </r>
  <r>
    <n v="646"/>
    <x v="645"/>
    <x v="431"/>
    <s v="CUST6277"/>
    <x v="4"/>
    <x v="0"/>
    <x v="0"/>
    <x v="1"/>
    <x v="6"/>
    <x v="644"/>
    <x v="3"/>
    <x v="24"/>
    <n v="175.68"/>
    <x v="2"/>
    <x v="2"/>
    <x v="5"/>
    <x v="1"/>
    <x v="6"/>
  </r>
  <r>
    <n v="647"/>
    <x v="646"/>
    <x v="378"/>
    <s v="CUST2027"/>
    <x v="4"/>
    <x v="1"/>
    <x v="6"/>
    <x v="4"/>
    <x v="5"/>
    <x v="645"/>
    <x v="4"/>
    <x v="13"/>
    <n v="540.73"/>
    <x v="1"/>
    <x v="4"/>
    <x v="6"/>
    <x v="0"/>
    <x v="3"/>
  </r>
  <r>
    <n v="648"/>
    <x v="647"/>
    <x v="417"/>
    <s v="CUST5155"/>
    <x v="2"/>
    <x v="4"/>
    <x v="0"/>
    <x v="4"/>
    <x v="6"/>
    <x v="646"/>
    <x v="3"/>
    <x v="14"/>
    <n v="30.81"/>
    <x v="0"/>
    <x v="1"/>
    <x v="2"/>
    <x v="1"/>
    <x v="7"/>
  </r>
  <r>
    <n v="649"/>
    <x v="648"/>
    <x v="293"/>
    <s v="CUST4516"/>
    <x v="3"/>
    <x v="5"/>
    <x v="6"/>
    <x v="2"/>
    <x v="1"/>
    <x v="647"/>
    <x v="1"/>
    <x v="4"/>
    <n v="62.03"/>
    <x v="2"/>
    <x v="4"/>
    <x v="3"/>
    <x v="0"/>
    <x v="7"/>
  </r>
  <r>
    <n v="650"/>
    <x v="649"/>
    <x v="432"/>
    <s v="CUST4718"/>
    <x v="0"/>
    <x v="1"/>
    <x v="5"/>
    <x v="1"/>
    <x v="6"/>
    <x v="648"/>
    <x v="1"/>
    <x v="0"/>
    <n v="21.47"/>
    <x v="2"/>
    <x v="4"/>
    <x v="4"/>
    <x v="0"/>
    <x v="2"/>
  </r>
  <r>
    <n v="651"/>
    <x v="650"/>
    <x v="433"/>
    <s v="CUST7965"/>
    <x v="4"/>
    <x v="3"/>
    <x v="3"/>
    <x v="1"/>
    <x v="6"/>
    <x v="649"/>
    <x v="1"/>
    <x v="28"/>
    <n v="35.020000000000003"/>
    <x v="0"/>
    <x v="4"/>
    <x v="2"/>
    <x v="0"/>
    <x v="5"/>
  </r>
  <r>
    <n v="652"/>
    <x v="651"/>
    <x v="434"/>
    <s v="CUST1397"/>
    <x v="2"/>
    <x v="1"/>
    <x v="6"/>
    <x v="4"/>
    <x v="1"/>
    <x v="650"/>
    <x v="3"/>
    <x v="6"/>
    <n v="251.29"/>
    <x v="1"/>
    <x v="4"/>
    <x v="6"/>
    <x v="0"/>
    <x v="11"/>
  </r>
  <r>
    <n v="653"/>
    <x v="652"/>
    <x v="194"/>
    <s v="CUST8026"/>
    <x v="1"/>
    <x v="4"/>
    <x v="3"/>
    <x v="4"/>
    <x v="4"/>
    <x v="651"/>
    <x v="0"/>
    <x v="20"/>
    <n v="1189.93"/>
    <x v="0"/>
    <x v="2"/>
    <x v="9"/>
    <x v="1"/>
    <x v="5"/>
  </r>
  <r>
    <n v="654"/>
    <x v="653"/>
    <x v="435"/>
    <s v="CUST3527"/>
    <x v="4"/>
    <x v="6"/>
    <x v="6"/>
    <x v="3"/>
    <x v="7"/>
    <x v="652"/>
    <x v="2"/>
    <x v="19"/>
    <n v="254.67"/>
    <x v="2"/>
    <x v="1"/>
    <x v="5"/>
    <x v="1"/>
    <x v="7"/>
  </r>
  <r>
    <n v="655"/>
    <x v="654"/>
    <x v="436"/>
    <s v="CUST3362"/>
    <x v="0"/>
    <x v="3"/>
    <x v="5"/>
    <x v="4"/>
    <x v="6"/>
    <x v="653"/>
    <x v="1"/>
    <x v="28"/>
    <n v="95.28"/>
    <x v="2"/>
    <x v="1"/>
    <x v="2"/>
    <x v="1"/>
    <x v="9"/>
  </r>
  <r>
    <n v="656"/>
    <x v="655"/>
    <x v="15"/>
    <s v="CUST2028"/>
    <x v="0"/>
    <x v="5"/>
    <x v="5"/>
    <x v="3"/>
    <x v="7"/>
    <x v="654"/>
    <x v="1"/>
    <x v="7"/>
    <n v="63.15"/>
    <x v="1"/>
    <x v="2"/>
    <x v="5"/>
    <x v="0"/>
    <x v="0"/>
  </r>
  <r>
    <n v="657"/>
    <x v="656"/>
    <x v="247"/>
    <s v="CUST7778"/>
    <x v="1"/>
    <x v="6"/>
    <x v="5"/>
    <x v="1"/>
    <x v="8"/>
    <x v="655"/>
    <x v="0"/>
    <x v="16"/>
    <n v="356.02"/>
    <x v="1"/>
    <x v="1"/>
    <x v="9"/>
    <x v="1"/>
    <x v="4"/>
  </r>
  <r>
    <n v="658"/>
    <x v="657"/>
    <x v="279"/>
    <s v="CUST7508"/>
    <x v="2"/>
    <x v="6"/>
    <x v="7"/>
    <x v="1"/>
    <x v="1"/>
    <x v="656"/>
    <x v="4"/>
    <x v="25"/>
    <n v="170.22"/>
    <x v="0"/>
    <x v="1"/>
    <x v="4"/>
    <x v="1"/>
    <x v="3"/>
  </r>
  <r>
    <n v="659"/>
    <x v="658"/>
    <x v="437"/>
    <s v="CUST6217"/>
    <x v="1"/>
    <x v="1"/>
    <x v="6"/>
    <x v="1"/>
    <x v="4"/>
    <x v="657"/>
    <x v="3"/>
    <x v="5"/>
    <n v="327.42"/>
    <x v="1"/>
    <x v="3"/>
    <x v="7"/>
    <x v="1"/>
    <x v="1"/>
  </r>
  <r>
    <n v="660"/>
    <x v="659"/>
    <x v="438"/>
    <s v="CUST6693"/>
    <x v="4"/>
    <x v="0"/>
    <x v="1"/>
    <x v="3"/>
    <x v="3"/>
    <x v="658"/>
    <x v="0"/>
    <x v="15"/>
    <n v="190.99"/>
    <x v="0"/>
    <x v="4"/>
    <x v="1"/>
    <x v="0"/>
    <x v="10"/>
  </r>
  <r>
    <n v="661"/>
    <x v="660"/>
    <x v="439"/>
    <s v="CUST3849"/>
    <x v="0"/>
    <x v="2"/>
    <x v="3"/>
    <x v="2"/>
    <x v="5"/>
    <x v="659"/>
    <x v="1"/>
    <x v="21"/>
    <n v="141.59"/>
    <x v="2"/>
    <x v="3"/>
    <x v="8"/>
    <x v="1"/>
    <x v="3"/>
  </r>
  <r>
    <n v="662"/>
    <x v="661"/>
    <x v="440"/>
    <s v="CUST8190"/>
    <x v="2"/>
    <x v="1"/>
    <x v="0"/>
    <x v="4"/>
    <x v="8"/>
    <x v="660"/>
    <x v="2"/>
    <x v="10"/>
    <n v="309.33"/>
    <x v="1"/>
    <x v="4"/>
    <x v="3"/>
    <x v="1"/>
    <x v="9"/>
  </r>
  <r>
    <n v="663"/>
    <x v="662"/>
    <x v="441"/>
    <s v="CUST1891"/>
    <x v="0"/>
    <x v="0"/>
    <x v="2"/>
    <x v="1"/>
    <x v="5"/>
    <x v="661"/>
    <x v="0"/>
    <x v="26"/>
    <n v="102.12"/>
    <x v="1"/>
    <x v="3"/>
    <x v="4"/>
    <x v="1"/>
    <x v="3"/>
  </r>
  <r>
    <n v="664"/>
    <x v="663"/>
    <x v="442"/>
    <s v="CUST1526"/>
    <x v="3"/>
    <x v="4"/>
    <x v="6"/>
    <x v="1"/>
    <x v="0"/>
    <x v="662"/>
    <x v="1"/>
    <x v="10"/>
    <n v="244.45"/>
    <x v="0"/>
    <x v="0"/>
    <x v="6"/>
    <x v="1"/>
    <x v="5"/>
  </r>
  <r>
    <n v="665"/>
    <x v="664"/>
    <x v="424"/>
    <s v="CUST4408"/>
    <x v="2"/>
    <x v="4"/>
    <x v="1"/>
    <x v="3"/>
    <x v="8"/>
    <x v="663"/>
    <x v="1"/>
    <x v="14"/>
    <n v="131.05000000000001"/>
    <x v="1"/>
    <x v="1"/>
    <x v="8"/>
    <x v="1"/>
    <x v="8"/>
  </r>
  <r>
    <n v="666"/>
    <x v="665"/>
    <x v="65"/>
    <s v="CUST6058"/>
    <x v="1"/>
    <x v="3"/>
    <x v="4"/>
    <x v="1"/>
    <x v="6"/>
    <x v="664"/>
    <x v="0"/>
    <x v="15"/>
    <n v="420.57"/>
    <x v="1"/>
    <x v="4"/>
    <x v="2"/>
    <x v="0"/>
    <x v="4"/>
  </r>
  <r>
    <n v="667"/>
    <x v="666"/>
    <x v="77"/>
    <s v="CUST4573"/>
    <x v="4"/>
    <x v="4"/>
    <x v="6"/>
    <x v="0"/>
    <x v="5"/>
    <x v="665"/>
    <x v="0"/>
    <x v="25"/>
    <n v="251.19"/>
    <x v="0"/>
    <x v="0"/>
    <x v="0"/>
    <x v="0"/>
    <x v="9"/>
  </r>
  <r>
    <n v="668"/>
    <x v="667"/>
    <x v="443"/>
    <s v="CUST3182"/>
    <x v="1"/>
    <x v="1"/>
    <x v="3"/>
    <x v="0"/>
    <x v="8"/>
    <x v="666"/>
    <x v="2"/>
    <x v="27"/>
    <n v="563.79999999999995"/>
    <x v="0"/>
    <x v="2"/>
    <x v="0"/>
    <x v="0"/>
    <x v="5"/>
  </r>
  <r>
    <n v="669"/>
    <x v="668"/>
    <x v="444"/>
    <s v="CUST7682"/>
    <x v="0"/>
    <x v="0"/>
    <x v="4"/>
    <x v="4"/>
    <x v="0"/>
    <x v="667"/>
    <x v="2"/>
    <x v="11"/>
    <n v="960.56"/>
    <x v="2"/>
    <x v="3"/>
    <x v="7"/>
    <x v="0"/>
    <x v="11"/>
  </r>
  <r>
    <n v="670"/>
    <x v="669"/>
    <x v="102"/>
    <s v="CUST1862"/>
    <x v="3"/>
    <x v="5"/>
    <x v="1"/>
    <x v="0"/>
    <x v="0"/>
    <x v="668"/>
    <x v="0"/>
    <x v="24"/>
    <n v="1094.1500000000001"/>
    <x v="1"/>
    <x v="1"/>
    <x v="4"/>
    <x v="1"/>
    <x v="9"/>
  </r>
  <r>
    <n v="671"/>
    <x v="670"/>
    <x v="258"/>
    <s v="CUST4779"/>
    <x v="4"/>
    <x v="5"/>
    <x v="7"/>
    <x v="4"/>
    <x v="6"/>
    <x v="669"/>
    <x v="4"/>
    <x v="3"/>
    <n v="317.62"/>
    <x v="1"/>
    <x v="4"/>
    <x v="4"/>
    <x v="0"/>
    <x v="11"/>
  </r>
  <r>
    <n v="672"/>
    <x v="671"/>
    <x v="445"/>
    <s v="CUST2983"/>
    <x v="4"/>
    <x v="3"/>
    <x v="0"/>
    <x v="4"/>
    <x v="5"/>
    <x v="670"/>
    <x v="1"/>
    <x v="14"/>
    <n v="157.49"/>
    <x v="0"/>
    <x v="0"/>
    <x v="9"/>
    <x v="1"/>
    <x v="4"/>
  </r>
  <r>
    <n v="673"/>
    <x v="672"/>
    <x v="330"/>
    <s v="CUST7796"/>
    <x v="2"/>
    <x v="0"/>
    <x v="1"/>
    <x v="0"/>
    <x v="2"/>
    <x v="671"/>
    <x v="4"/>
    <x v="19"/>
    <n v="621.07000000000005"/>
    <x v="1"/>
    <x v="2"/>
    <x v="3"/>
    <x v="1"/>
    <x v="4"/>
  </r>
  <r>
    <n v="674"/>
    <x v="673"/>
    <x v="446"/>
    <s v="CUST7603"/>
    <x v="1"/>
    <x v="3"/>
    <x v="4"/>
    <x v="4"/>
    <x v="8"/>
    <x v="672"/>
    <x v="4"/>
    <x v="19"/>
    <n v="160.24"/>
    <x v="1"/>
    <x v="4"/>
    <x v="3"/>
    <x v="0"/>
    <x v="2"/>
  </r>
  <r>
    <n v="675"/>
    <x v="674"/>
    <x v="427"/>
    <s v="CUST4940"/>
    <x v="2"/>
    <x v="5"/>
    <x v="0"/>
    <x v="4"/>
    <x v="2"/>
    <x v="673"/>
    <x v="1"/>
    <x v="29"/>
    <n v="156.93"/>
    <x v="1"/>
    <x v="3"/>
    <x v="7"/>
    <x v="1"/>
    <x v="6"/>
  </r>
  <r>
    <n v="676"/>
    <x v="675"/>
    <x v="120"/>
    <s v="CUST7538"/>
    <x v="4"/>
    <x v="2"/>
    <x v="0"/>
    <x v="4"/>
    <x v="5"/>
    <x v="674"/>
    <x v="2"/>
    <x v="6"/>
    <n v="1020.49"/>
    <x v="1"/>
    <x v="0"/>
    <x v="6"/>
    <x v="1"/>
    <x v="10"/>
  </r>
  <r>
    <n v="677"/>
    <x v="676"/>
    <x v="81"/>
    <s v="CUST3213"/>
    <x v="4"/>
    <x v="2"/>
    <x v="5"/>
    <x v="2"/>
    <x v="0"/>
    <x v="675"/>
    <x v="4"/>
    <x v="22"/>
    <n v="361.9"/>
    <x v="0"/>
    <x v="0"/>
    <x v="1"/>
    <x v="0"/>
    <x v="1"/>
  </r>
  <r>
    <n v="678"/>
    <x v="677"/>
    <x v="447"/>
    <s v="CUST2694"/>
    <x v="1"/>
    <x v="3"/>
    <x v="6"/>
    <x v="0"/>
    <x v="5"/>
    <x v="676"/>
    <x v="3"/>
    <x v="15"/>
    <n v="410.07"/>
    <x v="0"/>
    <x v="4"/>
    <x v="1"/>
    <x v="1"/>
    <x v="0"/>
  </r>
  <r>
    <n v="679"/>
    <x v="678"/>
    <x v="375"/>
    <s v="CUST4856"/>
    <x v="2"/>
    <x v="2"/>
    <x v="4"/>
    <x v="2"/>
    <x v="4"/>
    <x v="677"/>
    <x v="3"/>
    <x v="28"/>
    <n v="646.79999999999995"/>
    <x v="1"/>
    <x v="4"/>
    <x v="9"/>
    <x v="0"/>
    <x v="3"/>
  </r>
  <r>
    <n v="680"/>
    <x v="679"/>
    <x v="448"/>
    <s v="CUST6964"/>
    <x v="3"/>
    <x v="5"/>
    <x v="4"/>
    <x v="4"/>
    <x v="5"/>
    <x v="678"/>
    <x v="2"/>
    <x v="5"/>
    <n v="495.62"/>
    <x v="1"/>
    <x v="3"/>
    <x v="3"/>
    <x v="1"/>
    <x v="6"/>
  </r>
  <r>
    <n v="681"/>
    <x v="680"/>
    <x v="449"/>
    <s v="CUST8897"/>
    <x v="3"/>
    <x v="2"/>
    <x v="7"/>
    <x v="0"/>
    <x v="2"/>
    <x v="679"/>
    <x v="3"/>
    <x v="3"/>
    <n v="313.11"/>
    <x v="1"/>
    <x v="3"/>
    <x v="4"/>
    <x v="0"/>
    <x v="6"/>
  </r>
  <r>
    <n v="682"/>
    <x v="681"/>
    <x v="450"/>
    <s v="CUST6695"/>
    <x v="0"/>
    <x v="1"/>
    <x v="0"/>
    <x v="2"/>
    <x v="0"/>
    <x v="680"/>
    <x v="1"/>
    <x v="29"/>
    <n v="24.65"/>
    <x v="2"/>
    <x v="3"/>
    <x v="0"/>
    <x v="1"/>
    <x v="8"/>
  </r>
  <r>
    <n v="683"/>
    <x v="682"/>
    <x v="216"/>
    <s v="CUST4026"/>
    <x v="3"/>
    <x v="6"/>
    <x v="0"/>
    <x v="4"/>
    <x v="8"/>
    <x v="681"/>
    <x v="0"/>
    <x v="19"/>
    <n v="1332.56"/>
    <x v="0"/>
    <x v="2"/>
    <x v="0"/>
    <x v="0"/>
    <x v="4"/>
  </r>
  <r>
    <n v="684"/>
    <x v="683"/>
    <x v="451"/>
    <s v="CUST4574"/>
    <x v="3"/>
    <x v="5"/>
    <x v="1"/>
    <x v="4"/>
    <x v="7"/>
    <x v="682"/>
    <x v="2"/>
    <x v="13"/>
    <n v="293.57"/>
    <x v="2"/>
    <x v="0"/>
    <x v="1"/>
    <x v="1"/>
    <x v="3"/>
  </r>
  <r>
    <n v="685"/>
    <x v="684"/>
    <x v="58"/>
    <s v="CUST1816"/>
    <x v="1"/>
    <x v="4"/>
    <x v="1"/>
    <x v="0"/>
    <x v="0"/>
    <x v="683"/>
    <x v="1"/>
    <x v="11"/>
    <n v="98.35"/>
    <x v="2"/>
    <x v="2"/>
    <x v="9"/>
    <x v="0"/>
    <x v="7"/>
  </r>
  <r>
    <n v="686"/>
    <x v="685"/>
    <x v="394"/>
    <s v="CUST5414"/>
    <x v="1"/>
    <x v="4"/>
    <x v="2"/>
    <x v="3"/>
    <x v="8"/>
    <x v="684"/>
    <x v="3"/>
    <x v="2"/>
    <n v="259.39"/>
    <x v="2"/>
    <x v="4"/>
    <x v="5"/>
    <x v="0"/>
    <x v="2"/>
  </r>
  <r>
    <n v="687"/>
    <x v="686"/>
    <x v="288"/>
    <s v="CUST8076"/>
    <x v="2"/>
    <x v="0"/>
    <x v="3"/>
    <x v="3"/>
    <x v="2"/>
    <x v="685"/>
    <x v="3"/>
    <x v="25"/>
    <n v="163.80000000000001"/>
    <x v="1"/>
    <x v="4"/>
    <x v="2"/>
    <x v="0"/>
    <x v="8"/>
  </r>
  <r>
    <n v="688"/>
    <x v="687"/>
    <x v="452"/>
    <s v="CUST7958"/>
    <x v="2"/>
    <x v="0"/>
    <x v="5"/>
    <x v="1"/>
    <x v="6"/>
    <x v="686"/>
    <x v="2"/>
    <x v="19"/>
    <n v="487.09"/>
    <x v="0"/>
    <x v="4"/>
    <x v="6"/>
    <x v="1"/>
    <x v="1"/>
  </r>
  <r>
    <n v="689"/>
    <x v="688"/>
    <x v="347"/>
    <s v="CUST9635"/>
    <x v="3"/>
    <x v="4"/>
    <x v="1"/>
    <x v="3"/>
    <x v="5"/>
    <x v="687"/>
    <x v="4"/>
    <x v="18"/>
    <n v="92.94"/>
    <x v="2"/>
    <x v="2"/>
    <x v="1"/>
    <x v="0"/>
    <x v="11"/>
  </r>
  <r>
    <n v="690"/>
    <x v="689"/>
    <x v="84"/>
    <s v="CUST2744"/>
    <x v="1"/>
    <x v="6"/>
    <x v="0"/>
    <x v="4"/>
    <x v="2"/>
    <x v="688"/>
    <x v="3"/>
    <x v="7"/>
    <n v="124.08"/>
    <x v="0"/>
    <x v="2"/>
    <x v="5"/>
    <x v="1"/>
    <x v="4"/>
  </r>
  <r>
    <n v="691"/>
    <x v="690"/>
    <x v="449"/>
    <s v="CUST3993"/>
    <x v="1"/>
    <x v="6"/>
    <x v="0"/>
    <x v="1"/>
    <x v="3"/>
    <x v="689"/>
    <x v="1"/>
    <x v="25"/>
    <n v="179.18"/>
    <x v="0"/>
    <x v="0"/>
    <x v="4"/>
    <x v="0"/>
    <x v="6"/>
  </r>
  <r>
    <n v="692"/>
    <x v="691"/>
    <x v="390"/>
    <s v="CUST6651"/>
    <x v="0"/>
    <x v="4"/>
    <x v="1"/>
    <x v="3"/>
    <x v="5"/>
    <x v="690"/>
    <x v="2"/>
    <x v="26"/>
    <n v="69.400000000000006"/>
    <x v="2"/>
    <x v="1"/>
    <x v="8"/>
    <x v="0"/>
    <x v="5"/>
  </r>
  <r>
    <n v="693"/>
    <x v="692"/>
    <x v="164"/>
    <s v="CUST9616"/>
    <x v="4"/>
    <x v="3"/>
    <x v="6"/>
    <x v="1"/>
    <x v="8"/>
    <x v="691"/>
    <x v="4"/>
    <x v="15"/>
    <n v="172.05"/>
    <x v="0"/>
    <x v="2"/>
    <x v="6"/>
    <x v="0"/>
    <x v="11"/>
  </r>
  <r>
    <n v="694"/>
    <x v="693"/>
    <x v="98"/>
    <s v="CUST6675"/>
    <x v="0"/>
    <x v="1"/>
    <x v="4"/>
    <x v="2"/>
    <x v="0"/>
    <x v="692"/>
    <x v="3"/>
    <x v="25"/>
    <n v="909.9"/>
    <x v="2"/>
    <x v="4"/>
    <x v="0"/>
    <x v="0"/>
    <x v="9"/>
  </r>
  <r>
    <n v="695"/>
    <x v="694"/>
    <x v="175"/>
    <s v="CUST6798"/>
    <x v="4"/>
    <x v="3"/>
    <x v="6"/>
    <x v="0"/>
    <x v="6"/>
    <x v="693"/>
    <x v="4"/>
    <x v="26"/>
    <n v="441.85"/>
    <x v="0"/>
    <x v="1"/>
    <x v="9"/>
    <x v="0"/>
    <x v="8"/>
  </r>
  <r>
    <n v="696"/>
    <x v="695"/>
    <x v="154"/>
    <s v="CUST5838"/>
    <x v="3"/>
    <x v="2"/>
    <x v="2"/>
    <x v="3"/>
    <x v="6"/>
    <x v="694"/>
    <x v="3"/>
    <x v="15"/>
    <n v="791.79"/>
    <x v="1"/>
    <x v="0"/>
    <x v="9"/>
    <x v="0"/>
    <x v="11"/>
  </r>
  <r>
    <n v="697"/>
    <x v="696"/>
    <x v="453"/>
    <s v="CUST5707"/>
    <x v="1"/>
    <x v="2"/>
    <x v="1"/>
    <x v="0"/>
    <x v="7"/>
    <x v="695"/>
    <x v="4"/>
    <x v="7"/>
    <n v="24.48"/>
    <x v="1"/>
    <x v="2"/>
    <x v="7"/>
    <x v="0"/>
    <x v="2"/>
  </r>
  <r>
    <n v="698"/>
    <x v="697"/>
    <x v="176"/>
    <s v="CUST7689"/>
    <x v="3"/>
    <x v="3"/>
    <x v="2"/>
    <x v="1"/>
    <x v="3"/>
    <x v="696"/>
    <x v="3"/>
    <x v="8"/>
    <n v="236.93"/>
    <x v="0"/>
    <x v="3"/>
    <x v="3"/>
    <x v="0"/>
    <x v="0"/>
  </r>
  <r>
    <n v="699"/>
    <x v="698"/>
    <x v="272"/>
    <s v="CUST7390"/>
    <x v="3"/>
    <x v="4"/>
    <x v="2"/>
    <x v="3"/>
    <x v="7"/>
    <x v="697"/>
    <x v="1"/>
    <x v="1"/>
    <n v="141"/>
    <x v="1"/>
    <x v="0"/>
    <x v="1"/>
    <x v="0"/>
    <x v="6"/>
  </r>
  <r>
    <n v="700"/>
    <x v="699"/>
    <x v="454"/>
    <s v="CUST1789"/>
    <x v="0"/>
    <x v="1"/>
    <x v="3"/>
    <x v="4"/>
    <x v="3"/>
    <x v="698"/>
    <x v="0"/>
    <x v="30"/>
    <n v="1006.36"/>
    <x v="1"/>
    <x v="1"/>
    <x v="6"/>
    <x v="1"/>
    <x v="2"/>
  </r>
  <r>
    <n v="701"/>
    <x v="700"/>
    <x v="455"/>
    <s v="CUST7399"/>
    <x v="3"/>
    <x v="6"/>
    <x v="5"/>
    <x v="2"/>
    <x v="6"/>
    <x v="699"/>
    <x v="1"/>
    <x v="10"/>
    <n v="212.27"/>
    <x v="0"/>
    <x v="1"/>
    <x v="5"/>
    <x v="0"/>
    <x v="8"/>
  </r>
  <r>
    <n v="702"/>
    <x v="701"/>
    <x v="438"/>
    <s v="CUST5899"/>
    <x v="1"/>
    <x v="5"/>
    <x v="1"/>
    <x v="4"/>
    <x v="2"/>
    <x v="700"/>
    <x v="0"/>
    <x v="29"/>
    <n v="1435.34"/>
    <x v="1"/>
    <x v="4"/>
    <x v="9"/>
    <x v="0"/>
    <x v="10"/>
  </r>
  <r>
    <n v="703"/>
    <x v="702"/>
    <x v="383"/>
    <s v="CUST6669"/>
    <x v="3"/>
    <x v="5"/>
    <x v="3"/>
    <x v="3"/>
    <x v="0"/>
    <x v="701"/>
    <x v="1"/>
    <x v="21"/>
    <n v="281.49"/>
    <x v="0"/>
    <x v="3"/>
    <x v="4"/>
    <x v="0"/>
    <x v="9"/>
  </r>
  <r>
    <n v="704"/>
    <x v="703"/>
    <x v="51"/>
    <s v="CUST3036"/>
    <x v="0"/>
    <x v="1"/>
    <x v="7"/>
    <x v="4"/>
    <x v="6"/>
    <x v="702"/>
    <x v="3"/>
    <x v="15"/>
    <n v="11.38"/>
    <x v="1"/>
    <x v="0"/>
    <x v="8"/>
    <x v="0"/>
    <x v="0"/>
  </r>
  <r>
    <n v="705"/>
    <x v="704"/>
    <x v="456"/>
    <s v="CUST3309"/>
    <x v="0"/>
    <x v="6"/>
    <x v="7"/>
    <x v="3"/>
    <x v="0"/>
    <x v="703"/>
    <x v="0"/>
    <x v="4"/>
    <n v="247.55"/>
    <x v="2"/>
    <x v="1"/>
    <x v="2"/>
    <x v="1"/>
    <x v="5"/>
  </r>
  <r>
    <n v="706"/>
    <x v="705"/>
    <x v="457"/>
    <s v="CUST9328"/>
    <x v="1"/>
    <x v="6"/>
    <x v="4"/>
    <x v="1"/>
    <x v="7"/>
    <x v="704"/>
    <x v="4"/>
    <x v="30"/>
    <n v="587.78"/>
    <x v="1"/>
    <x v="4"/>
    <x v="3"/>
    <x v="1"/>
    <x v="5"/>
  </r>
  <r>
    <n v="707"/>
    <x v="706"/>
    <x v="222"/>
    <s v="CUST8004"/>
    <x v="4"/>
    <x v="5"/>
    <x v="5"/>
    <x v="3"/>
    <x v="4"/>
    <x v="705"/>
    <x v="4"/>
    <x v="3"/>
    <n v="203.84"/>
    <x v="2"/>
    <x v="2"/>
    <x v="9"/>
    <x v="0"/>
    <x v="9"/>
  </r>
  <r>
    <n v="708"/>
    <x v="707"/>
    <x v="458"/>
    <s v="CUST4178"/>
    <x v="0"/>
    <x v="5"/>
    <x v="6"/>
    <x v="1"/>
    <x v="3"/>
    <x v="706"/>
    <x v="0"/>
    <x v="17"/>
    <n v="625.4"/>
    <x v="1"/>
    <x v="1"/>
    <x v="5"/>
    <x v="1"/>
    <x v="9"/>
  </r>
  <r>
    <n v="709"/>
    <x v="708"/>
    <x v="459"/>
    <s v="CUST3427"/>
    <x v="2"/>
    <x v="3"/>
    <x v="7"/>
    <x v="1"/>
    <x v="4"/>
    <x v="707"/>
    <x v="1"/>
    <x v="1"/>
    <n v="163.86"/>
    <x v="1"/>
    <x v="3"/>
    <x v="2"/>
    <x v="0"/>
    <x v="0"/>
  </r>
  <r>
    <n v="710"/>
    <x v="709"/>
    <x v="460"/>
    <s v="CUST6488"/>
    <x v="2"/>
    <x v="6"/>
    <x v="5"/>
    <x v="1"/>
    <x v="3"/>
    <x v="708"/>
    <x v="2"/>
    <x v="11"/>
    <n v="441.92"/>
    <x v="0"/>
    <x v="4"/>
    <x v="5"/>
    <x v="0"/>
    <x v="8"/>
  </r>
  <r>
    <n v="711"/>
    <x v="710"/>
    <x v="461"/>
    <s v="CUST1065"/>
    <x v="2"/>
    <x v="4"/>
    <x v="5"/>
    <x v="3"/>
    <x v="7"/>
    <x v="709"/>
    <x v="0"/>
    <x v="11"/>
    <n v="292.02"/>
    <x v="1"/>
    <x v="2"/>
    <x v="4"/>
    <x v="1"/>
    <x v="11"/>
  </r>
  <r>
    <n v="712"/>
    <x v="711"/>
    <x v="224"/>
    <s v="CUST7932"/>
    <x v="2"/>
    <x v="3"/>
    <x v="7"/>
    <x v="1"/>
    <x v="5"/>
    <x v="710"/>
    <x v="2"/>
    <x v="26"/>
    <n v="481.67"/>
    <x v="0"/>
    <x v="3"/>
    <x v="4"/>
    <x v="0"/>
    <x v="0"/>
  </r>
  <r>
    <n v="713"/>
    <x v="712"/>
    <x v="140"/>
    <s v="CUST1835"/>
    <x v="1"/>
    <x v="5"/>
    <x v="2"/>
    <x v="1"/>
    <x v="4"/>
    <x v="711"/>
    <x v="1"/>
    <x v="4"/>
    <n v="208.96"/>
    <x v="2"/>
    <x v="1"/>
    <x v="0"/>
    <x v="1"/>
    <x v="10"/>
  </r>
  <r>
    <n v="714"/>
    <x v="713"/>
    <x v="462"/>
    <s v="CUST9007"/>
    <x v="3"/>
    <x v="2"/>
    <x v="0"/>
    <x v="2"/>
    <x v="5"/>
    <x v="712"/>
    <x v="3"/>
    <x v="10"/>
    <n v="352.43"/>
    <x v="0"/>
    <x v="0"/>
    <x v="8"/>
    <x v="1"/>
    <x v="7"/>
  </r>
  <r>
    <n v="715"/>
    <x v="714"/>
    <x v="28"/>
    <s v="CUST5460"/>
    <x v="2"/>
    <x v="4"/>
    <x v="4"/>
    <x v="1"/>
    <x v="6"/>
    <x v="713"/>
    <x v="2"/>
    <x v="1"/>
    <n v="359.45"/>
    <x v="1"/>
    <x v="1"/>
    <x v="6"/>
    <x v="0"/>
    <x v="6"/>
  </r>
  <r>
    <n v="716"/>
    <x v="715"/>
    <x v="13"/>
    <s v="CUST4217"/>
    <x v="4"/>
    <x v="2"/>
    <x v="5"/>
    <x v="1"/>
    <x v="8"/>
    <x v="714"/>
    <x v="3"/>
    <x v="5"/>
    <n v="55.89"/>
    <x v="0"/>
    <x v="0"/>
    <x v="9"/>
    <x v="1"/>
    <x v="6"/>
  </r>
  <r>
    <n v="717"/>
    <x v="716"/>
    <x v="463"/>
    <s v="CUST1881"/>
    <x v="1"/>
    <x v="3"/>
    <x v="0"/>
    <x v="0"/>
    <x v="5"/>
    <x v="715"/>
    <x v="4"/>
    <x v="15"/>
    <n v="240.62"/>
    <x v="1"/>
    <x v="3"/>
    <x v="5"/>
    <x v="1"/>
    <x v="3"/>
  </r>
  <r>
    <n v="718"/>
    <x v="717"/>
    <x v="281"/>
    <s v="CUST7217"/>
    <x v="2"/>
    <x v="5"/>
    <x v="2"/>
    <x v="1"/>
    <x v="8"/>
    <x v="716"/>
    <x v="1"/>
    <x v="17"/>
    <n v="79.44"/>
    <x v="2"/>
    <x v="3"/>
    <x v="6"/>
    <x v="1"/>
    <x v="4"/>
  </r>
  <r>
    <n v="719"/>
    <x v="718"/>
    <x v="102"/>
    <s v="CUST7589"/>
    <x v="3"/>
    <x v="3"/>
    <x v="0"/>
    <x v="2"/>
    <x v="0"/>
    <x v="717"/>
    <x v="3"/>
    <x v="9"/>
    <n v="212.16"/>
    <x v="2"/>
    <x v="4"/>
    <x v="9"/>
    <x v="1"/>
    <x v="9"/>
  </r>
  <r>
    <n v="720"/>
    <x v="719"/>
    <x v="329"/>
    <s v="CUST1719"/>
    <x v="2"/>
    <x v="4"/>
    <x v="4"/>
    <x v="4"/>
    <x v="2"/>
    <x v="718"/>
    <x v="1"/>
    <x v="20"/>
    <n v="37.380000000000003"/>
    <x v="0"/>
    <x v="0"/>
    <x v="1"/>
    <x v="1"/>
    <x v="1"/>
  </r>
  <r>
    <n v="721"/>
    <x v="720"/>
    <x v="464"/>
    <s v="CUST1800"/>
    <x v="0"/>
    <x v="1"/>
    <x v="6"/>
    <x v="2"/>
    <x v="4"/>
    <x v="719"/>
    <x v="3"/>
    <x v="27"/>
    <n v="190.02"/>
    <x v="0"/>
    <x v="3"/>
    <x v="7"/>
    <x v="0"/>
    <x v="8"/>
  </r>
  <r>
    <n v="722"/>
    <x v="721"/>
    <x v="465"/>
    <s v="CUST3370"/>
    <x v="2"/>
    <x v="3"/>
    <x v="4"/>
    <x v="3"/>
    <x v="1"/>
    <x v="720"/>
    <x v="2"/>
    <x v="29"/>
    <n v="484.54"/>
    <x v="2"/>
    <x v="2"/>
    <x v="3"/>
    <x v="0"/>
    <x v="11"/>
  </r>
  <r>
    <n v="723"/>
    <x v="722"/>
    <x v="466"/>
    <s v="CUST2533"/>
    <x v="4"/>
    <x v="0"/>
    <x v="5"/>
    <x v="4"/>
    <x v="4"/>
    <x v="721"/>
    <x v="1"/>
    <x v="27"/>
    <n v="89.8"/>
    <x v="2"/>
    <x v="0"/>
    <x v="8"/>
    <x v="1"/>
    <x v="2"/>
  </r>
  <r>
    <n v="724"/>
    <x v="723"/>
    <x v="467"/>
    <s v="CUST9290"/>
    <x v="2"/>
    <x v="5"/>
    <x v="5"/>
    <x v="3"/>
    <x v="3"/>
    <x v="722"/>
    <x v="0"/>
    <x v="30"/>
    <n v="517.73"/>
    <x v="0"/>
    <x v="0"/>
    <x v="9"/>
    <x v="1"/>
    <x v="5"/>
  </r>
  <r>
    <n v="725"/>
    <x v="724"/>
    <x v="305"/>
    <s v="CUST1567"/>
    <x v="2"/>
    <x v="4"/>
    <x v="3"/>
    <x v="3"/>
    <x v="7"/>
    <x v="723"/>
    <x v="1"/>
    <x v="17"/>
    <n v="89.92"/>
    <x v="2"/>
    <x v="0"/>
    <x v="9"/>
    <x v="0"/>
    <x v="4"/>
  </r>
  <r>
    <n v="726"/>
    <x v="725"/>
    <x v="342"/>
    <s v="CUST7721"/>
    <x v="3"/>
    <x v="3"/>
    <x v="2"/>
    <x v="3"/>
    <x v="7"/>
    <x v="724"/>
    <x v="1"/>
    <x v="1"/>
    <n v="146.91999999999999"/>
    <x v="2"/>
    <x v="4"/>
    <x v="5"/>
    <x v="0"/>
    <x v="2"/>
  </r>
  <r>
    <n v="727"/>
    <x v="726"/>
    <x v="38"/>
    <s v="CUST8026"/>
    <x v="0"/>
    <x v="4"/>
    <x v="1"/>
    <x v="4"/>
    <x v="4"/>
    <x v="725"/>
    <x v="4"/>
    <x v="21"/>
    <n v="100.84"/>
    <x v="0"/>
    <x v="0"/>
    <x v="6"/>
    <x v="1"/>
    <x v="11"/>
  </r>
  <r>
    <n v="728"/>
    <x v="727"/>
    <x v="147"/>
    <s v="CUST9233"/>
    <x v="4"/>
    <x v="5"/>
    <x v="5"/>
    <x v="2"/>
    <x v="0"/>
    <x v="726"/>
    <x v="2"/>
    <x v="6"/>
    <n v="76.19"/>
    <x v="2"/>
    <x v="4"/>
    <x v="5"/>
    <x v="0"/>
    <x v="2"/>
  </r>
  <r>
    <n v="729"/>
    <x v="728"/>
    <x v="292"/>
    <s v="CUST9223"/>
    <x v="4"/>
    <x v="4"/>
    <x v="2"/>
    <x v="1"/>
    <x v="6"/>
    <x v="727"/>
    <x v="1"/>
    <x v="21"/>
    <n v="33.97"/>
    <x v="1"/>
    <x v="1"/>
    <x v="3"/>
    <x v="1"/>
    <x v="11"/>
  </r>
  <r>
    <n v="730"/>
    <x v="729"/>
    <x v="468"/>
    <s v="CUST6666"/>
    <x v="0"/>
    <x v="0"/>
    <x v="2"/>
    <x v="1"/>
    <x v="4"/>
    <x v="728"/>
    <x v="3"/>
    <x v="27"/>
    <n v="685.95"/>
    <x v="2"/>
    <x v="1"/>
    <x v="1"/>
    <x v="0"/>
    <x v="0"/>
  </r>
  <r>
    <n v="731"/>
    <x v="730"/>
    <x v="234"/>
    <s v="CUST5310"/>
    <x v="4"/>
    <x v="4"/>
    <x v="7"/>
    <x v="0"/>
    <x v="4"/>
    <x v="729"/>
    <x v="3"/>
    <x v="10"/>
    <n v="91.45"/>
    <x v="2"/>
    <x v="1"/>
    <x v="8"/>
    <x v="1"/>
    <x v="4"/>
  </r>
  <r>
    <n v="732"/>
    <x v="731"/>
    <x v="469"/>
    <s v="CUST3106"/>
    <x v="2"/>
    <x v="1"/>
    <x v="7"/>
    <x v="4"/>
    <x v="8"/>
    <x v="730"/>
    <x v="4"/>
    <x v="3"/>
    <n v="75.63"/>
    <x v="0"/>
    <x v="2"/>
    <x v="5"/>
    <x v="0"/>
    <x v="10"/>
  </r>
  <r>
    <n v="733"/>
    <x v="732"/>
    <x v="113"/>
    <s v="CUST9897"/>
    <x v="1"/>
    <x v="1"/>
    <x v="3"/>
    <x v="0"/>
    <x v="4"/>
    <x v="731"/>
    <x v="3"/>
    <x v="26"/>
    <n v="761.72"/>
    <x v="2"/>
    <x v="3"/>
    <x v="0"/>
    <x v="0"/>
    <x v="8"/>
  </r>
  <r>
    <n v="734"/>
    <x v="733"/>
    <x v="470"/>
    <s v="CUST1796"/>
    <x v="4"/>
    <x v="4"/>
    <x v="7"/>
    <x v="0"/>
    <x v="1"/>
    <x v="732"/>
    <x v="1"/>
    <x v="23"/>
    <n v="246.57"/>
    <x v="0"/>
    <x v="1"/>
    <x v="5"/>
    <x v="1"/>
    <x v="4"/>
  </r>
  <r>
    <n v="735"/>
    <x v="734"/>
    <x v="416"/>
    <s v="CUST1836"/>
    <x v="1"/>
    <x v="5"/>
    <x v="1"/>
    <x v="3"/>
    <x v="8"/>
    <x v="733"/>
    <x v="1"/>
    <x v="3"/>
    <n v="75.91"/>
    <x v="1"/>
    <x v="1"/>
    <x v="9"/>
    <x v="0"/>
    <x v="5"/>
  </r>
  <r>
    <n v="736"/>
    <x v="735"/>
    <x v="471"/>
    <s v="CUST5197"/>
    <x v="0"/>
    <x v="2"/>
    <x v="3"/>
    <x v="1"/>
    <x v="2"/>
    <x v="734"/>
    <x v="0"/>
    <x v="9"/>
    <n v="1327.93"/>
    <x v="2"/>
    <x v="1"/>
    <x v="5"/>
    <x v="1"/>
    <x v="1"/>
  </r>
  <r>
    <n v="737"/>
    <x v="736"/>
    <x v="445"/>
    <s v="CUST9403"/>
    <x v="0"/>
    <x v="0"/>
    <x v="7"/>
    <x v="4"/>
    <x v="6"/>
    <x v="735"/>
    <x v="1"/>
    <x v="13"/>
    <n v="63.28"/>
    <x v="0"/>
    <x v="3"/>
    <x v="9"/>
    <x v="1"/>
    <x v="4"/>
  </r>
  <r>
    <n v="738"/>
    <x v="737"/>
    <x v="472"/>
    <s v="CUST1244"/>
    <x v="3"/>
    <x v="4"/>
    <x v="1"/>
    <x v="2"/>
    <x v="6"/>
    <x v="736"/>
    <x v="3"/>
    <x v="27"/>
    <n v="572.55999999999995"/>
    <x v="1"/>
    <x v="1"/>
    <x v="6"/>
    <x v="1"/>
    <x v="10"/>
  </r>
  <r>
    <n v="739"/>
    <x v="738"/>
    <x v="252"/>
    <s v="CUST3498"/>
    <x v="2"/>
    <x v="5"/>
    <x v="5"/>
    <x v="4"/>
    <x v="5"/>
    <x v="737"/>
    <x v="3"/>
    <x v="1"/>
    <n v="10.31"/>
    <x v="1"/>
    <x v="0"/>
    <x v="6"/>
    <x v="1"/>
    <x v="10"/>
  </r>
  <r>
    <n v="740"/>
    <x v="739"/>
    <x v="473"/>
    <s v="CUST5183"/>
    <x v="4"/>
    <x v="5"/>
    <x v="4"/>
    <x v="1"/>
    <x v="7"/>
    <x v="738"/>
    <x v="4"/>
    <x v="0"/>
    <n v="190.31"/>
    <x v="0"/>
    <x v="3"/>
    <x v="3"/>
    <x v="0"/>
    <x v="11"/>
  </r>
  <r>
    <n v="741"/>
    <x v="740"/>
    <x v="474"/>
    <s v="CUST4575"/>
    <x v="3"/>
    <x v="2"/>
    <x v="7"/>
    <x v="3"/>
    <x v="7"/>
    <x v="739"/>
    <x v="1"/>
    <x v="13"/>
    <n v="181.28"/>
    <x v="2"/>
    <x v="1"/>
    <x v="9"/>
    <x v="0"/>
    <x v="6"/>
  </r>
  <r>
    <n v="742"/>
    <x v="741"/>
    <x v="242"/>
    <s v="CUST6714"/>
    <x v="2"/>
    <x v="0"/>
    <x v="2"/>
    <x v="4"/>
    <x v="4"/>
    <x v="740"/>
    <x v="0"/>
    <x v="16"/>
    <n v="340.96"/>
    <x v="0"/>
    <x v="3"/>
    <x v="9"/>
    <x v="0"/>
    <x v="10"/>
  </r>
  <r>
    <n v="743"/>
    <x v="742"/>
    <x v="475"/>
    <s v="CUST3810"/>
    <x v="4"/>
    <x v="4"/>
    <x v="4"/>
    <x v="2"/>
    <x v="1"/>
    <x v="741"/>
    <x v="4"/>
    <x v="6"/>
    <n v="42.47"/>
    <x v="2"/>
    <x v="2"/>
    <x v="4"/>
    <x v="1"/>
    <x v="0"/>
  </r>
  <r>
    <n v="744"/>
    <x v="743"/>
    <x v="279"/>
    <s v="CUST8951"/>
    <x v="4"/>
    <x v="0"/>
    <x v="7"/>
    <x v="3"/>
    <x v="4"/>
    <x v="742"/>
    <x v="2"/>
    <x v="3"/>
    <n v="719.03"/>
    <x v="1"/>
    <x v="4"/>
    <x v="1"/>
    <x v="1"/>
    <x v="3"/>
  </r>
  <r>
    <n v="745"/>
    <x v="744"/>
    <x v="476"/>
    <s v="CUST7942"/>
    <x v="0"/>
    <x v="3"/>
    <x v="3"/>
    <x v="0"/>
    <x v="5"/>
    <x v="743"/>
    <x v="3"/>
    <x v="25"/>
    <n v="312.47000000000003"/>
    <x v="0"/>
    <x v="2"/>
    <x v="4"/>
    <x v="0"/>
    <x v="3"/>
  </r>
  <r>
    <n v="746"/>
    <x v="745"/>
    <x v="263"/>
    <s v="CUST7885"/>
    <x v="0"/>
    <x v="3"/>
    <x v="3"/>
    <x v="1"/>
    <x v="6"/>
    <x v="744"/>
    <x v="0"/>
    <x v="8"/>
    <n v="276.5"/>
    <x v="2"/>
    <x v="3"/>
    <x v="7"/>
    <x v="1"/>
    <x v="8"/>
  </r>
  <r>
    <n v="747"/>
    <x v="746"/>
    <x v="330"/>
    <s v="CUST3534"/>
    <x v="4"/>
    <x v="5"/>
    <x v="7"/>
    <x v="1"/>
    <x v="8"/>
    <x v="745"/>
    <x v="1"/>
    <x v="12"/>
    <n v="104.99"/>
    <x v="0"/>
    <x v="4"/>
    <x v="4"/>
    <x v="1"/>
    <x v="4"/>
  </r>
  <r>
    <n v="748"/>
    <x v="747"/>
    <x v="135"/>
    <s v="CUST3484"/>
    <x v="2"/>
    <x v="6"/>
    <x v="7"/>
    <x v="0"/>
    <x v="5"/>
    <x v="746"/>
    <x v="4"/>
    <x v="26"/>
    <n v="373.34"/>
    <x v="2"/>
    <x v="0"/>
    <x v="1"/>
    <x v="0"/>
    <x v="7"/>
  </r>
  <r>
    <n v="749"/>
    <x v="748"/>
    <x v="231"/>
    <s v="CUST7076"/>
    <x v="4"/>
    <x v="4"/>
    <x v="1"/>
    <x v="2"/>
    <x v="0"/>
    <x v="747"/>
    <x v="3"/>
    <x v="1"/>
    <n v="79.58"/>
    <x v="0"/>
    <x v="4"/>
    <x v="8"/>
    <x v="0"/>
    <x v="10"/>
  </r>
  <r>
    <n v="750"/>
    <x v="749"/>
    <x v="399"/>
    <s v="CUST6095"/>
    <x v="3"/>
    <x v="0"/>
    <x v="6"/>
    <x v="3"/>
    <x v="3"/>
    <x v="748"/>
    <x v="2"/>
    <x v="2"/>
    <n v="199.46"/>
    <x v="2"/>
    <x v="4"/>
    <x v="6"/>
    <x v="0"/>
    <x v="7"/>
  </r>
  <r>
    <n v="751"/>
    <x v="750"/>
    <x v="477"/>
    <s v="CUST1390"/>
    <x v="2"/>
    <x v="0"/>
    <x v="6"/>
    <x v="2"/>
    <x v="4"/>
    <x v="749"/>
    <x v="2"/>
    <x v="18"/>
    <n v="127.78"/>
    <x v="0"/>
    <x v="3"/>
    <x v="6"/>
    <x v="0"/>
    <x v="8"/>
  </r>
  <r>
    <n v="752"/>
    <x v="751"/>
    <x v="150"/>
    <s v="CUST1767"/>
    <x v="2"/>
    <x v="5"/>
    <x v="3"/>
    <x v="4"/>
    <x v="7"/>
    <x v="750"/>
    <x v="3"/>
    <x v="29"/>
    <n v="605.53"/>
    <x v="0"/>
    <x v="4"/>
    <x v="3"/>
    <x v="1"/>
    <x v="6"/>
  </r>
  <r>
    <n v="753"/>
    <x v="752"/>
    <x v="161"/>
    <s v="CUST4026"/>
    <x v="2"/>
    <x v="1"/>
    <x v="2"/>
    <x v="3"/>
    <x v="7"/>
    <x v="751"/>
    <x v="3"/>
    <x v="13"/>
    <n v="793.75"/>
    <x v="1"/>
    <x v="0"/>
    <x v="3"/>
    <x v="1"/>
    <x v="5"/>
  </r>
  <r>
    <n v="754"/>
    <x v="753"/>
    <x v="3"/>
    <s v="CUST2993"/>
    <x v="3"/>
    <x v="6"/>
    <x v="6"/>
    <x v="4"/>
    <x v="3"/>
    <x v="752"/>
    <x v="1"/>
    <x v="10"/>
    <n v="29.28"/>
    <x v="1"/>
    <x v="3"/>
    <x v="0"/>
    <x v="0"/>
    <x v="2"/>
  </r>
  <r>
    <n v="755"/>
    <x v="754"/>
    <x v="290"/>
    <s v="CUST8395"/>
    <x v="1"/>
    <x v="1"/>
    <x v="6"/>
    <x v="3"/>
    <x v="2"/>
    <x v="753"/>
    <x v="4"/>
    <x v="27"/>
    <n v="96.76"/>
    <x v="1"/>
    <x v="4"/>
    <x v="2"/>
    <x v="1"/>
    <x v="8"/>
  </r>
  <r>
    <n v="756"/>
    <x v="755"/>
    <x v="410"/>
    <s v="CUST6817"/>
    <x v="2"/>
    <x v="3"/>
    <x v="2"/>
    <x v="1"/>
    <x v="5"/>
    <x v="754"/>
    <x v="1"/>
    <x v="22"/>
    <n v="96.65"/>
    <x v="1"/>
    <x v="1"/>
    <x v="1"/>
    <x v="0"/>
    <x v="2"/>
  </r>
  <r>
    <n v="757"/>
    <x v="756"/>
    <x v="406"/>
    <s v="CUST5582"/>
    <x v="1"/>
    <x v="1"/>
    <x v="2"/>
    <x v="2"/>
    <x v="0"/>
    <x v="755"/>
    <x v="0"/>
    <x v="13"/>
    <n v="478.5"/>
    <x v="0"/>
    <x v="3"/>
    <x v="3"/>
    <x v="1"/>
    <x v="1"/>
  </r>
  <r>
    <n v="758"/>
    <x v="757"/>
    <x v="72"/>
    <s v="CUST6000"/>
    <x v="3"/>
    <x v="6"/>
    <x v="2"/>
    <x v="1"/>
    <x v="0"/>
    <x v="756"/>
    <x v="2"/>
    <x v="24"/>
    <n v="885.18"/>
    <x v="2"/>
    <x v="2"/>
    <x v="7"/>
    <x v="0"/>
    <x v="3"/>
  </r>
  <r>
    <n v="759"/>
    <x v="758"/>
    <x v="116"/>
    <s v="CUST7091"/>
    <x v="1"/>
    <x v="3"/>
    <x v="7"/>
    <x v="3"/>
    <x v="1"/>
    <x v="757"/>
    <x v="4"/>
    <x v="13"/>
    <n v="136.87"/>
    <x v="2"/>
    <x v="0"/>
    <x v="6"/>
    <x v="0"/>
    <x v="9"/>
  </r>
  <r>
    <n v="760"/>
    <x v="759"/>
    <x v="478"/>
    <s v="CUST2571"/>
    <x v="0"/>
    <x v="3"/>
    <x v="6"/>
    <x v="0"/>
    <x v="1"/>
    <x v="758"/>
    <x v="4"/>
    <x v="30"/>
    <n v="350.22"/>
    <x v="0"/>
    <x v="3"/>
    <x v="8"/>
    <x v="1"/>
    <x v="9"/>
  </r>
  <r>
    <n v="761"/>
    <x v="760"/>
    <x v="479"/>
    <s v="CUST6178"/>
    <x v="2"/>
    <x v="2"/>
    <x v="7"/>
    <x v="3"/>
    <x v="8"/>
    <x v="759"/>
    <x v="2"/>
    <x v="13"/>
    <n v="650.94000000000005"/>
    <x v="2"/>
    <x v="1"/>
    <x v="9"/>
    <x v="1"/>
    <x v="10"/>
  </r>
  <r>
    <n v="762"/>
    <x v="761"/>
    <x v="480"/>
    <s v="CUST5666"/>
    <x v="1"/>
    <x v="2"/>
    <x v="5"/>
    <x v="0"/>
    <x v="7"/>
    <x v="760"/>
    <x v="0"/>
    <x v="17"/>
    <n v="148.38"/>
    <x v="0"/>
    <x v="4"/>
    <x v="9"/>
    <x v="1"/>
    <x v="5"/>
  </r>
  <r>
    <n v="763"/>
    <x v="762"/>
    <x v="481"/>
    <s v="CUST4163"/>
    <x v="4"/>
    <x v="2"/>
    <x v="7"/>
    <x v="4"/>
    <x v="7"/>
    <x v="761"/>
    <x v="1"/>
    <x v="11"/>
    <n v="106.7"/>
    <x v="2"/>
    <x v="4"/>
    <x v="5"/>
    <x v="1"/>
    <x v="8"/>
  </r>
  <r>
    <n v="764"/>
    <x v="763"/>
    <x v="482"/>
    <s v="CUST6078"/>
    <x v="1"/>
    <x v="6"/>
    <x v="4"/>
    <x v="0"/>
    <x v="5"/>
    <x v="762"/>
    <x v="1"/>
    <x v="1"/>
    <n v="179.51"/>
    <x v="0"/>
    <x v="0"/>
    <x v="0"/>
    <x v="0"/>
    <x v="6"/>
  </r>
  <r>
    <n v="765"/>
    <x v="764"/>
    <x v="413"/>
    <s v="CUST6587"/>
    <x v="1"/>
    <x v="6"/>
    <x v="6"/>
    <x v="1"/>
    <x v="6"/>
    <x v="763"/>
    <x v="2"/>
    <x v="9"/>
    <n v="855.05"/>
    <x v="2"/>
    <x v="4"/>
    <x v="3"/>
    <x v="0"/>
    <x v="10"/>
  </r>
  <r>
    <n v="766"/>
    <x v="765"/>
    <x v="483"/>
    <s v="CUST4583"/>
    <x v="0"/>
    <x v="2"/>
    <x v="0"/>
    <x v="2"/>
    <x v="3"/>
    <x v="764"/>
    <x v="1"/>
    <x v="17"/>
    <n v="173.99"/>
    <x v="0"/>
    <x v="4"/>
    <x v="1"/>
    <x v="1"/>
    <x v="5"/>
  </r>
  <r>
    <n v="767"/>
    <x v="766"/>
    <x v="277"/>
    <s v="CUST2924"/>
    <x v="1"/>
    <x v="0"/>
    <x v="5"/>
    <x v="0"/>
    <x v="7"/>
    <x v="765"/>
    <x v="2"/>
    <x v="1"/>
    <n v="1019.85"/>
    <x v="2"/>
    <x v="3"/>
    <x v="5"/>
    <x v="1"/>
    <x v="11"/>
  </r>
  <r>
    <n v="768"/>
    <x v="767"/>
    <x v="98"/>
    <s v="CUST7651"/>
    <x v="0"/>
    <x v="2"/>
    <x v="4"/>
    <x v="2"/>
    <x v="1"/>
    <x v="766"/>
    <x v="4"/>
    <x v="8"/>
    <n v="71.47"/>
    <x v="0"/>
    <x v="2"/>
    <x v="2"/>
    <x v="0"/>
    <x v="9"/>
  </r>
  <r>
    <n v="769"/>
    <x v="768"/>
    <x v="468"/>
    <s v="CUST9088"/>
    <x v="2"/>
    <x v="4"/>
    <x v="6"/>
    <x v="0"/>
    <x v="0"/>
    <x v="767"/>
    <x v="3"/>
    <x v="29"/>
    <n v="165.51"/>
    <x v="2"/>
    <x v="3"/>
    <x v="7"/>
    <x v="0"/>
    <x v="0"/>
  </r>
  <r>
    <n v="770"/>
    <x v="769"/>
    <x v="484"/>
    <s v="CUST7603"/>
    <x v="4"/>
    <x v="0"/>
    <x v="4"/>
    <x v="0"/>
    <x v="4"/>
    <x v="768"/>
    <x v="0"/>
    <x v="20"/>
    <n v="1014.21"/>
    <x v="2"/>
    <x v="4"/>
    <x v="1"/>
    <x v="1"/>
    <x v="2"/>
  </r>
  <r>
    <n v="771"/>
    <x v="770"/>
    <x v="485"/>
    <s v="CUST1442"/>
    <x v="2"/>
    <x v="6"/>
    <x v="5"/>
    <x v="0"/>
    <x v="3"/>
    <x v="769"/>
    <x v="3"/>
    <x v="15"/>
    <n v="31.55"/>
    <x v="0"/>
    <x v="1"/>
    <x v="6"/>
    <x v="0"/>
    <x v="6"/>
  </r>
  <r>
    <n v="772"/>
    <x v="771"/>
    <x v="265"/>
    <s v="CUST6964"/>
    <x v="3"/>
    <x v="4"/>
    <x v="2"/>
    <x v="4"/>
    <x v="2"/>
    <x v="770"/>
    <x v="3"/>
    <x v="16"/>
    <n v="808.14"/>
    <x v="1"/>
    <x v="3"/>
    <x v="1"/>
    <x v="0"/>
    <x v="2"/>
  </r>
  <r>
    <n v="773"/>
    <x v="772"/>
    <x v="347"/>
    <s v="CUST9217"/>
    <x v="3"/>
    <x v="2"/>
    <x v="5"/>
    <x v="4"/>
    <x v="6"/>
    <x v="771"/>
    <x v="0"/>
    <x v="4"/>
    <n v="693.64"/>
    <x v="0"/>
    <x v="1"/>
    <x v="4"/>
    <x v="0"/>
    <x v="11"/>
  </r>
  <r>
    <n v="774"/>
    <x v="773"/>
    <x v="262"/>
    <s v="CUST1301"/>
    <x v="1"/>
    <x v="0"/>
    <x v="2"/>
    <x v="3"/>
    <x v="3"/>
    <x v="772"/>
    <x v="3"/>
    <x v="28"/>
    <n v="195.68"/>
    <x v="1"/>
    <x v="2"/>
    <x v="8"/>
    <x v="0"/>
    <x v="8"/>
  </r>
  <r>
    <n v="775"/>
    <x v="774"/>
    <x v="486"/>
    <s v="CUST1506"/>
    <x v="4"/>
    <x v="6"/>
    <x v="6"/>
    <x v="0"/>
    <x v="5"/>
    <x v="773"/>
    <x v="3"/>
    <x v="25"/>
    <n v="173.25"/>
    <x v="0"/>
    <x v="0"/>
    <x v="0"/>
    <x v="0"/>
    <x v="9"/>
  </r>
  <r>
    <n v="776"/>
    <x v="775"/>
    <x v="487"/>
    <s v="CUST8718"/>
    <x v="3"/>
    <x v="0"/>
    <x v="4"/>
    <x v="3"/>
    <x v="6"/>
    <x v="774"/>
    <x v="4"/>
    <x v="10"/>
    <n v="185.23"/>
    <x v="2"/>
    <x v="3"/>
    <x v="1"/>
    <x v="1"/>
    <x v="7"/>
  </r>
  <r>
    <n v="777"/>
    <x v="776"/>
    <x v="236"/>
    <s v="CUST7945"/>
    <x v="1"/>
    <x v="6"/>
    <x v="1"/>
    <x v="1"/>
    <x v="8"/>
    <x v="775"/>
    <x v="0"/>
    <x v="12"/>
    <n v="618.17999999999995"/>
    <x v="1"/>
    <x v="2"/>
    <x v="5"/>
    <x v="0"/>
    <x v="5"/>
  </r>
  <r>
    <n v="778"/>
    <x v="777"/>
    <x v="127"/>
    <s v="CUST2592"/>
    <x v="1"/>
    <x v="5"/>
    <x v="5"/>
    <x v="2"/>
    <x v="4"/>
    <x v="776"/>
    <x v="4"/>
    <x v="14"/>
    <n v="253.3"/>
    <x v="1"/>
    <x v="2"/>
    <x v="5"/>
    <x v="1"/>
    <x v="9"/>
  </r>
  <r>
    <n v="779"/>
    <x v="778"/>
    <x v="241"/>
    <s v="CUST7402"/>
    <x v="3"/>
    <x v="1"/>
    <x v="2"/>
    <x v="4"/>
    <x v="5"/>
    <x v="777"/>
    <x v="0"/>
    <x v="1"/>
    <n v="520.01"/>
    <x v="0"/>
    <x v="2"/>
    <x v="6"/>
    <x v="1"/>
    <x v="3"/>
  </r>
  <r>
    <n v="780"/>
    <x v="779"/>
    <x v="488"/>
    <s v="CUST2248"/>
    <x v="0"/>
    <x v="3"/>
    <x v="6"/>
    <x v="4"/>
    <x v="8"/>
    <x v="778"/>
    <x v="3"/>
    <x v="3"/>
    <n v="672.89"/>
    <x v="0"/>
    <x v="4"/>
    <x v="2"/>
    <x v="1"/>
    <x v="4"/>
  </r>
  <r>
    <n v="781"/>
    <x v="780"/>
    <x v="420"/>
    <s v="CUST9701"/>
    <x v="4"/>
    <x v="1"/>
    <x v="3"/>
    <x v="3"/>
    <x v="3"/>
    <x v="779"/>
    <x v="2"/>
    <x v="25"/>
    <n v="754.96"/>
    <x v="0"/>
    <x v="3"/>
    <x v="7"/>
    <x v="0"/>
    <x v="9"/>
  </r>
  <r>
    <n v="782"/>
    <x v="781"/>
    <x v="164"/>
    <s v="CUST8066"/>
    <x v="1"/>
    <x v="1"/>
    <x v="3"/>
    <x v="0"/>
    <x v="3"/>
    <x v="780"/>
    <x v="3"/>
    <x v="0"/>
    <n v="553.97"/>
    <x v="1"/>
    <x v="1"/>
    <x v="4"/>
    <x v="0"/>
    <x v="11"/>
  </r>
  <r>
    <n v="783"/>
    <x v="782"/>
    <x v="489"/>
    <s v="CUST7160"/>
    <x v="0"/>
    <x v="0"/>
    <x v="4"/>
    <x v="2"/>
    <x v="5"/>
    <x v="781"/>
    <x v="3"/>
    <x v="8"/>
    <n v="697.87"/>
    <x v="2"/>
    <x v="0"/>
    <x v="5"/>
    <x v="0"/>
    <x v="11"/>
  </r>
  <r>
    <n v="784"/>
    <x v="783"/>
    <x v="490"/>
    <s v="CUST6300"/>
    <x v="1"/>
    <x v="1"/>
    <x v="1"/>
    <x v="0"/>
    <x v="6"/>
    <x v="782"/>
    <x v="3"/>
    <x v="5"/>
    <n v="308.70999999999998"/>
    <x v="0"/>
    <x v="0"/>
    <x v="4"/>
    <x v="0"/>
    <x v="1"/>
  </r>
  <r>
    <n v="785"/>
    <x v="784"/>
    <x v="277"/>
    <s v="CUST6909"/>
    <x v="0"/>
    <x v="6"/>
    <x v="4"/>
    <x v="1"/>
    <x v="8"/>
    <x v="783"/>
    <x v="3"/>
    <x v="13"/>
    <n v="456.53"/>
    <x v="1"/>
    <x v="3"/>
    <x v="1"/>
    <x v="1"/>
    <x v="11"/>
  </r>
  <r>
    <n v="786"/>
    <x v="785"/>
    <x v="491"/>
    <s v="CUST4396"/>
    <x v="0"/>
    <x v="2"/>
    <x v="2"/>
    <x v="3"/>
    <x v="1"/>
    <x v="784"/>
    <x v="3"/>
    <x v="27"/>
    <n v="693.48"/>
    <x v="0"/>
    <x v="3"/>
    <x v="8"/>
    <x v="0"/>
    <x v="11"/>
  </r>
  <r>
    <n v="787"/>
    <x v="786"/>
    <x v="20"/>
    <s v="CUST5282"/>
    <x v="2"/>
    <x v="3"/>
    <x v="4"/>
    <x v="1"/>
    <x v="2"/>
    <x v="785"/>
    <x v="4"/>
    <x v="20"/>
    <n v="226.19"/>
    <x v="2"/>
    <x v="3"/>
    <x v="8"/>
    <x v="0"/>
    <x v="8"/>
  </r>
  <r>
    <n v="788"/>
    <x v="787"/>
    <x v="492"/>
    <s v="CUST1389"/>
    <x v="4"/>
    <x v="4"/>
    <x v="1"/>
    <x v="1"/>
    <x v="6"/>
    <x v="786"/>
    <x v="3"/>
    <x v="14"/>
    <n v="111"/>
    <x v="2"/>
    <x v="3"/>
    <x v="4"/>
    <x v="0"/>
    <x v="5"/>
  </r>
  <r>
    <n v="789"/>
    <x v="788"/>
    <x v="50"/>
    <s v="CUST6331"/>
    <x v="2"/>
    <x v="0"/>
    <x v="0"/>
    <x v="4"/>
    <x v="7"/>
    <x v="787"/>
    <x v="0"/>
    <x v="2"/>
    <n v="235.65"/>
    <x v="2"/>
    <x v="3"/>
    <x v="9"/>
    <x v="0"/>
    <x v="4"/>
  </r>
  <r>
    <n v="790"/>
    <x v="789"/>
    <x v="493"/>
    <s v="CUST1677"/>
    <x v="3"/>
    <x v="6"/>
    <x v="5"/>
    <x v="1"/>
    <x v="3"/>
    <x v="788"/>
    <x v="2"/>
    <x v="0"/>
    <n v="1231.3399999999999"/>
    <x v="1"/>
    <x v="3"/>
    <x v="4"/>
    <x v="1"/>
    <x v="7"/>
  </r>
  <r>
    <n v="791"/>
    <x v="790"/>
    <x v="192"/>
    <s v="CUST6601"/>
    <x v="0"/>
    <x v="5"/>
    <x v="0"/>
    <x v="2"/>
    <x v="7"/>
    <x v="789"/>
    <x v="0"/>
    <x v="7"/>
    <n v="145.01"/>
    <x v="2"/>
    <x v="1"/>
    <x v="1"/>
    <x v="1"/>
    <x v="3"/>
  </r>
  <r>
    <n v="792"/>
    <x v="791"/>
    <x v="251"/>
    <s v="CUST9536"/>
    <x v="2"/>
    <x v="0"/>
    <x v="2"/>
    <x v="0"/>
    <x v="0"/>
    <x v="790"/>
    <x v="4"/>
    <x v="2"/>
    <n v="246.82"/>
    <x v="1"/>
    <x v="0"/>
    <x v="1"/>
    <x v="0"/>
    <x v="4"/>
  </r>
  <r>
    <n v="793"/>
    <x v="792"/>
    <x v="494"/>
    <s v="CUST4831"/>
    <x v="3"/>
    <x v="6"/>
    <x v="1"/>
    <x v="2"/>
    <x v="3"/>
    <x v="791"/>
    <x v="4"/>
    <x v="0"/>
    <n v="470.87"/>
    <x v="2"/>
    <x v="3"/>
    <x v="8"/>
    <x v="1"/>
    <x v="11"/>
  </r>
  <r>
    <n v="794"/>
    <x v="793"/>
    <x v="495"/>
    <s v="CUST3588"/>
    <x v="3"/>
    <x v="4"/>
    <x v="5"/>
    <x v="3"/>
    <x v="1"/>
    <x v="792"/>
    <x v="0"/>
    <x v="27"/>
    <n v="610.15"/>
    <x v="2"/>
    <x v="3"/>
    <x v="1"/>
    <x v="0"/>
    <x v="2"/>
  </r>
  <r>
    <n v="795"/>
    <x v="794"/>
    <x v="348"/>
    <s v="CUST7040"/>
    <x v="3"/>
    <x v="6"/>
    <x v="5"/>
    <x v="0"/>
    <x v="3"/>
    <x v="793"/>
    <x v="2"/>
    <x v="18"/>
    <n v="886.29"/>
    <x v="2"/>
    <x v="3"/>
    <x v="9"/>
    <x v="0"/>
    <x v="4"/>
  </r>
  <r>
    <n v="796"/>
    <x v="795"/>
    <x v="496"/>
    <s v="CUST1618"/>
    <x v="0"/>
    <x v="2"/>
    <x v="5"/>
    <x v="1"/>
    <x v="6"/>
    <x v="794"/>
    <x v="3"/>
    <x v="18"/>
    <n v="729.26"/>
    <x v="2"/>
    <x v="2"/>
    <x v="7"/>
    <x v="1"/>
    <x v="10"/>
  </r>
  <r>
    <n v="797"/>
    <x v="796"/>
    <x v="497"/>
    <s v="CUST6702"/>
    <x v="0"/>
    <x v="0"/>
    <x v="6"/>
    <x v="2"/>
    <x v="7"/>
    <x v="795"/>
    <x v="2"/>
    <x v="19"/>
    <n v="131.19999999999999"/>
    <x v="1"/>
    <x v="3"/>
    <x v="7"/>
    <x v="1"/>
    <x v="7"/>
  </r>
  <r>
    <n v="798"/>
    <x v="797"/>
    <x v="50"/>
    <s v="CUST7929"/>
    <x v="3"/>
    <x v="0"/>
    <x v="2"/>
    <x v="4"/>
    <x v="3"/>
    <x v="796"/>
    <x v="3"/>
    <x v="4"/>
    <n v="480.23"/>
    <x v="0"/>
    <x v="3"/>
    <x v="9"/>
    <x v="0"/>
    <x v="4"/>
  </r>
  <r>
    <n v="799"/>
    <x v="798"/>
    <x v="498"/>
    <s v="CUST2928"/>
    <x v="0"/>
    <x v="4"/>
    <x v="7"/>
    <x v="4"/>
    <x v="2"/>
    <x v="797"/>
    <x v="1"/>
    <x v="9"/>
    <n v="145.91"/>
    <x v="1"/>
    <x v="4"/>
    <x v="2"/>
    <x v="1"/>
    <x v="1"/>
  </r>
  <r>
    <n v="800"/>
    <x v="799"/>
    <x v="227"/>
    <s v="CUST7487"/>
    <x v="4"/>
    <x v="5"/>
    <x v="4"/>
    <x v="1"/>
    <x v="7"/>
    <x v="798"/>
    <x v="1"/>
    <x v="15"/>
    <n v="241.08"/>
    <x v="0"/>
    <x v="0"/>
    <x v="0"/>
    <x v="1"/>
    <x v="1"/>
  </r>
  <r>
    <n v="801"/>
    <x v="800"/>
    <x v="229"/>
    <s v="CUST9499"/>
    <x v="1"/>
    <x v="6"/>
    <x v="2"/>
    <x v="0"/>
    <x v="8"/>
    <x v="799"/>
    <x v="2"/>
    <x v="2"/>
    <n v="723.4"/>
    <x v="2"/>
    <x v="2"/>
    <x v="8"/>
    <x v="0"/>
    <x v="10"/>
  </r>
  <r>
    <n v="802"/>
    <x v="801"/>
    <x v="256"/>
    <s v="CUST9492"/>
    <x v="0"/>
    <x v="4"/>
    <x v="6"/>
    <x v="0"/>
    <x v="0"/>
    <x v="800"/>
    <x v="3"/>
    <x v="4"/>
    <n v="455.22"/>
    <x v="1"/>
    <x v="3"/>
    <x v="6"/>
    <x v="1"/>
    <x v="6"/>
  </r>
  <r>
    <n v="803"/>
    <x v="802"/>
    <x v="499"/>
    <s v="CUST4334"/>
    <x v="2"/>
    <x v="0"/>
    <x v="1"/>
    <x v="4"/>
    <x v="0"/>
    <x v="801"/>
    <x v="1"/>
    <x v="18"/>
    <n v="214.74"/>
    <x v="0"/>
    <x v="0"/>
    <x v="7"/>
    <x v="0"/>
    <x v="10"/>
  </r>
  <r>
    <n v="804"/>
    <x v="803"/>
    <x v="500"/>
    <s v="CUST5420"/>
    <x v="3"/>
    <x v="5"/>
    <x v="4"/>
    <x v="3"/>
    <x v="5"/>
    <x v="802"/>
    <x v="1"/>
    <x v="28"/>
    <n v="109.23"/>
    <x v="0"/>
    <x v="1"/>
    <x v="5"/>
    <x v="1"/>
    <x v="0"/>
  </r>
  <r>
    <n v="805"/>
    <x v="804"/>
    <x v="321"/>
    <s v="CUST7107"/>
    <x v="0"/>
    <x v="0"/>
    <x v="6"/>
    <x v="2"/>
    <x v="8"/>
    <x v="803"/>
    <x v="4"/>
    <x v="12"/>
    <n v="252.92"/>
    <x v="0"/>
    <x v="2"/>
    <x v="5"/>
    <x v="1"/>
    <x v="7"/>
  </r>
  <r>
    <n v="806"/>
    <x v="805"/>
    <x v="317"/>
    <s v="CUST4671"/>
    <x v="1"/>
    <x v="1"/>
    <x v="2"/>
    <x v="4"/>
    <x v="2"/>
    <x v="804"/>
    <x v="3"/>
    <x v="15"/>
    <n v="417.28"/>
    <x v="1"/>
    <x v="0"/>
    <x v="8"/>
    <x v="1"/>
    <x v="5"/>
  </r>
  <r>
    <n v="807"/>
    <x v="806"/>
    <x v="325"/>
    <s v="CUST5121"/>
    <x v="2"/>
    <x v="6"/>
    <x v="0"/>
    <x v="1"/>
    <x v="0"/>
    <x v="805"/>
    <x v="3"/>
    <x v="19"/>
    <n v="482.46"/>
    <x v="0"/>
    <x v="0"/>
    <x v="8"/>
    <x v="1"/>
    <x v="3"/>
  </r>
  <r>
    <n v="808"/>
    <x v="807"/>
    <x v="210"/>
    <s v="CUST7319"/>
    <x v="4"/>
    <x v="6"/>
    <x v="7"/>
    <x v="4"/>
    <x v="1"/>
    <x v="806"/>
    <x v="4"/>
    <x v="5"/>
    <n v="369.15"/>
    <x v="2"/>
    <x v="2"/>
    <x v="2"/>
    <x v="1"/>
    <x v="6"/>
  </r>
  <r>
    <n v="809"/>
    <x v="808"/>
    <x v="159"/>
    <s v="CUST9688"/>
    <x v="2"/>
    <x v="6"/>
    <x v="7"/>
    <x v="4"/>
    <x v="8"/>
    <x v="807"/>
    <x v="4"/>
    <x v="21"/>
    <n v="220.98"/>
    <x v="2"/>
    <x v="4"/>
    <x v="7"/>
    <x v="0"/>
    <x v="0"/>
  </r>
  <r>
    <n v="810"/>
    <x v="809"/>
    <x v="501"/>
    <s v="CUST3541"/>
    <x v="4"/>
    <x v="5"/>
    <x v="0"/>
    <x v="1"/>
    <x v="2"/>
    <x v="808"/>
    <x v="3"/>
    <x v="21"/>
    <n v="736.6"/>
    <x v="2"/>
    <x v="2"/>
    <x v="8"/>
    <x v="1"/>
    <x v="9"/>
  </r>
  <r>
    <n v="811"/>
    <x v="810"/>
    <x v="502"/>
    <s v="CUST9793"/>
    <x v="0"/>
    <x v="3"/>
    <x v="1"/>
    <x v="1"/>
    <x v="1"/>
    <x v="809"/>
    <x v="4"/>
    <x v="21"/>
    <n v="151.63"/>
    <x v="0"/>
    <x v="3"/>
    <x v="3"/>
    <x v="0"/>
    <x v="6"/>
  </r>
  <r>
    <n v="812"/>
    <x v="811"/>
    <x v="385"/>
    <s v="CUST5634"/>
    <x v="1"/>
    <x v="2"/>
    <x v="3"/>
    <x v="3"/>
    <x v="8"/>
    <x v="810"/>
    <x v="0"/>
    <x v="2"/>
    <n v="745.54"/>
    <x v="2"/>
    <x v="2"/>
    <x v="3"/>
    <x v="1"/>
    <x v="4"/>
  </r>
  <r>
    <n v="813"/>
    <x v="812"/>
    <x v="503"/>
    <s v="CUST1855"/>
    <x v="1"/>
    <x v="0"/>
    <x v="7"/>
    <x v="3"/>
    <x v="5"/>
    <x v="811"/>
    <x v="0"/>
    <x v="16"/>
    <n v="870.45"/>
    <x v="0"/>
    <x v="1"/>
    <x v="1"/>
    <x v="1"/>
    <x v="9"/>
  </r>
  <r>
    <n v="814"/>
    <x v="813"/>
    <x v="127"/>
    <s v="CUST5245"/>
    <x v="2"/>
    <x v="2"/>
    <x v="2"/>
    <x v="3"/>
    <x v="5"/>
    <x v="812"/>
    <x v="1"/>
    <x v="29"/>
    <n v="47.64"/>
    <x v="2"/>
    <x v="0"/>
    <x v="8"/>
    <x v="1"/>
    <x v="9"/>
  </r>
  <r>
    <n v="815"/>
    <x v="814"/>
    <x v="438"/>
    <s v="CUST4456"/>
    <x v="4"/>
    <x v="1"/>
    <x v="5"/>
    <x v="4"/>
    <x v="5"/>
    <x v="813"/>
    <x v="1"/>
    <x v="1"/>
    <n v="57.54"/>
    <x v="1"/>
    <x v="1"/>
    <x v="2"/>
    <x v="0"/>
    <x v="10"/>
  </r>
  <r>
    <n v="816"/>
    <x v="815"/>
    <x v="425"/>
    <s v="CUST6282"/>
    <x v="0"/>
    <x v="5"/>
    <x v="4"/>
    <x v="4"/>
    <x v="2"/>
    <x v="814"/>
    <x v="3"/>
    <x v="9"/>
    <n v="255.74"/>
    <x v="1"/>
    <x v="3"/>
    <x v="3"/>
    <x v="0"/>
    <x v="11"/>
  </r>
  <r>
    <n v="817"/>
    <x v="816"/>
    <x v="361"/>
    <s v="CUST7011"/>
    <x v="1"/>
    <x v="3"/>
    <x v="0"/>
    <x v="1"/>
    <x v="0"/>
    <x v="815"/>
    <x v="3"/>
    <x v="1"/>
    <n v="291.89"/>
    <x v="2"/>
    <x v="1"/>
    <x v="4"/>
    <x v="0"/>
    <x v="9"/>
  </r>
  <r>
    <n v="818"/>
    <x v="817"/>
    <x v="6"/>
    <s v="CUST4194"/>
    <x v="0"/>
    <x v="1"/>
    <x v="5"/>
    <x v="1"/>
    <x v="4"/>
    <x v="816"/>
    <x v="1"/>
    <x v="30"/>
    <n v="53.95"/>
    <x v="0"/>
    <x v="3"/>
    <x v="4"/>
    <x v="0"/>
    <x v="5"/>
  </r>
  <r>
    <n v="819"/>
    <x v="818"/>
    <x v="504"/>
    <s v="CUST9139"/>
    <x v="1"/>
    <x v="5"/>
    <x v="5"/>
    <x v="3"/>
    <x v="2"/>
    <x v="817"/>
    <x v="1"/>
    <x v="19"/>
    <n v="156.11000000000001"/>
    <x v="1"/>
    <x v="2"/>
    <x v="6"/>
    <x v="0"/>
    <x v="10"/>
  </r>
  <r>
    <n v="820"/>
    <x v="819"/>
    <x v="505"/>
    <s v="CUST2275"/>
    <x v="0"/>
    <x v="3"/>
    <x v="2"/>
    <x v="2"/>
    <x v="0"/>
    <x v="818"/>
    <x v="0"/>
    <x v="13"/>
    <n v="266.43"/>
    <x v="0"/>
    <x v="3"/>
    <x v="2"/>
    <x v="1"/>
    <x v="7"/>
  </r>
  <r>
    <n v="821"/>
    <x v="820"/>
    <x v="506"/>
    <s v="CUST9025"/>
    <x v="3"/>
    <x v="3"/>
    <x v="5"/>
    <x v="1"/>
    <x v="6"/>
    <x v="819"/>
    <x v="3"/>
    <x v="4"/>
    <n v="443.83"/>
    <x v="2"/>
    <x v="4"/>
    <x v="3"/>
    <x v="0"/>
    <x v="7"/>
  </r>
  <r>
    <n v="822"/>
    <x v="821"/>
    <x v="507"/>
    <s v="CUST2154"/>
    <x v="2"/>
    <x v="1"/>
    <x v="7"/>
    <x v="0"/>
    <x v="3"/>
    <x v="820"/>
    <x v="1"/>
    <x v="19"/>
    <n v="110.95"/>
    <x v="1"/>
    <x v="4"/>
    <x v="5"/>
    <x v="0"/>
    <x v="3"/>
  </r>
  <r>
    <n v="823"/>
    <x v="822"/>
    <x v="508"/>
    <s v="CUST7506"/>
    <x v="2"/>
    <x v="6"/>
    <x v="1"/>
    <x v="4"/>
    <x v="0"/>
    <x v="821"/>
    <x v="4"/>
    <x v="15"/>
    <n v="327.97"/>
    <x v="1"/>
    <x v="4"/>
    <x v="3"/>
    <x v="0"/>
    <x v="8"/>
  </r>
  <r>
    <n v="824"/>
    <x v="823"/>
    <x v="43"/>
    <s v="CUST9222"/>
    <x v="4"/>
    <x v="5"/>
    <x v="2"/>
    <x v="4"/>
    <x v="1"/>
    <x v="822"/>
    <x v="1"/>
    <x v="29"/>
    <n v="205.04"/>
    <x v="1"/>
    <x v="2"/>
    <x v="3"/>
    <x v="0"/>
    <x v="3"/>
  </r>
  <r>
    <n v="825"/>
    <x v="824"/>
    <x v="396"/>
    <s v="CUST6266"/>
    <x v="3"/>
    <x v="6"/>
    <x v="5"/>
    <x v="3"/>
    <x v="2"/>
    <x v="823"/>
    <x v="2"/>
    <x v="10"/>
    <n v="543.21"/>
    <x v="1"/>
    <x v="4"/>
    <x v="6"/>
    <x v="1"/>
    <x v="6"/>
  </r>
  <r>
    <n v="826"/>
    <x v="825"/>
    <x v="103"/>
    <s v="CUST9485"/>
    <x v="2"/>
    <x v="5"/>
    <x v="3"/>
    <x v="4"/>
    <x v="7"/>
    <x v="824"/>
    <x v="0"/>
    <x v="13"/>
    <n v="114.15"/>
    <x v="2"/>
    <x v="4"/>
    <x v="4"/>
    <x v="1"/>
    <x v="0"/>
  </r>
  <r>
    <n v="827"/>
    <x v="826"/>
    <x v="509"/>
    <s v="CUST8515"/>
    <x v="2"/>
    <x v="4"/>
    <x v="1"/>
    <x v="4"/>
    <x v="5"/>
    <x v="825"/>
    <x v="0"/>
    <x v="0"/>
    <n v="852.91"/>
    <x v="1"/>
    <x v="3"/>
    <x v="2"/>
    <x v="1"/>
    <x v="2"/>
  </r>
  <r>
    <n v="828"/>
    <x v="827"/>
    <x v="279"/>
    <s v="CUST5221"/>
    <x v="1"/>
    <x v="3"/>
    <x v="6"/>
    <x v="1"/>
    <x v="1"/>
    <x v="826"/>
    <x v="3"/>
    <x v="30"/>
    <n v="558.66"/>
    <x v="1"/>
    <x v="3"/>
    <x v="4"/>
    <x v="1"/>
    <x v="3"/>
  </r>
  <r>
    <n v="829"/>
    <x v="828"/>
    <x v="197"/>
    <s v="CUST1155"/>
    <x v="0"/>
    <x v="1"/>
    <x v="2"/>
    <x v="1"/>
    <x v="6"/>
    <x v="827"/>
    <x v="1"/>
    <x v="16"/>
    <n v="22.82"/>
    <x v="0"/>
    <x v="3"/>
    <x v="3"/>
    <x v="1"/>
    <x v="1"/>
  </r>
  <r>
    <n v="830"/>
    <x v="829"/>
    <x v="226"/>
    <s v="CUST3421"/>
    <x v="1"/>
    <x v="2"/>
    <x v="2"/>
    <x v="1"/>
    <x v="5"/>
    <x v="828"/>
    <x v="3"/>
    <x v="15"/>
    <n v="474.44"/>
    <x v="1"/>
    <x v="0"/>
    <x v="5"/>
    <x v="1"/>
    <x v="2"/>
  </r>
  <r>
    <n v="831"/>
    <x v="830"/>
    <x v="265"/>
    <s v="CUST5032"/>
    <x v="0"/>
    <x v="6"/>
    <x v="1"/>
    <x v="0"/>
    <x v="4"/>
    <x v="829"/>
    <x v="1"/>
    <x v="28"/>
    <n v="110.66"/>
    <x v="1"/>
    <x v="2"/>
    <x v="8"/>
    <x v="0"/>
    <x v="2"/>
  </r>
  <r>
    <n v="832"/>
    <x v="831"/>
    <x v="33"/>
    <s v="CUST7570"/>
    <x v="4"/>
    <x v="2"/>
    <x v="2"/>
    <x v="0"/>
    <x v="3"/>
    <x v="830"/>
    <x v="4"/>
    <x v="13"/>
    <n v="132.30000000000001"/>
    <x v="2"/>
    <x v="1"/>
    <x v="5"/>
    <x v="0"/>
    <x v="3"/>
  </r>
  <r>
    <n v="833"/>
    <x v="832"/>
    <x v="510"/>
    <s v="CUST7380"/>
    <x v="1"/>
    <x v="3"/>
    <x v="0"/>
    <x v="4"/>
    <x v="8"/>
    <x v="831"/>
    <x v="1"/>
    <x v="24"/>
    <n v="138.19999999999999"/>
    <x v="2"/>
    <x v="1"/>
    <x v="0"/>
    <x v="1"/>
    <x v="3"/>
  </r>
  <r>
    <n v="834"/>
    <x v="833"/>
    <x v="354"/>
    <s v="CUST9610"/>
    <x v="1"/>
    <x v="2"/>
    <x v="4"/>
    <x v="4"/>
    <x v="5"/>
    <x v="832"/>
    <x v="3"/>
    <x v="7"/>
    <n v="747.42"/>
    <x v="1"/>
    <x v="2"/>
    <x v="6"/>
    <x v="1"/>
    <x v="9"/>
  </r>
  <r>
    <n v="835"/>
    <x v="834"/>
    <x v="412"/>
    <s v="CUST2465"/>
    <x v="2"/>
    <x v="0"/>
    <x v="0"/>
    <x v="4"/>
    <x v="4"/>
    <x v="833"/>
    <x v="1"/>
    <x v="13"/>
    <n v="128.18"/>
    <x v="2"/>
    <x v="3"/>
    <x v="5"/>
    <x v="1"/>
    <x v="0"/>
  </r>
  <r>
    <n v="836"/>
    <x v="835"/>
    <x v="511"/>
    <s v="CUST2056"/>
    <x v="2"/>
    <x v="2"/>
    <x v="5"/>
    <x v="3"/>
    <x v="6"/>
    <x v="834"/>
    <x v="0"/>
    <x v="29"/>
    <n v="896.97"/>
    <x v="1"/>
    <x v="2"/>
    <x v="8"/>
    <x v="1"/>
    <x v="2"/>
  </r>
  <r>
    <n v="837"/>
    <x v="836"/>
    <x v="512"/>
    <s v="CUST5084"/>
    <x v="2"/>
    <x v="0"/>
    <x v="0"/>
    <x v="1"/>
    <x v="3"/>
    <x v="835"/>
    <x v="4"/>
    <x v="12"/>
    <n v="131.78"/>
    <x v="1"/>
    <x v="2"/>
    <x v="9"/>
    <x v="0"/>
    <x v="6"/>
  </r>
  <r>
    <n v="838"/>
    <x v="837"/>
    <x v="97"/>
    <s v="CUST5070"/>
    <x v="2"/>
    <x v="0"/>
    <x v="1"/>
    <x v="4"/>
    <x v="2"/>
    <x v="836"/>
    <x v="1"/>
    <x v="22"/>
    <n v="129.41"/>
    <x v="0"/>
    <x v="4"/>
    <x v="9"/>
    <x v="1"/>
    <x v="8"/>
  </r>
  <r>
    <n v="839"/>
    <x v="838"/>
    <x v="481"/>
    <s v="CUST1599"/>
    <x v="0"/>
    <x v="1"/>
    <x v="3"/>
    <x v="2"/>
    <x v="4"/>
    <x v="837"/>
    <x v="3"/>
    <x v="28"/>
    <n v="284.43"/>
    <x v="1"/>
    <x v="4"/>
    <x v="9"/>
    <x v="1"/>
    <x v="8"/>
  </r>
  <r>
    <n v="840"/>
    <x v="839"/>
    <x v="155"/>
    <s v="CUST9546"/>
    <x v="0"/>
    <x v="2"/>
    <x v="6"/>
    <x v="4"/>
    <x v="3"/>
    <x v="838"/>
    <x v="3"/>
    <x v="1"/>
    <n v="119.81"/>
    <x v="0"/>
    <x v="1"/>
    <x v="2"/>
    <x v="0"/>
    <x v="8"/>
  </r>
  <r>
    <n v="841"/>
    <x v="840"/>
    <x v="304"/>
    <s v="CUST2057"/>
    <x v="2"/>
    <x v="2"/>
    <x v="5"/>
    <x v="4"/>
    <x v="1"/>
    <x v="839"/>
    <x v="0"/>
    <x v="27"/>
    <n v="756.34"/>
    <x v="1"/>
    <x v="3"/>
    <x v="4"/>
    <x v="1"/>
    <x v="10"/>
  </r>
  <r>
    <n v="842"/>
    <x v="841"/>
    <x v="513"/>
    <s v="CUST4019"/>
    <x v="2"/>
    <x v="6"/>
    <x v="0"/>
    <x v="4"/>
    <x v="5"/>
    <x v="840"/>
    <x v="2"/>
    <x v="13"/>
    <n v="351.61"/>
    <x v="0"/>
    <x v="0"/>
    <x v="9"/>
    <x v="1"/>
    <x v="8"/>
  </r>
  <r>
    <n v="843"/>
    <x v="842"/>
    <x v="330"/>
    <s v="CUST9438"/>
    <x v="0"/>
    <x v="6"/>
    <x v="4"/>
    <x v="4"/>
    <x v="0"/>
    <x v="841"/>
    <x v="2"/>
    <x v="19"/>
    <n v="190.11"/>
    <x v="1"/>
    <x v="0"/>
    <x v="8"/>
    <x v="1"/>
    <x v="4"/>
  </r>
  <r>
    <n v="844"/>
    <x v="843"/>
    <x v="468"/>
    <s v="CUST2583"/>
    <x v="0"/>
    <x v="6"/>
    <x v="6"/>
    <x v="4"/>
    <x v="4"/>
    <x v="842"/>
    <x v="1"/>
    <x v="0"/>
    <n v="177.42"/>
    <x v="1"/>
    <x v="4"/>
    <x v="7"/>
    <x v="0"/>
    <x v="0"/>
  </r>
  <r>
    <n v="845"/>
    <x v="844"/>
    <x v="287"/>
    <s v="CUST5018"/>
    <x v="1"/>
    <x v="0"/>
    <x v="6"/>
    <x v="2"/>
    <x v="4"/>
    <x v="843"/>
    <x v="0"/>
    <x v="6"/>
    <n v="324.48"/>
    <x v="0"/>
    <x v="3"/>
    <x v="7"/>
    <x v="0"/>
    <x v="7"/>
  </r>
  <r>
    <n v="846"/>
    <x v="845"/>
    <x v="78"/>
    <s v="CUST6919"/>
    <x v="0"/>
    <x v="0"/>
    <x v="5"/>
    <x v="4"/>
    <x v="6"/>
    <x v="844"/>
    <x v="4"/>
    <x v="6"/>
    <n v="663.75"/>
    <x v="1"/>
    <x v="1"/>
    <x v="5"/>
    <x v="1"/>
    <x v="6"/>
  </r>
  <r>
    <n v="847"/>
    <x v="846"/>
    <x v="514"/>
    <s v="CUST4971"/>
    <x v="4"/>
    <x v="6"/>
    <x v="7"/>
    <x v="4"/>
    <x v="0"/>
    <x v="845"/>
    <x v="2"/>
    <x v="19"/>
    <n v="286.02999999999997"/>
    <x v="2"/>
    <x v="4"/>
    <x v="7"/>
    <x v="1"/>
    <x v="6"/>
  </r>
  <r>
    <n v="848"/>
    <x v="847"/>
    <x v="25"/>
    <s v="CUST1066"/>
    <x v="1"/>
    <x v="2"/>
    <x v="3"/>
    <x v="2"/>
    <x v="1"/>
    <x v="846"/>
    <x v="1"/>
    <x v="29"/>
    <n v="97.85"/>
    <x v="0"/>
    <x v="4"/>
    <x v="3"/>
    <x v="1"/>
    <x v="11"/>
  </r>
  <r>
    <n v="849"/>
    <x v="848"/>
    <x v="515"/>
    <s v="CUST5382"/>
    <x v="4"/>
    <x v="4"/>
    <x v="7"/>
    <x v="3"/>
    <x v="0"/>
    <x v="847"/>
    <x v="4"/>
    <x v="13"/>
    <n v="190.14"/>
    <x v="1"/>
    <x v="2"/>
    <x v="2"/>
    <x v="1"/>
    <x v="11"/>
  </r>
  <r>
    <n v="850"/>
    <x v="849"/>
    <x v="151"/>
    <s v="CUST6324"/>
    <x v="4"/>
    <x v="6"/>
    <x v="4"/>
    <x v="1"/>
    <x v="4"/>
    <x v="848"/>
    <x v="4"/>
    <x v="8"/>
    <n v="245.97"/>
    <x v="1"/>
    <x v="2"/>
    <x v="3"/>
    <x v="0"/>
    <x v="11"/>
  </r>
  <r>
    <n v="851"/>
    <x v="850"/>
    <x v="399"/>
    <s v="CUST8399"/>
    <x v="2"/>
    <x v="6"/>
    <x v="0"/>
    <x v="3"/>
    <x v="7"/>
    <x v="849"/>
    <x v="2"/>
    <x v="5"/>
    <n v="558.6"/>
    <x v="0"/>
    <x v="1"/>
    <x v="4"/>
    <x v="0"/>
    <x v="7"/>
  </r>
  <r>
    <n v="852"/>
    <x v="851"/>
    <x v="516"/>
    <s v="CUST8018"/>
    <x v="3"/>
    <x v="6"/>
    <x v="0"/>
    <x v="0"/>
    <x v="0"/>
    <x v="850"/>
    <x v="0"/>
    <x v="2"/>
    <n v="385.07"/>
    <x v="1"/>
    <x v="4"/>
    <x v="5"/>
    <x v="1"/>
    <x v="2"/>
  </r>
  <r>
    <n v="853"/>
    <x v="852"/>
    <x v="240"/>
    <s v="CUST2721"/>
    <x v="4"/>
    <x v="1"/>
    <x v="5"/>
    <x v="0"/>
    <x v="7"/>
    <x v="851"/>
    <x v="4"/>
    <x v="18"/>
    <n v="245.37"/>
    <x v="2"/>
    <x v="3"/>
    <x v="6"/>
    <x v="0"/>
    <x v="3"/>
  </r>
  <r>
    <n v="854"/>
    <x v="853"/>
    <x v="389"/>
    <s v="CUST1316"/>
    <x v="0"/>
    <x v="6"/>
    <x v="0"/>
    <x v="4"/>
    <x v="5"/>
    <x v="852"/>
    <x v="2"/>
    <x v="0"/>
    <n v="682.64"/>
    <x v="1"/>
    <x v="4"/>
    <x v="5"/>
    <x v="1"/>
    <x v="6"/>
  </r>
  <r>
    <n v="855"/>
    <x v="854"/>
    <x v="517"/>
    <s v="CUST4727"/>
    <x v="3"/>
    <x v="1"/>
    <x v="4"/>
    <x v="4"/>
    <x v="5"/>
    <x v="853"/>
    <x v="3"/>
    <x v="16"/>
    <n v="535.05999999999995"/>
    <x v="2"/>
    <x v="2"/>
    <x v="9"/>
    <x v="1"/>
    <x v="1"/>
  </r>
  <r>
    <n v="856"/>
    <x v="855"/>
    <x v="482"/>
    <s v="CUST9791"/>
    <x v="1"/>
    <x v="4"/>
    <x v="6"/>
    <x v="4"/>
    <x v="7"/>
    <x v="854"/>
    <x v="3"/>
    <x v="18"/>
    <n v="618.76"/>
    <x v="1"/>
    <x v="2"/>
    <x v="7"/>
    <x v="0"/>
    <x v="6"/>
  </r>
  <r>
    <n v="857"/>
    <x v="856"/>
    <x v="334"/>
    <s v="CUST1606"/>
    <x v="2"/>
    <x v="0"/>
    <x v="6"/>
    <x v="3"/>
    <x v="7"/>
    <x v="855"/>
    <x v="3"/>
    <x v="15"/>
    <n v="318.11"/>
    <x v="0"/>
    <x v="0"/>
    <x v="1"/>
    <x v="0"/>
    <x v="11"/>
  </r>
  <r>
    <n v="858"/>
    <x v="857"/>
    <x v="193"/>
    <s v="CUST2496"/>
    <x v="4"/>
    <x v="6"/>
    <x v="3"/>
    <x v="3"/>
    <x v="1"/>
    <x v="856"/>
    <x v="4"/>
    <x v="15"/>
    <n v="104.45"/>
    <x v="2"/>
    <x v="1"/>
    <x v="5"/>
    <x v="0"/>
    <x v="8"/>
  </r>
  <r>
    <n v="859"/>
    <x v="858"/>
    <x v="315"/>
    <s v="CUST1744"/>
    <x v="2"/>
    <x v="1"/>
    <x v="4"/>
    <x v="3"/>
    <x v="0"/>
    <x v="857"/>
    <x v="2"/>
    <x v="15"/>
    <n v="172.64"/>
    <x v="1"/>
    <x v="3"/>
    <x v="4"/>
    <x v="0"/>
    <x v="4"/>
  </r>
  <r>
    <n v="860"/>
    <x v="859"/>
    <x v="483"/>
    <s v="CUST2627"/>
    <x v="0"/>
    <x v="4"/>
    <x v="1"/>
    <x v="2"/>
    <x v="3"/>
    <x v="858"/>
    <x v="1"/>
    <x v="6"/>
    <n v="47.7"/>
    <x v="2"/>
    <x v="1"/>
    <x v="8"/>
    <x v="1"/>
    <x v="5"/>
  </r>
  <r>
    <n v="861"/>
    <x v="860"/>
    <x v="518"/>
    <s v="CUST3544"/>
    <x v="3"/>
    <x v="1"/>
    <x v="1"/>
    <x v="3"/>
    <x v="2"/>
    <x v="859"/>
    <x v="1"/>
    <x v="20"/>
    <n v="158.56"/>
    <x v="0"/>
    <x v="1"/>
    <x v="6"/>
    <x v="0"/>
    <x v="8"/>
  </r>
  <r>
    <n v="862"/>
    <x v="861"/>
    <x v="162"/>
    <s v="CUST1724"/>
    <x v="1"/>
    <x v="5"/>
    <x v="0"/>
    <x v="2"/>
    <x v="1"/>
    <x v="860"/>
    <x v="4"/>
    <x v="10"/>
    <n v="40.78"/>
    <x v="1"/>
    <x v="4"/>
    <x v="5"/>
    <x v="0"/>
    <x v="6"/>
  </r>
  <r>
    <n v="863"/>
    <x v="862"/>
    <x v="25"/>
    <s v="CUST4160"/>
    <x v="3"/>
    <x v="3"/>
    <x v="1"/>
    <x v="0"/>
    <x v="3"/>
    <x v="861"/>
    <x v="1"/>
    <x v="25"/>
    <n v="232.43"/>
    <x v="1"/>
    <x v="0"/>
    <x v="7"/>
    <x v="1"/>
    <x v="11"/>
  </r>
  <r>
    <n v="864"/>
    <x v="863"/>
    <x v="519"/>
    <s v="CUST6187"/>
    <x v="4"/>
    <x v="0"/>
    <x v="3"/>
    <x v="2"/>
    <x v="8"/>
    <x v="862"/>
    <x v="2"/>
    <x v="2"/>
    <n v="145.6"/>
    <x v="0"/>
    <x v="4"/>
    <x v="9"/>
    <x v="0"/>
    <x v="4"/>
  </r>
  <r>
    <n v="865"/>
    <x v="864"/>
    <x v="520"/>
    <s v="CUST9073"/>
    <x v="1"/>
    <x v="3"/>
    <x v="1"/>
    <x v="0"/>
    <x v="5"/>
    <x v="863"/>
    <x v="2"/>
    <x v="19"/>
    <n v="308.73"/>
    <x v="2"/>
    <x v="2"/>
    <x v="0"/>
    <x v="1"/>
    <x v="0"/>
  </r>
  <r>
    <n v="866"/>
    <x v="865"/>
    <x v="265"/>
    <s v="CUST3364"/>
    <x v="1"/>
    <x v="0"/>
    <x v="4"/>
    <x v="1"/>
    <x v="1"/>
    <x v="864"/>
    <x v="2"/>
    <x v="9"/>
    <n v="688.31"/>
    <x v="2"/>
    <x v="1"/>
    <x v="2"/>
    <x v="0"/>
    <x v="2"/>
  </r>
  <r>
    <n v="867"/>
    <x v="866"/>
    <x v="521"/>
    <s v="CUST1742"/>
    <x v="2"/>
    <x v="2"/>
    <x v="1"/>
    <x v="1"/>
    <x v="0"/>
    <x v="865"/>
    <x v="3"/>
    <x v="11"/>
    <n v="707.71"/>
    <x v="0"/>
    <x v="2"/>
    <x v="4"/>
    <x v="0"/>
    <x v="8"/>
  </r>
  <r>
    <n v="868"/>
    <x v="867"/>
    <x v="499"/>
    <s v="CUST7864"/>
    <x v="4"/>
    <x v="5"/>
    <x v="4"/>
    <x v="3"/>
    <x v="4"/>
    <x v="866"/>
    <x v="0"/>
    <x v="7"/>
    <n v="40.69"/>
    <x v="1"/>
    <x v="0"/>
    <x v="3"/>
    <x v="0"/>
    <x v="10"/>
  </r>
  <r>
    <n v="869"/>
    <x v="868"/>
    <x v="285"/>
    <s v="CUST2029"/>
    <x v="2"/>
    <x v="0"/>
    <x v="6"/>
    <x v="3"/>
    <x v="6"/>
    <x v="867"/>
    <x v="0"/>
    <x v="13"/>
    <n v="784.95"/>
    <x v="1"/>
    <x v="4"/>
    <x v="8"/>
    <x v="1"/>
    <x v="2"/>
  </r>
  <r>
    <n v="870"/>
    <x v="869"/>
    <x v="522"/>
    <s v="CUST9992"/>
    <x v="0"/>
    <x v="2"/>
    <x v="7"/>
    <x v="1"/>
    <x v="2"/>
    <x v="868"/>
    <x v="3"/>
    <x v="24"/>
    <n v="940.96"/>
    <x v="2"/>
    <x v="0"/>
    <x v="4"/>
    <x v="1"/>
    <x v="7"/>
  </r>
  <r>
    <n v="871"/>
    <x v="870"/>
    <x v="523"/>
    <s v="CUST7881"/>
    <x v="4"/>
    <x v="3"/>
    <x v="4"/>
    <x v="0"/>
    <x v="2"/>
    <x v="869"/>
    <x v="1"/>
    <x v="7"/>
    <n v="257.37"/>
    <x v="0"/>
    <x v="1"/>
    <x v="2"/>
    <x v="1"/>
    <x v="0"/>
  </r>
  <r>
    <n v="872"/>
    <x v="871"/>
    <x v="91"/>
    <s v="CUST7908"/>
    <x v="1"/>
    <x v="6"/>
    <x v="4"/>
    <x v="1"/>
    <x v="7"/>
    <x v="870"/>
    <x v="0"/>
    <x v="5"/>
    <n v="690.62"/>
    <x v="2"/>
    <x v="2"/>
    <x v="9"/>
    <x v="0"/>
    <x v="11"/>
  </r>
  <r>
    <n v="873"/>
    <x v="872"/>
    <x v="206"/>
    <s v="CUST2259"/>
    <x v="3"/>
    <x v="3"/>
    <x v="7"/>
    <x v="1"/>
    <x v="5"/>
    <x v="871"/>
    <x v="0"/>
    <x v="16"/>
    <n v="618.32000000000005"/>
    <x v="0"/>
    <x v="2"/>
    <x v="1"/>
    <x v="1"/>
    <x v="7"/>
  </r>
  <r>
    <n v="874"/>
    <x v="873"/>
    <x v="310"/>
    <s v="CUST6831"/>
    <x v="3"/>
    <x v="1"/>
    <x v="7"/>
    <x v="3"/>
    <x v="2"/>
    <x v="872"/>
    <x v="1"/>
    <x v="18"/>
    <n v="199.8"/>
    <x v="2"/>
    <x v="0"/>
    <x v="3"/>
    <x v="0"/>
    <x v="9"/>
  </r>
  <r>
    <n v="875"/>
    <x v="874"/>
    <x v="524"/>
    <s v="CUST2654"/>
    <x v="0"/>
    <x v="0"/>
    <x v="4"/>
    <x v="2"/>
    <x v="3"/>
    <x v="873"/>
    <x v="2"/>
    <x v="14"/>
    <n v="1049.98"/>
    <x v="1"/>
    <x v="4"/>
    <x v="1"/>
    <x v="0"/>
    <x v="2"/>
  </r>
  <r>
    <n v="876"/>
    <x v="875"/>
    <x v="525"/>
    <s v="CUST9681"/>
    <x v="0"/>
    <x v="2"/>
    <x v="4"/>
    <x v="4"/>
    <x v="1"/>
    <x v="874"/>
    <x v="3"/>
    <x v="24"/>
    <n v="425.43"/>
    <x v="0"/>
    <x v="0"/>
    <x v="7"/>
    <x v="0"/>
    <x v="3"/>
  </r>
  <r>
    <n v="877"/>
    <x v="876"/>
    <x v="526"/>
    <s v="CUST7990"/>
    <x v="0"/>
    <x v="2"/>
    <x v="0"/>
    <x v="3"/>
    <x v="0"/>
    <x v="875"/>
    <x v="2"/>
    <x v="1"/>
    <n v="1156.6199999999999"/>
    <x v="1"/>
    <x v="2"/>
    <x v="1"/>
    <x v="1"/>
    <x v="8"/>
  </r>
  <r>
    <n v="878"/>
    <x v="877"/>
    <x v="59"/>
    <s v="CUST1985"/>
    <x v="2"/>
    <x v="5"/>
    <x v="3"/>
    <x v="1"/>
    <x v="7"/>
    <x v="876"/>
    <x v="1"/>
    <x v="18"/>
    <n v="6.62"/>
    <x v="2"/>
    <x v="2"/>
    <x v="3"/>
    <x v="0"/>
    <x v="4"/>
  </r>
  <r>
    <n v="879"/>
    <x v="878"/>
    <x v="217"/>
    <s v="CUST1354"/>
    <x v="2"/>
    <x v="3"/>
    <x v="7"/>
    <x v="4"/>
    <x v="0"/>
    <x v="877"/>
    <x v="4"/>
    <x v="26"/>
    <n v="464.44"/>
    <x v="0"/>
    <x v="2"/>
    <x v="3"/>
    <x v="1"/>
    <x v="4"/>
  </r>
  <r>
    <n v="880"/>
    <x v="879"/>
    <x v="525"/>
    <s v="CUST8749"/>
    <x v="3"/>
    <x v="0"/>
    <x v="5"/>
    <x v="0"/>
    <x v="5"/>
    <x v="878"/>
    <x v="3"/>
    <x v="7"/>
    <n v="347.5"/>
    <x v="0"/>
    <x v="4"/>
    <x v="4"/>
    <x v="0"/>
    <x v="3"/>
  </r>
  <r>
    <n v="881"/>
    <x v="880"/>
    <x v="527"/>
    <s v="CUST8794"/>
    <x v="4"/>
    <x v="6"/>
    <x v="3"/>
    <x v="3"/>
    <x v="3"/>
    <x v="879"/>
    <x v="1"/>
    <x v="23"/>
    <n v="15.5"/>
    <x v="0"/>
    <x v="0"/>
    <x v="1"/>
    <x v="1"/>
    <x v="10"/>
  </r>
  <r>
    <n v="882"/>
    <x v="881"/>
    <x v="497"/>
    <s v="CUST7125"/>
    <x v="0"/>
    <x v="0"/>
    <x v="5"/>
    <x v="3"/>
    <x v="1"/>
    <x v="880"/>
    <x v="3"/>
    <x v="10"/>
    <n v="48"/>
    <x v="1"/>
    <x v="4"/>
    <x v="5"/>
    <x v="1"/>
    <x v="7"/>
  </r>
  <r>
    <n v="883"/>
    <x v="882"/>
    <x v="528"/>
    <s v="CUST1147"/>
    <x v="0"/>
    <x v="5"/>
    <x v="6"/>
    <x v="0"/>
    <x v="5"/>
    <x v="881"/>
    <x v="2"/>
    <x v="22"/>
    <n v="191.75"/>
    <x v="1"/>
    <x v="2"/>
    <x v="5"/>
    <x v="1"/>
    <x v="4"/>
  </r>
  <r>
    <n v="884"/>
    <x v="883"/>
    <x v="349"/>
    <s v="CUST4984"/>
    <x v="0"/>
    <x v="6"/>
    <x v="6"/>
    <x v="1"/>
    <x v="3"/>
    <x v="882"/>
    <x v="0"/>
    <x v="20"/>
    <n v="999.96"/>
    <x v="1"/>
    <x v="0"/>
    <x v="0"/>
    <x v="0"/>
    <x v="5"/>
  </r>
  <r>
    <n v="885"/>
    <x v="884"/>
    <x v="488"/>
    <s v="CUST2522"/>
    <x v="4"/>
    <x v="3"/>
    <x v="6"/>
    <x v="4"/>
    <x v="3"/>
    <x v="883"/>
    <x v="3"/>
    <x v="5"/>
    <n v="266.82"/>
    <x v="2"/>
    <x v="0"/>
    <x v="6"/>
    <x v="1"/>
    <x v="4"/>
  </r>
  <r>
    <n v="886"/>
    <x v="885"/>
    <x v="529"/>
    <s v="CUST1375"/>
    <x v="2"/>
    <x v="1"/>
    <x v="2"/>
    <x v="4"/>
    <x v="4"/>
    <x v="884"/>
    <x v="1"/>
    <x v="14"/>
    <n v="212.36"/>
    <x v="2"/>
    <x v="1"/>
    <x v="4"/>
    <x v="0"/>
    <x v="4"/>
  </r>
  <r>
    <n v="887"/>
    <x v="886"/>
    <x v="489"/>
    <s v="CUST2287"/>
    <x v="2"/>
    <x v="0"/>
    <x v="5"/>
    <x v="1"/>
    <x v="5"/>
    <x v="885"/>
    <x v="1"/>
    <x v="7"/>
    <n v="14.64"/>
    <x v="0"/>
    <x v="0"/>
    <x v="8"/>
    <x v="0"/>
    <x v="11"/>
  </r>
  <r>
    <n v="888"/>
    <x v="887"/>
    <x v="132"/>
    <s v="CUST6761"/>
    <x v="2"/>
    <x v="2"/>
    <x v="3"/>
    <x v="3"/>
    <x v="7"/>
    <x v="886"/>
    <x v="2"/>
    <x v="17"/>
    <n v="603.53"/>
    <x v="0"/>
    <x v="2"/>
    <x v="9"/>
    <x v="1"/>
    <x v="6"/>
  </r>
  <r>
    <n v="889"/>
    <x v="888"/>
    <x v="82"/>
    <s v="CUST6897"/>
    <x v="0"/>
    <x v="2"/>
    <x v="4"/>
    <x v="2"/>
    <x v="8"/>
    <x v="887"/>
    <x v="2"/>
    <x v="13"/>
    <n v="156.66999999999999"/>
    <x v="1"/>
    <x v="4"/>
    <x v="3"/>
    <x v="0"/>
    <x v="1"/>
  </r>
  <r>
    <n v="890"/>
    <x v="889"/>
    <x v="231"/>
    <s v="CUST9335"/>
    <x v="1"/>
    <x v="4"/>
    <x v="4"/>
    <x v="0"/>
    <x v="3"/>
    <x v="888"/>
    <x v="3"/>
    <x v="20"/>
    <n v="188.25"/>
    <x v="1"/>
    <x v="1"/>
    <x v="1"/>
    <x v="0"/>
    <x v="10"/>
  </r>
  <r>
    <n v="891"/>
    <x v="890"/>
    <x v="279"/>
    <s v="CUST1910"/>
    <x v="4"/>
    <x v="6"/>
    <x v="5"/>
    <x v="3"/>
    <x v="5"/>
    <x v="889"/>
    <x v="1"/>
    <x v="13"/>
    <n v="31.26"/>
    <x v="1"/>
    <x v="0"/>
    <x v="3"/>
    <x v="1"/>
    <x v="3"/>
  </r>
  <r>
    <n v="892"/>
    <x v="891"/>
    <x v="530"/>
    <s v="CUST4380"/>
    <x v="2"/>
    <x v="6"/>
    <x v="0"/>
    <x v="2"/>
    <x v="7"/>
    <x v="890"/>
    <x v="2"/>
    <x v="27"/>
    <n v="849.71"/>
    <x v="0"/>
    <x v="3"/>
    <x v="0"/>
    <x v="1"/>
    <x v="4"/>
  </r>
  <r>
    <n v="893"/>
    <x v="892"/>
    <x v="22"/>
    <s v="CUST4609"/>
    <x v="0"/>
    <x v="0"/>
    <x v="6"/>
    <x v="2"/>
    <x v="7"/>
    <x v="891"/>
    <x v="3"/>
    <x v="6"/>
    <n v="686.62"/>
    <x v="0"/>
    <x v="2"/>
    <x v="7"/>
    <x v="0"/>
    <x v="8"/>
  </r>
  <r>
    <n v="894"/>
    <x v="893"/>
    <x v="23"/>
    <s v="CUST1138"/>
    <x v="3"/>
    <x v="3"/>
    <x v="2"/>
    <x v="3"/>
    <x v="2"/>
    <x v="892"/>
    <x v="4"/>
    <x v="24"/>
    <n v="84.62"/>
    <x v="0"/>
    <x v="3"/>
    <x v="0"/>
    <x v="1"/>
    <x v="9"/>
  </r>
  <r>
    <n v="895"/>
    <x v="894"/>
    <x v="124"/>
    <s v="CUST9087"/>
    <x v="1"/>
    <x v="1"/>
    <x v="1"/>
    <x v="2"/>
    <x v="2"/>
    <x v="893"/>
    <x v="3"/>
    <x v="5"/>
    <n v="399.79"/>
    <x v="0"/>
    <x v="1"/>
    <x v="8"/>
    <x v="1"/>
    <x v="0"/>
  </r>
  <r>
    <n v="896"/>
    <x v="895"/>
    <x v="59"/>
    <s v="CUST9517"/>
    <x v="0"/>
    <x v="0"/>
    <x v="4"/>
    <x v="0"/>
    <x v="8"/>
    <x v="894"/>
    <x v="1"/>
    <x v="13"/>
    <n v="155.58000000000001"/>
    <x v="0"/>
    <x v="3"/>
    <x v="1"/>
    <x v="0"/>
    <x v="4"/>
  </r>
  <r>
    <n v="897"/>
    <x v="896"/>
    <x v="349"/>
    <s v="CUST1757"/>
    <x v="1"/>
    <x v="2"/>
    <x v="0"/>
    <x v="1"/>
    <x v="1"/>
    <x v="895"/>
    <x v="4"/>
    <x v="11"/>
    <n v="209.12"/>
    <x v="1"/>
    <x v="0"/>
    <x v="1"/>
    <x v="0"/>
    <x v="5"/>
  </r>
  <r>
    <n v="898"/>
    <x v="897"/>
    <x v="222"/>
    <s v="CUST2766"/>
    <x v="1"/>
    <x v="1"/>
    <x v="5"/>
    <x v="1"/>
    <x v="5"/>
    <x v="896"/>
    <x v="1"/>
    <x v="20"/>
    <n v="233.1"/>
    <x v="0"/>
    <x v="2"/>
    <x v="4"/>
    <x v="0"/>
    <x v="9"/>
  </r>
  <r>
    <n v="899"/>
    <x v="898"/>
    <x v="198"/>
    <s v="CUST6142"/>
    <x v="1"/>
    <x v="1"/>
    <x v="1"/>
    <x v="0"/>
    <x v="6"/>
    <x v="897"/>
    <x v="4"/>
    <x v="3"/>
    <n v="50.53"/>
    <x v="0"/>
    <x v="2"/>
    <x v="7"/>
    <x v="0"/>
    <x v="9"/>
  </r>
  <r>
    <n v="900"/>
    <x v="899"/>
    <x v="373"/>
    <s v="CUST4791"/>
    <x v="2"/>
    <x v="4"/>
    <x v="1"/>
    <x v="0"/>
    <x v="4"/>
    <x v="898"/>
    <x v="4"/>
    <x v="2"/>
    <n v="282"/>
    <x v="1"/>
    <x v="4"/>
    <x v="5"/>
    <x v="1"/>
    <x v="1"/>
  </r>
  <r>
    <n v="901"/>
    <x v="900"/>
    <x v="531"/>
    <s v="CUST8254"/>
    <x v="4"/>
    <x v="5"/>
    <x v="4"/>
    <x v="1"/>
    <x v="5"/>
    <x v="899"/>
    <x v="2"/>
    <x v="18"/>
    <n v="1045.1600000000001"/>
    <x v="0"/>
    <x v="0"/>
    <x v="5"/>
    <x v="0"/>
    <x v="0"/>
  </r>
  <r>
    <n v="902"/>
    <x v="901"/>
    <x v="532"/>
    <s v="CUST5387"/>
    <x v="3"/>
    <x v="1"/>
    <x v="2"/>
    <x v="3"/>
    <x v="3"/>
    <x v="900"/>
    <x v="1"/>
    <x v="11"/>
    <n v="84.9"/>
    <x v="1"/>
    <x v="1"/>
    <x v="3"/>
    <x v="0"/>
    <x v="0"/>
  </r>
  <r>
    <n v="903"/>
    <x v="902"/>
    <x v="28"/>
    <s v="CUST7548"/>
    <x v="2"/>
    <x v="5"/>
    <x v="5"/>
    <x v="3"/>
    <x v="5"/>
    <x v="901"/>
    <x v="1"/>
    <x v="10"/>
    <n v="33.82"/>
    <x v="2"/>
    <x v="3"/>
    <x v="9"/>
    <x v="0"/>
    <x v="6"/>
  </r>
  <r>
    <n v="904"/>
    <x v="903"/>
    <x v="465"/>
    <s v="CUST1658"/>
    <x v="3"/>
    <x v="4"/>
    <x v="6"/>
    <x v="1"/>
    <x v="2"/>
    <x v="902"/>
    <x v="4"/>
    <x v="26"/>
    <n v="243.06"/>
    <x v="2"/>
    <x v="1"/>
    <x v="6"/>
    <x v="0"/>
    <x v="11"/>
  </r>
  <r>
    <n v="905"/>
    <x v="904"/>
    <x v="281"/>
    <s v="CUST2545"/>
    <x v="3"/>
    <x v="3"/>
    <x v="3"/>
    <x v="1"/>
    <x v="3"/>
    <x v="903"/>
    <x v="0"/>
    <x v="16"/>
    <n v="377.49"/>
    <x v="1"/>
    <x v="3"/>
    <x v="5"/>
    <x v="1"/>
    <x v="4"/>
  </r>
  <r>
    <n v="906"/>
    <x v="905"/>
    <x v="25"/>
    <s v="CUST8727"/>
    <x v="2"/>
    <x v="0"/>
    <x v="2"/>
    <x v="4"/>
    <x v="4"/>
    <x v="904"/>
    <x v="1"/>
    <x v="21"/>
    <n v="24.02"/>
    <x v="1"/>
    <x v="2"/>
    <x v="1"/>
    <x v="1"/>
    <x v="11"/>
  </r>
  <r>
    <n v="907"/>
    <x v="906"/>
    <x v="533"/>
    <s v="CUST5782"/>
    <x v="3"/>
    <x v="2"/>
    <x v="1"/>
    <x v="2"/>
    <x v="6"/>
    <x v="905"/>
    <x v="1"/>
    <x v="12"/>
    <n v="32.5"/>
    <x v="2"/>
    <x v="4"/>
    <x v="7"/>
    <x v="1"/>
    <x v="4"/>
  </r>
  <r>
    <n v="908"/>
    <x v="907"/>
    <x v="534"/>
    <s v="CUST9585"/>
    <x v="4"/>
    <x v="4"/>
    <x v="7"/>
    <x v="4"/>
    <x v="8"/>
    <x v="906"/>
    <x v="0"/>
    <x v="20"/>
    <n v="760.83"/>
    <x v="0"/>
    <x v="0"/>
    <x v="9"/>
    <x v="0"/>
    <x v="6"/>
  </r>
  <r>
    <n v="909"/>
    <x v="908"/>
    <x v="141"/>
    <s v="CUST9925"/>
    <x v="0"/>
    <x v="0"/>
    <x v="5"/>
    <x v="1"/>
    <x v="7"/>
    <x v="907"/>
    <x v="3"/>
    <x v="30"/>
    <n v="122.68"/>
    <x v="1"/>
    <x v="4"/>
    <x v="2"/>
    <x v="1"/>
    <x v="2"/>
  </r>
  <r>
    <n v="910"/>
    <x v="909"/>
    <x v="276"/>
    <s v="CUST8605"/>
    <x v="2"/>
    <x v="3"/>
    <x v="4"/>
    <x v="0"/>
    <x v="7"/>
    <x v="908"/>
    <x v="4"/>
    <x v="14"/>
    <n v="224.51"/>
    <x v="1"/>
    <x v="3"/>
    <x v="7"/>
    <x v="0"/>
    <x v="7"/>
  </r>
  <r>
    <n v="911"/>
    <x v="910"/>
    <x v="294"/>
    <s v="CUST9874"/>
    <x v="0"/>
    <x v="2"/>
    <x v="5"/>
    <x v="1"/>
    <x v="1"/>
    <x v="909"/>
    <x v="2"/>
    <x v="13"/>
    <n v="291.83999999999997"/>
    <x v="2"/>
    <x v="0"/>
    <x v="7"/>
    <x v="1"/>
    <x v="0"/>
  </r>
  <r>
    <n v="912"/>
    <x v="911"/>
    <x v="535"/>
    <s v="CUST7566"/>
    <x v="3"/>
    <x v="0"/>
    <x v="6"/>
    <x v="0"/>
    <x v="6"/>
    <x v="910"/>
    <x v="3"/>
    <x v="3"/>
    <n v="540.47"/>
    <x v="2"/>
    <x v="4"/>
    <x v="9"/>
    <x v="0"/>
    <x v="6"/>
  </r>
  <r>
    <n v="913"/>
    <x v="912"/>
    <x v="523"/>
    <s v="CUST2026"/>
    <x v="2"/>
    <x v="5"/>
    <x v="4"/>
    <x v="1"/>
    <x v="1"/>
    <x v="911"/>
    <x v="4"/>
    <x v="19"/>
    <n v="123.44"/>
    <x v="0"/>
    <x v="1"/>
    <x v="9"/>
    <x v="1"/>
    <x v="0"/>
  </r>
  <r>
    <n v="914"/>
    <x v="913"/>
    <x v="536"/>
    <s v="CUST3573"/>
    <x v="2"/>
    <x v="3"/>
    <x v="7"/>
    <x v="4"/>
    <x v="4"/>
    <x v="912"/>
    <x v="1"/>
    <x v="2"/>
    <n v="122.78"/>
    <x v="0"/>
    <x v="1"/>
    <x v="7"/>
    <x v="0"/>
    <x v="3"/>
  </r>
  <r>
    <n v="915"/>
    <x v="914"/>
    <x v="4"/>
    <s v="CUST6657"/>
    <x v="2"/>
    <x v="6"/>
    <x v="7"/>
    <x v="0"/>
    <x v="7"/>
    <x v="913"/>
    <x v="3"/>
    <x v="29"/>
    <n v="407.44"/>
    <x v="1"/>
    <x v="1"/>
    <x v="5"/>
    <x v="0"/>
    <x v="3"/>
  </r>
  <r>
    <n v="916"/>
    <x v="915"/>
    <x v="249"/>
    <s v="CUST3333"/>
    <x v="3"/>
    <x v="0"/>
    <x v="4"/>
    <x v="0"/>
    <x v="8"/>
    <x v="914"/>
    <x v="3"/>
    <x v="11"/>
    <n v="374.03"/>
    <x v="0"/>
    <x v="1"/>
    <x v="0"/>
    <x v="1"/>
    <x v="2"/>
  </r>
  <r>
    <n v="917"/>
    <x v="916"/>
    <x v="112"/>
    <s v="CUST9556"/>
    <x v="1"/>
    <x v="4"/>
    <x v="7"/>
    <x v="0"/>
    <x v="5"/>
    <x v="915"/>
    <x v="4"/>
    <x v="9"/>
    <n v="389.98"/>
    <x v="2"/>
    <x v="1"/>
    <x v="4"/>
    <x v="1"/>
    <x v="7"/>
  </r>
  <r>
    <n v="918"/>
    <x v="917"/>
    <x v="537"/>
    <s v="CUST6718"/>
    <x v="1"/>
    <x v="6"/>
    <x v="2"/>
    <x v="4"/>
    <x v="0"/>
    <x v="916"/>
    <x v="0"/>
    <x v="22"/>
    <n v="949.64"/>
    <x v="1"/>
    <x v="1"/>
    <x v="7"/>
    <x v="0"/>
    <x v="4"/>
  </r>
  <r>
    <n v="919"/>
    <x v="918"/>
    <x v="89"/>
    <s v="CUST2317"/>
    <x v="3"/>
    <x v="1"/>
    <x v="2"/>
    <x v="0"/>
    <x v="5"/>
    <x v="917"/>
    <x v="2"/>
    <x v="7"/>
    <n v="341.47"/>
    <x v="0"/>
    <x v="0"/>
    <x v="0"/>
    <x v="0"/>
    <x v="10"/>
  </r>
  <r>
    <n v="920"/>
    <x v="919"/>
    <x v="146"/>
    <s v="CUST3708"/>
    <x v="0"/>
    <x v="3"/>
    <x v="2"/>
    <x v="1"/>
    <x v="2"/>
    <x v="918"/>
    <x v="3"/>
    <x v="7"/>
    <n v="328.04"/>
    <x v="0"/>
    <x v="1"/>
    <x v="1"/>
    <x v="0"/>
    <x v="9"/>
  </r>
  <r>
    <n v="921"/>
    <x v="920"/>
    <x v="112"/>
    <s v="CUST4455"/>
    <x v="2"/>
    <x v="6"/>
    <x v="6"/>
    <x v="2"/>
    <x v="7"/>
    <x v="919"/>
    <x v="3"/>
    <x v="15"/>
    <n v="875.2"/>
    <x v="2"/>
    <x v="4"/>
    <x v="9"/>
    <x v="1"/>
    <x v="7"/>
  </r>
  <r>
    <n v="922"/>
    <x v="921"/>
    <x v="402"/>
    <s v="CUST7534"/>
    <x v="2"/>
    <x v="0"/>
    <x v="5"/>
    <x v="3"/>
    <x v="3"/>
    <x v="920"/>
    <x v="2"/>
    <x v="17"/>
    <n v="833.5"/>
    <x v="1"/>
    <x v="3"/>
    <x v="7"/>
    <x v="0"/>
    <x v="6"/>
  </r>
  <r>
    <n v="923"/>
    <x v="922"/>
    <x v="538"/>
    <s v="CUST4536"/>
    <x v="2"/>
    <x v="2"/>
    <x v="6"/>
    <x v="0"/>
    <x v="6"/>
    <x v="921"/>
    <x v="0"/>
    <x v="26"/>
    <n v="28.42"/>
    <x v="1"/>
    <x v="4"/>
    <x v="9"/>
    <x v="1"/>
    <x v="8"/>
  </r>
  <r>
    <n v="924"/>
    <x v="923"/>
    <x v="539"/>
    <s v="CUST6420"/>
    <x v="1"/>
    <x v="5"/>
    <x v="7"/>
    <x v="4"/>
    <x v="8"/>
    <x v="922"/>
    <x v="0"/>
    <x v="24"/>
    <n v="554.37"/>
    <x v="2"/>
    <x v="0"/>
    <x v="5"/>
    <x v="1"/>
    <x v="10"/>
  </r>
  <r>
    <n v="925"/>
    <x v="924"/>
    <x v="540"/>
    <s v="CUST1339"/>
    <x v="0"/>
    <x v="1"/>
    <x v="7"/>
    <x v="4"/>
    <x v="1"/>
    <x v="923"/>
    <x v="4"/>
    <x v="28"/>
    <n v="161.32"/>
    <x v="1"/>
    <x v="4"/>
    <x v="1"/>
    <x v="1"/>
    <x v="11"/>
  </r>
  <r>
    <n v="926"/>
    <x v="925"/>
    <x v="102"/>
    <s v="CUST1934"/>
    <x v="4"/>
    <x v="2"/>
    <x v="2"/>
    <x v="3"/>
    <x v="1"/>
    <x v="924"/>
    <x v="1"/>
    <x v="23"/>
    <n v="32.869999999999997"/>
    <x v="2"/>
    <x v="4"/>
    <x v="6"/>
    <x v="1"/>
    <x v="9"/>
  </r>
  <r>
    <n v="927"/>
    <x v="926"/>
    <x v="31"/>
    <s v="CUST9801"/>
    <x v="3"/>
    <x v="1"/>
    <x v="2"/>
    <x v="2"/>
    <x v="1"/>
    <x v="925"/>
    <x v="1"/>
    <x v="0"/>
    <n v="60.87"/>
    <x v="0"/>
    <x v="0"/>
    <x v="5"/>
    <x v="1"/>
    <x v="2"/>
  </r>
  <r>
    <n v="928"/>
    <x v="927"/>
    <x v="541"/>
    <s v="CUST2345"/>
    <x v="4"/>
    <x v="4"/>
    <x v="4"/>
    <x v="1"/>
    <x v="6"/>
    <x v="926"/>
    <x v="4"/>
    <x v="0"/>
    <n v="198.73"/>
    <x v="1"/>
    <x v="0"/>
    <x v="0"/>
    <x v="1"/>
    <x v="1"/>
  </r>
  <r>
    <n v="929"/>
    <x v="928"/>
    <x v="259"/>
    <s v="CUST6281"/>
    <x v="3"/>
    <x v="1"/>
    <x v="6"/>
    <x v="0"/>
    <x v="0"/>
    <x v="927"/>
    <x v="0"/>
    <x v="16"/>
    <n v="651.61"/>
    <x v="0"/>
    <x v="2"/>
    <x v="0"/>
    <x v="0"/>
    <x v="5"/>
  </r>
  <r>
    <n v="930"/>
    <x v="929"/>
    <x v="482"/>
    <s v="CUST2002"/>
    <x v="1"/>
    <x v="4"/>
    <x v="6"/>
    <x v="1"/>
    <x v="2"/>
    <x v="928"/>
    <x v="2"/>
    <x v="19"/>
    <n v="656.93"/>
    <x v="2"/>
    <x v="3"/>
    <x v="4"/>
    <x v="0"/>
    <x v="6"/>
  </r>
  <r>
    <n v="931"/>
    <x v="930"/>
    <x v="513"/>
    <s v="CUST3586"/>
    <x v="4"/>
    <x v="1"/>
    <x v="5"/>
    <x v="4"/>
    <x v="2"/>
    <x v="929"/>
    <x v="3"/>
    <x v="1"/>
    <n v="360.29"/>
    <x v="0"/>
    <x v="0"/>
    <x v="5"/>
    <x v="1"/>
    <x v="8"/>
  </r>
  <r>
    <n v="932"/>
    <x v="931"/>
    <x v="196"/>
    <s v="CUST9358"/>
    <x v="3"/>
    <x v="1"/>
    <x v="7"/>
    <x v="1"/>
    <x v="3"/>
    <x v="930"/>
    <x v="3"/>
    <x v="19"/>
    <n v="468.7"/>
    <x v="2"/>
    <x v="2"/>
    <x v="7"/>
    <x v="1"/>
    <x v="10"/>
  </r>
  <r>
    <n v="933"/>
    <x v="932"/>
    <x v="445"/>
    <s v="CUST2974"/>
    <x v="3"/>
    <x v="1"/>
    <x v="7"/>
    <x v="2"/>
    <x v="4"/>
    <x v="931"/>
    <x v="1"/>
    <x v="8"/>
    <n v="312.18"/>
    <x v="2"/>
    <x v="4"/>
    <x v="4"/>
    <x v="1"/>
    <x v="4"/>
  </r>
  <r>
    <n v="934"/>
    <x v="933"/>
    <x v="542"/>
    <s v="CUST1846"/>
    <x v="2"/>
    <x v="1"/>
    <x v="4"/>
    <x v="4"/>
    <x v="7"/>
    <x v="932"/>
    <x v="1"/>
    <x v="23"/>
    <n v="72.94"/>
    <x v="0"/>
    <x v="4"/>
    <x v="3"/>
    <x v="1"/>
    <x v="5"/>
  </r>
  <r>
    <n v="935"/>
    <x v="934"/>
    <x v="497"/>
    <s v="CUST3066"/>
    <x v="0"/>
    <x v="6"/>
    <x v="7"/>
    <x v="2"/>
    <x v="7"/>
    <x v="933"/>
    <x v="4"/>
    <x v="28"/>
    <n v="22.45"/>
    <x v="0"/>
    <x v="4"/>
    <x v="8"/>
    <x v="1"/>
    <x v="7"/>
  </r>
  <r>
    <n v="936"/>
    <x v="935"/>
    <x v="339"/>
    <s v="CUST3448"/>
    <x v="1"/>
    <x v="5"/>
    <x v="4"/>
    <x v="0"/>
    <x v="1"/>
    <x v="934"/>
    <x v="2"/>
    <x v="23"/>
    <n v="1055.23"/>
    <x v="0"/>
    <x v="2"/>
    <x v="0"/>
    <x v="0"/>
    <x v="3"/>
  </r>
  <r>
    <n v="937"/>
    <x v="936"/>
    <x v="433"/>
    <s v="CUST4293"/>
    <x v="2"/>
    <x v="2"/>
    <x v="1"/>
    <x v="4"/>
    <x v="6"/>
    <x v="935"/>
    <x v="3"/>
    <x v="4"/>
    <n v="826.57"/>
    <x v="1"/>
    <x v="4"/>
    <x v="3"/>
    <x v="0"/>
    <x v="5"/>
  </r>
  <r>
    <n v="938"/>
    <x v="937"/>
    <x v="63"/>
    <s v="CUST8336"/>
    <x v="2"/>
    <x v="4"/>
    <x v="7"/>
    <x v="4"/>
    <x v="4"/>
    <x v="936"/>
    <x v="0"/>
    <x v="6"/>
    <n v="509.35"/>
    <x v="2"/>
    <x v="1"/>
    <x v="9"/>
    <x v="0"/>
    <x v="4"/>
  </r>
  <r>
    <n v="939"/>
    <x v="938"/>
    <x v="63"/>
    <s v="CUST8076"/>
    <x v="3"/>
    <x v="1"/>
    <x v="4"/>
    <x v="4"/>
    <x v="5"/>
    <x v="937"/>
    <x v="2"/>
    <x v="17"/>
    <n v="444.58"/>
    <x v="2"/>
    <x v="3"/>
    <x v="2"/>
    <x v="0"/>
    <x v="4"/>
  </r>
  <r>
    <n v="940"/>
    <x v="939"/>
    <x v="539"/>
    <s v="CUST9570"/>
    <x v="4"/>
    <x v="5"/>
    <x v="7"/>
    <x v="0"/>
    <x v="0"/>
    <x v="938"/>
    <x v="4"/>
    <x v="12"/>
    <n v="165.15"/>
    <x v="2"/>
    <x v="0"/>
    <x v="4"/>
    <x v="1"/>
    <x v="10"/>
  </r>
  <r>
    <n v="941"/>
    <x v="940"/>
    <x v="388"/>
    <s v="CUST3221"/>
    <x v="2"/>
    <x v="6"/>
    <x v="4"/>
    <x v="1"/>
    <x v="4"/>
    <x v="939"/>
    <x v="4"/>
    <x v="7"/>
    <n v="328.2"/>
    <x v="2"/>
    <x v="2"/>
    <x v="8"/>
    <x v="0"/>
    <x v="6"/>
  </r>
  <r>
    <n v="942"/>
    <x v="941"/>
    <x v="420"/>
    <s v="CUST4544"/>
    <x v="2"/>
    <x v="2"/>
    <x v="4"/>
    <x v="0"/>
    <x v="0"/>
    <x v="940"/>
    <x v="1"/>
    <x v="14"/>
    <n v="240.69"/>
    <x v="1"/>
    <x v="2"/>
    <x v="8"/>
    <x v="0"/>
    <x v="9"/>
  </r>
  <r>
    <n v="943"/>
    <x v="942"/>
    <x v="543"/>
    <s v="CUST7792"/>
    <x v="1"/>
    <x v="6"/>
    <x v="1"/>
    <x v="0"/>
    <x v="4"/>
    <x v="941"/>
    <x v="1"/>
    <x v="13"/>
    <n v="85.44"/>
    <x v="0"/>
    <x v="1"/>
    <x v="2"/>
    <x v="1"/>
    <x v="8"/>
  </r>
  <r>
    <n v="944"/>
    <x v="943"/>
    <x v="544"/>
    <s v="CUST6268"/>
    <x v="3"/>
    <x v="2"/>
    <x v="5"/>
    <x v="4"/>
    <x v="1"/>
    <x v="942"/>
    <x v="0"/>
    <x v="20"/>
    <n v="251.97"/>
    <x v="1"/>
    <x v="1"/>
    <x v="3"/>
    <x v="0"/>
    <x v="8"/>
  </r>
  <r>
    <n v="945"/>
    <x v="944"/>
    <x v="523"/>
    <s v="CUST4292"/>
    <x v="3"/>
    <x v="5"/>
    <x v="0"/>
    <x v="2"/>
    <x v="4"/>
    <x v="943"/>
    <x v="4"/>
    <x v="18"/>
    <n v="192.25"/>
    <x v="0"/>
    <x v="1"/>
    <x v="3"/>
    <x v="1"/>
    <x v="0"/>
  </r>
  <r>
    <n v="946"/>
    <x v="945"/>
    <x v="204"/>
    <s v="CUST5189"/>
    <x v="1"/>
    <x v="1"/>
    <x v="4"/>
    <x v="2"/>
    <x v="8"/>
    <x v="944"/>
    <x v="4"/>
    <x v="2"/>
    <n v="275.10000000000002"/>
    <x v="2"/>
    <x v="4"/>
    <x v="3"/>
    <x v="0"/>
    <x v="2"/>
  </r>
  <r>
    <n v="947"/>
    <x v="946"/>
    <x v="545"/>
    <s v="CUST1544"/>
    <x v="3"/>
    <x v="1"/>
    <x v="6"/>
    <x v="0"/>
    <x v="8"/>
    <x v="945"/>
    <x v="4"/>
    <x v="24"/>
    <n v="89.63"/>
    <x v="0"/>
    <x v="0"/>
    <x v="5"/>
    <x v="1"/>
    <x v="8"/>
  </r>
  <r>
    <n v="948"/>
    <x v="947"/>
    <x v="45"/>
    <s v="CUST9757"/>
    <x v="2"/>
    <x v="6"/>
    <x v="1"/>
    <x v="4"/>
    <x v="0"/>
    <x v="946"/>
    <x v="4"/>
    <x v="5"/>
    <n v="14.25"/>
    <x v="2"/>
    <x v="2"/>
    <x v="0"/>
    <x v="1"/>
    <x v="0"/>
  </r>
  <r>
    <n v="949"/>
    <x v="948"/>
    <x v="209"/>
    <s v="CUST6426"/>
    <x v="0"/>
    <x v="1"/>
    <x v="5"/>
    <x v="0"/>
    <x v="5"/>
    <x v="947"/>
    <x v="3"/>
    <x v="20"/>
    <n v="89.13"/>
    <x v="2"/>
    <x v="2"/>
    <x v="9"/>
    <x v="1"/>
    <x v="5"/>
  </r>
  <r>
    <n v="950"/>
    <x v="949"/>
    <x v="258"/>
    <s v="CUST3073"/>
    <x v="3"/>
    <x v="4"/>
    <x v="1"/>
    <x v="1"/>
    <x v="1"/>
    <x v="948"/>
    <x v="4"/>
    <x v="10"/>
    <n v="612.16"/>
    <x v="0"/>
    <x v="3"/>
    <x v="2"/>
    <x v="0"/>
    <x v="11"/>
  </r>
  <r>
    <n v="951"/>
    <x v="950"/>
    <x v="546"/>
    <s v="CUST8073"/>
    <x v="3"/>
    <x v="5"/>
    <x v="0"/>
    <x v="2"/>
    <x v="1"/>
    <x v="949"/>
    <x v="4"/>
    <x v="27"/>
    <n v="14.52"/>
    <x v="1"/>
    <x v="2"/>
    <x v="3"/>
    <x v="0"/>
    <x v="7"/>
  </r>
  <r>
    <n v="952"/>
    <x v="951"/>
    <x v="168"/>
    <s v="CUST6672"/>
    <x v="3"/>
    <x v="5"/>
    <x v="6"/>
    <x v="2"/>
    <x v="0"/>
    <x v="950"/>
    <x v="4"/>
    <x v="17"/>
    <n v="545.62"/>
    <x v="2"/>
    <x v="0"/>
    <x v="5"/>
    <x v="0"/>
    <x v="1"/>
  </r>
  <r>
    <n v="953"/>
    <x v="952"/>
    <x v="13"/>
    <s v="CUST1798"/>
    <x v="1"/>
    <x v="2"/>
    <x v="6"/>
    <x v="4"/>
    <x v="4"/>
    <x v="951"/>
    <x v="2"/>
    <x v="27"/>
    <n v="250.42"/>
    <x v="0"/>
    <x v="4"/>
    <x v="6"/>
    <x v="1"/>
    <x v="6"/>
  </r>
  <r>
    <n v="954"/>
    <x v="953"/>
    <x v="528"/>
    <s v="CUST2598"/>
    <x v="0"/>
    <x v="5"/>
    <x v="4"/>
    <x v="0"/>
    <x v="2"/>
    <x v="952"/>
    <x v="0"/>
    <x v="23"/>
    <n v="225.85"/>
    <x v="2"/>
    <x v="3"/>
    <x v="6"/>
    <x v="1"/>
    <x v="4"/>
  </r>
  <r>
    <n v="955"/>
    <x v="954"/>
    <x v="515"/>
    <s v="CUST5952"/>
    <x v="1"/>
    <x v="4"/>
    <x v="2"/>
    <x v="3"/>
    <x v="6"/>
    <x v="953"/>
    <x v="0"/>
    <x v="20"/>
    <n v="708.09"/>
    <x v="0"/>
    <x v="4"/>
    <x v="7"/>
    <x v="1"/>
    <x v="11"/>
  </r>
  <r>
    <n v="956"/>
    <x v="955"/>
    <x v="547"/>
    <s v="CUST2701"/>
    <x v="1"/>
    <x v="3"/>
    <x v="4"/>
    <x v="3"/>
    <x v="2"/>
    <x v="954"/>
    <x v="3"/>
    <x v="11"/>
    <n v="99.34"/>
    <x v="0"/>
    <x v="0"/>
    <x v="7"/>
    <x v="1"/>
    <x v="7"/>
  </r>
  <r>
    <n v="957"/>
    <x v="956"/>
    <x v="548"/>
    <s v="CUST8415"/>
    <x v="3"/>
    <x v="2"/>
    <x v="2"/>
    <x v="4"/>
    <x v="1"/>
    <x v="955"/>
    <x v="0"/>
    <x v="23"/>
    <n v="110.01"/>
    <x v="0"/>
    <x v="1"/>
    <x v="0"/>
    <x v="0"/>
    <x v="8"/>
  </r>
  <r>
    <n v="958"/>
    <x v="957"/>
    <x v="549"/>
    <s v="CUST1849"/>
    <x v="0"/>
    <x v="1"/>
    <x v="2"/>
    <x v="0"/>
    <x v="0"/>
    <x v="956"/>
    <x v="1"/>
    <x v="5"/>
    <n v="88.41"/>
    <x v="0"/>
    <x v="2"/>
    <x v="6"/>
    <x v="1"/>
    <x v="1"/>
  </r>
  <r>
    <n v="959"/>
    <x v="958"/>
    <x v="550"/>
    <s v="CUST4530"/>
    <x v="1"/>
    <x v="5"/>
    <x v="4"/>
    <x v="3"/>
    <x v="4"/>
    <x v="957"/>
    <x v="0"/>
    <x v="13"/>
    <n v="480.56"/>
    <x v="2"/>
    <x v="3"/>
    <x v="4"/>
    <x v="0"/>
    <x v="7"/>
  </r>
  <r>
    <n v="960"/>
    <x v="959"/>
    <x v="315"/>
    <s v="CUST2105"/>
    <x v="2"/>
    <x v="0"/>
    <x v="3"/>
    <x v="4"/>
    <x v="1"/>
    <x v="958"/>
    <x v="2"/>
    <x v="13"/>
    <n v="643.72"/>
    <x v="0"/>
    <x v="2"/>
    <x v="9"/>
    <x v="0"/>
    <x v="4"/>
  </r>
  <r>
    <n v="961"/>
    <x v="960"/>
    <x v="49"/>
    <s v="CUST6285"/>
    <x v="1"/>
    <x v="3"/>
    <x v="2"/>
    <x v="3"/>
    <x v="5"/>
    <x v="959"/>
    <x v="0"/>
    <x v="5"/>
    <n v="43.19"/>
    <x v="1"/>
    <x v="0"/>
    <x v="3"/>
    <x v="0"/>
    <x v="3"/>
  </r>
  <r>
    <n v="962"/>
    <x v="961"/>
    <x v="12"/>
    <s v="CUST4527"/>
    <x v="0"/>
    <x v="1"/>
    <x v="5"/>
    <x v="2"/>
    <x v="2"/>
    <x v="960"/>
    <x v="2"/>
    <x v="11"/>
    <n v="646.54999999999995"/>
    <x v="2"/>
    <x v="3"/>
    <x v="9"/>
    <x v="1"/>
    <x v="3"/>
  </r>
  <r>
    <n v="963"/>
    <x v="962"/>
    <x v="428"/>
    <s v="CUST8317"/>
    <x v="4"/>
    <x v="5"/>
    <x v="6"/>
    <x v="3"/>
    <x v="3"/>
    <x v="961"/>
    <x v="4"/>
    <x v="19"/>
    <n v="297.14999999999998"/>
    <x v="2"/>
    <x v="4"/>
    <x v="6"/>
    <x v="0"/>
    <x v="10"/>
  </r>
  <r>
    <n v="964"/>
    <x v="963"/>
    <x v="34"/>
    <s v="CUST8276"/>
    <x v="2"/>
    <x v="0"/>
    <x v="4"/>
    <x v="0"/>
    <x v="8"/>
    <x v="962"/>
    <x v="4"/>
    <x v="18"/>
    <n v="188.79"/>
    <x v="0"/>
    <x v="2"/>
    <x v="8"/>
    <x v="1"/>
    <x v="9"/>
  </r>
  <r>
    <n v="965"/>
    <x v="964"/>
    <x v="212"/>
    <s v="CUST8117"/>
    <x v="4"/>
    <x v="5"/>
    <x v="7"/>
    <x v="4"/>
    <x v="6"/>
    <x v="963"/>
    <x v="1"/>
    <x v="23"/>
    <n v="114.57"/>
    <x v="1"/>
    <x v="0"/>
    <x v="5"/>
    <x v="0"/>
    <x v="4"/>
  </r>
  <r>
    <n v="966"/>
    <x v="965"/>
    <x v="142"/>
    <s v="CUST8018"/>
    <x v="2"/>
    <x v="6"/>
    <x v="7"/>
    <x v="1"/>
    <x v="4"/>
    <x v="964"/>
    <x v="3"/>
    <x v="21"/>
    <n v="152.46"/>
    <x v="1"/>
    <x v="0"/>
    <x v="7"/>
    <x v="1"/>
    <x v="4"/>
  </r>
  <r>
    <n v="967"/>
    <x v="966"/>
    <x v="111"/>
    <s v="CUST1227"/>
    <x v="4"/>
    <x v="2"/>
    <x v="2"/>
    <x v="1"/>
    <x v="3"/>
    <x v="965"/>
    <x v="4"/>
    <x v="7"/>
    <n v="43.4"/>
    <x v="1"/>
    <x v="3"/>
    <x v="4"/>
    <x v="0"/>
    <x v="5"/>
  </r>
  <r>
    <n v="968"/>
    <x v="967"/>
    <x v="211"/>
    <s v="CUST6996"/>
    <x v="1"/>
    <x v="3"/>
    <x v="1"/>
    <x v="2"/>
    <x v="8"/>
    <x v="966"/>
    <x v="0"/>
    <x v="10"/>
    <n v="1004.29"/>
    <x v="2"/>
    <x v="3"/>
    <x v="4"/>
    <x v="0"/>
    <x v="8"/>
  </r>
  <r>
    <n v="969"/>
    <x v="968"/>
    <x v="367"/>
    <s v="CUST7463"/>
    <x v="3"/>
    <x v="2"/>
    <x v="4"/>
    <x v="4"/>
    <x v="5"/>
    <x v="967"/>
    <x v="4"/>
    <x v="11"/>
    <n v="217.28"/>
    <x v="1"/>
    <x v="2"/>
    <x v="7"/>
    <x v="0"/>
    <x v="8"/>
  </r>
  <r>
    <n v="970"/>
    <x v="969"/>
    <x v="407"/>
    <s v="CUST3932"/>
    <x v="1"/>
    <x v="1"/>
    <x v="6"/>
    <x v="0"/>
    <x v="6"/>
    <x v="968"/>
    <x v="2"/>
    <x v="15"/>
    <n v="555.1"/>
    <x v="2"/>
    <x v="0"/>
    <x v="5"/>
    <x v="0"/>
    <x v="2"/>
  </r>
  <r>
    <n v="971"/>
    <x v="970"/>
    <x v="486"/>
    <s v="CUST5836"/>
    <x v="2"/>
    <x v="5"/>
    <x v="0"/>
    <x v="1"/>
    <x v="8"/>
    <x v="969"/>
    <x v="0"/>
    <x v="27"/>
    <n v="961.46"/>
    <x v="0"/>
    <x v="0"/>
    <x v="7"/>
    <x v="0"/>
    <x v="9"/>
  </r>
  <r>
    <n v="972"/>
    <x v="971"/>
    <x v="127"/>
    <s v="CUST7088"/>
    <x v="3"/>
    <x v="5"/>
    <x v="3"/>
    <x v="4"/>
    <x v="7"/>
    <x v="970"/>
    <x v="2"/>
    <x v="20"/>
    <n v="530.49"/>
    <x v="0"/>
    <x v="1"/>
    <x v="8"/>
    <x v="1"/>
    <x v="9"/>
  </r>
  <r>
    <n v="973"/>
    <x v="972"/>
    <x v="551"/>
    <s v="CUST3438"/>
    <x v="1"/>
    <x v="0"/>
    <x v="2"/>
    <x v="4"/>
    <x v="5"/>
    <x v="971"/>
    <x v="4"/>
    <x v="0"/>
    <n v="463.79"/>
    <x v="0"/>
    <x v="0"/>
    <x v="1"/>
    <x v="1"/>
    <x v="0"/>
  </r>
  <r>
    <n v="974"/>
    <x v="973"/>
    <x v="165"/>
    <s v="CUST9139"/>
    <x v="1"/>
    <x v="4"/>
    <x v="6"/>
    <x v="1"/>
    <x v="7"/>
    <x v="972"/>
    <x v="4"/>
    <x v="12"/>
    <n v="165.6"/>
    <x v="2"/>
    <x v="3"/>
    <x v="5"/>
    <x v="1"/>
    <x v="6"/>
  </r>
  <r>
    <n v="975"/>
    <x v="974"/>
    <x v="521"/>
    <s v="CUST1933"/>
    <x v="3"/>
    <x v="2"/>
    <x v="7"/>
    <x v="2"/>
    <x v="8"/>
    <x v="973"/>
    <x v="1"/>
    <x v="13"/>
    <n v="248.26"/>
    <x v="0"/>
    <x v="2"/>
    <x v="0"/>
    <x v="0"/>
    <x v="8"/>
  </r>
  <r>
    <n v="976"/>
    <x v="975"/>
    <x v="552"/>
    <s v="CUST7188"/>
    <x v="1"/>
    <x v="4"/>
    <x v="5"/>
    <x v="0"/>
    <x v="4"/>
    <x v="974"/>
    <x v="2"/>
    <x v="10"/>
    <n v="338.12"/>
    <x v="0"/>
    <x v="2"/>
    <x v="2"/>
    <x v="0"/>
    <x v="10"/>
  </r>
  <r>
    <n v="977"/>
    <x v="976"/>
    <x v="273"/>
    <s v="CUST8595"/>
    <x v="3"/>
    <x v="0"/>
    <x v="0"/>
    <x v="0"/>
    <x v="2"/>
    <x v="975"/>
    <x v="4"/>
    <x v="25"/>
    <n v="424.2"/>
    <x v="1"/>
    <x v="0"/>
    <x v="7"/>
    <x v="0"/>
    <x v="2"/>
  </r>
  <r>
    <n v="978"/>
    <x v="977"/>
    <x v="45"/>
    <s v="CUST2455"/>
    <x v="2"/>
    <x v="5"/>
    <x v="2"/>
    <x v="0"/>
    <x v="3"/>
    <x v="976"/>
    <x v="0"/>
    <x v="2"/>
    <n v="351.2"/>
    <x v="0"/>
    <x v="1"/>
    <x v="3"/>
    <x v="1"/>
    <x v="0"/>
  </r>
  <r>
    <n v="979"/>
    <x v="978"/>
    <x v="340"/>
    <s v="CUST8616"/>
    <x v="0"/>
    <x v="1"/>
    <x v="6"/>
    <x v="0"/>
    <x v="5"/>
    <x v="977"/>
    <x v="2"/>
    <x v="22"/>
    <n v="802.46"/>
    <x v="1"/>
    <x v="3"/>
    <x v="3"/>
    <x v="0"/>
    <x v="3"/>
  </r>
  <r>
    <n v="980"/>
    <x v="979"/>
    <x v="166"/>
    <s v="CUST6187"/>
    <x v="0"/>
    <x v="5"/>
    <x v="1"/>
    <x v="1"/>
    <x v="2"/>
    <x v="978"/>
    <x v="0"/>
    <x v="2"/>
    <n v="72.81"/>
    <x v="1"/>
    <x v="0"/>
    <x v="6"/>
    <x v="0"/>
    <x v="2"/>
  </r>
  <r>
    <n v="981"/>
    <x v="980"/>
    <x v="553"/>
    <s v="CUST4732"/>
    <x v="3"/>
    <x v="5"/>
    <x v="7"/>
    <x v="2"/>
    <x v="5"/>
    <x v="979"/>
    <x v="0"/>
    <x v="27"/>
    <n v="416.49"/>
    <x v="0"/>
    <x v="1"/>
    <x v="2"/>
    <x v="1"/>
    <x v="9"/>
  </r>
  <r>
    <n v="982"/>
    <x v="981"/>
    <x v="181"/>
    <s v="CUST7527"/>
    <x v="0"/>
    <x v="5"/>
    <x v="5"/>
    <x v="3"/>
    <x v="0"/>
    <x v="980"/>
    <x v="0"/>
    <x v="4"/>
    <n v="1074.8599999999999"/>
    <x v="1"/>
    <x v="2"/>
    <x v="1"/>
    <x v="0"/>
    <x v="1"/>
  </r>
  <r>
    <n v="983"/>
    <x v="982"/>
    <x v="248"/>
    <s v="CUST5340"/>
    <x v="1"/>
    <x v="4"/>
    <x v="5"/>
    <x v="1"/>
    <x v="5"/>
    <x v="981"/>
    <x v="2"/>
    <x v="0"/>
    <n v="251.55"/>
    <x v="0"/>
    <x v="4"/>
    <x v="0"/>
    <x v="0"/>
    <x v="3"/>
  </r>
  <r>
    <n v="984"/>
    <x v="983"/>
    <x v="428"/>
    <s v="CUST1163"/>
    <x v="4"/>
    <x v="0"/>
    <x v="5"/>
    <x v="0"/>
    <x v="7"/>
    <x v="982"/>
    <x v="2"/>
    <x v="18"/>
    <n v="833.63"/>
    <x v="1"/>
    <x v="1"/>
    <x v="7"/>
    <x v="0"/>
    <x v="10"/>
  </r>
  <r>
    <n v="985"/>
    <x v="984"/>
    <x v="453"/>
    <s v="CUST6263"/>
    <x v="0"/>
    <x v="5"/>
    <x v="2"/>
    <x v="1"/>
    <x v="2"/>
    <x v="983"/>
    <x v="1"/>
    <x v="15"/>
    <n v="81.42"/>
    <x v="1"/>
    <x v="0"/>
    <x v="5"/>
    <x v="0"/>
    <x v="2"/>
  </r>
  <r>
    <n v="986"/>
    <x v="985"/>
    <x v="554"/>
    <s v="CUST1455"/>
    <x v="4"/>
    <x v="5"/>
    <x v="2"/>
    <x v="1"/>
    <x v="7"/>
    <x v="984"/>
    <x v="4"/>
    <x v="25"/>
    <n v="202.5"/>
    <x v="0"/>
    <x v="2"/>
    <x v="5"/>
    <x v="1"/>
    <x v="0"/>
  </r>
  <r>
    <n v="987"/>
    <x v="986"/>
    <x v="555"/>
    <s v="CUST2380"/>
    <x v="2"/>
    <x v="0"/>
    <x v="6"/>
    <x v="3"/>
    <x v="7"/>
    <x v="985"/>
    <x v="1"/>
    <x v="18"/>
    <n v="171.25"/>
    <x v="0"/>
    <x v="0"/>
    <x v="2"/>
    <x v="1"/>
    <x v="10"/>
  </r>
  <r>
    <n v="988"/>
    <x v="987"/>
    <x v="398"/>
    <s v="CUST4515"/>
    <x v="1"/>
    <x v="1"/>
    <x v="5"/>
    <x v="3"/>
    <x v="7"/>
    <x v="986"/>
    <x v="4"/>
    <x v="4"/>
    <n v="249.44"/>
    <x v="2"/>
    <x v="3"/>
    <x v="9"/>
    <x v="0"/>
    <x v="10"/>
  </r>
  <r>
    <n v="989"/>
    <x v="988"/>
    <x v="91"/>
    <s v="CUST4760"/>
    <x v="4"/>
    <x v="6"/>
    <x v="3"/>
    <x v="1"/>
    <x v="8"/>
    <x v="987"/>
    <x v="4"/>
    <x v="12"/>
    <n v="203.17"/>
    <x v="0"/>
    <x v="3"/>
    <x v="1"/>
    <x v="0"/>
    <x v="11"/>
  </r>
  <r>
    <n v="990"/>
    <x v="989"/>
    <x v="437"/>
    <s v="CUST8178"/>
    <x v="3"/>
    <x v="6"/>
    <x v="0"/>
    <x v="4"/>
    <x v="3"/>
    <x v="988"/>
    <x v="3"/>
    <x v="11"/>
    <n v="31.83"/>
    <x v="0"/>
    <x v="2"/>
    <x v="7"/>
    <x v="1"/>
    <x v="1"/>
  </r>
  <r>
    <n v="991"/>
    <x v="990"/>
    <x v="239"/>
    <s v="CUST2725"/>
    <x v="3"/>
    <x v="3"/>
    <x v="4"/>
    <x v="4"/>
    <x v="7"/>
    <x v="989"/>
    <x v="4"/>
    <x v="2"/>
    <n v="164.16"/>
    <x v="0"/>
    <x v="4"/>
    <x v="9"/>
    <x v="1"/>
    <x v="6"/>
  </r>
  <r>
    <n v="992"/>
    <x v="991"/>
    <x v="339"/>
    <s v="CUST8845"/>
    <x v="1"/>
    <x v="5"/>
    <x v="3"/>
    <x v="1"/>
    <x v="3"/>
    <x v="990"/>
    <x v="2"/>
    <x v="14"/>
    <n v="342.5"/>
    <x v="1"/>
    <x v="0"/>
    <x v="6"/>
    <x v="0"/>
    <x v="3"/>
  </r>
  <r>
    <n v="993"/>
    <x v="992"/>
    <x v="556"/>
    <s v="CUST9918"/>
    <x v="4"/>
    <x v="4"/>
    <x v="0"/>
    <x v="2"/>
    <x v="0"/>
    <x v="991"/>
    <x v="0"/>
    <x v="9"/>
    <n v="908.73"/>
    <x v="2"/>
    <x v="4"/>
    <x v="5"/>
    <x v="1"/>
    <x v="3"/>
  </r>
  <r>
    <n v="994"/>
    <x v="993"/>
    <x v="557"/>
    <s v="CUST7332"/>
    <x v="4"/>
    <x v="5"/>
    <x v="1"/>
    <x v="1"/>
    <x v="3"/>
    <x v="992"/>
    <x v="2"/>
    <x v="20"/>
    <n v="413.86"/>
    <x v="2"/>
    <x v="0"/>
    <x v="5"/>
    <x v="0"/>
    <x v="9"/>
  </r>
  <r>
    <n v="995"/>
    <x v="994"/>
    <x v="506"/>
    <s v="CUST8933"/>
    <x v="3"/>
    <x v="0"/>
    <x v="5"/>
    <x v="3"/>
    <x v="6"/>
    <x v="993"/>
    <x v="2"/>
    <x v="25"/>
    <n v="204.99"/>
    <x v="1"/>
    <x v="0"/>
    <x v="7"/>
    <x v="0"/>
    <x v="7"/>
  </r>
  <r>
    <n v="996"/>
    <x v="995"/>
    <x v="558"/>
    <s v="CUST9686"/>
    <x v="4"/>
    <x v="3"/>
    <x v="5"/>
    <x v="0"/>
    <x v="7"/>
    <x v="994"/>
    <x v="4"/>
    <x v="8"/>
    <n v="332.1"/>
    <x v="1"/>
    <x v="2"/>
    <x v="4"/>
    <x v="1"/>
    <x v="6"/>
  </r>
  <r>
    <n v="997"/>
    <x v="996"/>
    <x v="162"/>
    <s v="CUST7475"/>
    <x v="4"/>
    <x v="4"/>
    <x v="5"/>
    <x v="3"/>
    <x v="7"/>
    <x v="995"/>
    <x v="2"/>
    <x v="14"/>
    <n v="597.34"/>
    <x v="0"/>
    <x v="4"/>
    <x v="7"/>
    <x v="0"/>
    <x v="6"/>
  </r>
  <r>
    <n v="998"/>
    <x v="997"/>
    <x v="191"/>
    <s v="CUST6668"/>
    <x v="2"/>
    <x v="1"/>
    <x v="3"/>
    <x v="4"/>
    <x v="4"/>
    <x v="996"/>
    <x v="2"/>
    <x v="14"/>
    <n v="320.24"/>
    <x v="0"/>
    <x v="0"/>
    <x v="2"/>
    <x v="1"/>
    <x v="9"/>
  </r>
  <r>
    <n v="999"/>
    <x v="998"/>
    <x v="205"/>
    <s v="CUST6534"/>
    <x v="0"/>
    <x v="4"/>
    <x v="2"/>
    <x v="1"/>
    <x v="2"/>
    <x v="997"/>
    <x v="0"/>
    <x v="26"/>
    <n v="41.9"/>
    <x v="0"/>
    <x v="3"/>
    <x v="1"/>
    <x v="0"/>
    <x v="6"/>
  </r>
  <r>
    <n v="1000"/>
    <x v="999"/>
    <x v="124"/>
    <s v="CUST7335"/>
    <x v="3"/>
    <x v="2"/>
    <x v="7"/>
    <x v="0"/>
    <x v="3"/>
    <x v="998"/>
    <x v="0"/>
    <x v="29"/>
    <n v="543.1"/>
    <x v="2"/>
    <x v="0"/>
    <x v="8"/>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ayment method in each regi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A150:G157" firstHeaderRow="1" firstDataRow="2" firstDataCol="1"/>
  <pivotFields count="20">
    <pivotField showAll="0" defaultSubtotal="0"/>
    <pivotField dataField="1" showAll="0"/>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pivotField axis="axisCol" showAll="0">
      <items count="6">
        <item x="1"/>
        <item x="0"/>
        <item x="3"/>
        <item x="2"/>
        <item x="4"/>
        <item t="default"/>
      </items>
    </pivotField>
    <pivotField showAll="0">
      <items count="8">
        <item x="4"/>
        <item x="1"/>
        <item x="0"/>
        <item x="6"/>
        <item x="5"/>
        <item x="3"/>
        <item x="2"/>
        <item t="default"/>
      </items>
    </pivotField>
    <pivotField showAll="0">
      <items count="9">
        <item x="5"/>
        <item x="2"/>
        <item x="6"/>
        <item x="1"/>
        <item x="0"/>
        <item x="4"/>
        <item x="7"/>
        <item x="3"/>
        <item t="default"/>
      </items>
    </pivotField>
    <pivotField showAll="0">
      <items count="6">
        <item x="1"/>
        <item x="2"/>
        <item x="3"/>
        <item x="0"/>
        <item x="4"/>
        <item t="default"/>
      </items>
    </pivotField>
    <pivotField showAll="0">
      <items count="10">
        <item x="8"/>
        <item x="6"/>
        <item x="7"/>
        <item x="3"/>
        <item x="1"/>
        <item x="2"/>
        <item x="0"/>
        <item x="5"/>
        <item x="4"/>
        <item t="default"/>
      </items>
    </pivotField>
    <pivotField showAll="0"/>
    <pivotField showAll="0">
      <items count="6">
        <item x="1"/>
        <item x="4"/>
        <item x="3"/>
        <item x="2"/>
        <item x="0"/>
        <item t="default"/>
      </items>
    </pivotField>
    <pivotField showAll="0">
      <items count="32">
        <item x="22"/>
        <item x="29"/>
        <item x="20"/>
        <item x="5"/>
        <item x="15"/>
        <item x="10"/>
        <item x="8"/>
        <item x="28"/>
        <item x="23"/>
        <item x="16"/>
        <item x="2"/>
        <item x="11"/>
        <item x="24"/>
        <item x="3"/>
        <item x="18"/>
        <item x="25"/>
        <item x="19"/>
        <item x="13"/>
        <item x="26"/>
        <item x="4"/>
        <item x="14"/>
        <item x="0"/>
        <item x="17"/>
        <item x="21"/>
        <item x="1"/>
        <item x="6"/>
        <item x="12"/>
        <item x="27"/>
        <item x="7"/>
        <item x="9"/>
        <item x="30"/>
        <item t="default"/>
      </items>
    </pivotField>
    <pivotField showAll="0"/>
    <pivotField showAll="0">
      <items count="4">
        <item x="0"/>
        <item x="1"/>
        <item x="2"/>
        <item t="default"/>
      </items>
    </pivotField>
    <pivotField axis="axisRow" showAll="0">
      <items count="6">
        <item x="4"/>
        <item x="0"/>
        <item x="1"/>
        <item x="2"/>
        <item x="3"/>
        <item t="default"/>
      </items>
    </pivotField>
    <pivotField showAll="0"/>
    <pivotField showAll="0">
      <items count="3">
        <item x="0"/>
        <item x="1"/>
        <item t="default"/>
      </items>
    </pivotField>
    <pivotField showAll="0">
      <items count="13">
        <item x="6"/>
        <item x="2"/>
        <item x="8"/>
        <item x="10"/>
        <item x="3"/>
        <item x="1"/>
        <item x="5"/>
        <item x="9"/>
        <item x="11"/>
        <item x="7"/>
        <item x="0"/>
        <item x="4"/>
        <item t="default"/>
      </items>
    </pivotField>
    <pivotField showAll="0" defaultSubtotal="0">
      <items count="1">
        <item x="0"/>
      </items>
    </pivotField>
    <pivotField dragToRow="0" dragToCol="0" dragToPage="0" showAll="0" defaultSubtotal="0"/>
  </pivotFields>
  <rowFields count="1">
    <field x="14"/>
  </rowFields>
  <rowItems count="6">
    <i>
      <x/>
    </i>
    <i>
      <x v="1"/>
    </i>
    <i>
      <x v="2"/>
    </i>
    <i>
      <x v="3"/>
    </i>
    <i>
      <x v="4"/>
    </i>
    <i t="grand">
      <x/>
    </i>
  </rowItems>
  <colFields count="1">
    <field x="4"/>
  </colFields>
  <colItems count="6">
    <i>
      <x/>
    </i>
    <i>
      <x v="1"/>
    </i>
    <i>
      <x v="2"/>
    </i>
    <i>
      <x v="3"/>
    </i>
    <i>
      <x v="4"/>
    </i>
    <i t="grand">
      <x/>
    </i>
  </colItems>
  <dataFields count="1">
    <dataField name="Count of OrderID" fld="1" subtotal="count" baseField="0" baseItem="0"/>
  </dataFields>
  <chartFormats count="10">
    <chartFormat chart="8" format="25" series="1">
      <pivotArea type="data" outline="0" fieldPosition="0">
        <references count="2">
          <reference field="4294967294" count="1" selected="0">
            <x v="0"/>
          </reference>
          <reference field="4" count="1" selected="0">
            <x v="0"/>
          </reference>
        </references>
      </pivotArea>
    </chartFormat>
    <chartFormat chart="8" format="26" series="1">
      <pivotArea type="data" outline="0" fieldPosition="0">
        <references count="2">
          <reference field="4294967294" count="1" selected="0">
            <x v="0"/>
          </reference>
          <reference field="4" count="1" selected="0">
            <x v="1"/>
          </reference>
        </references>
      </pivotArea>
    </chartFormat>
    <chartFormat chart="8" format="27" series="1">
      <pivotArea type="data" outline="0" fieldPosition="0">
        <references count="2">
          <reference field="4294967294" count="1" selected="0">
            <x v="0"/>
          </reference>
          <reference field="4" count="1" selected="0">
            <x v="2"/>
          </reference>
        </references>
      </pivotArea>
    </chartFormat>
    <chartFormat chart="8" format="28" series="1">
      <pivotArea type="data" outline="0" fieldPosition="0">
        <references count="2">
          <reference field="4294967294" count="1" selected="0">
            <x v="0"/>
          </reference>
          <reference field="4" count="1" selected="0">
            <x v="3"/>
          </reference>
        </references>
      </pivotArea>
    </chartFormat>
    <chartFormat chart="8" format="29" series="1">
      <pivotArea type="data" outline="0" fieldPosition="0">
        <references count="2">
          <reference field="4294967294" count="1" selected="0">
            <x v="0"/>
          </reference>
          <reference field="4" count="1" selected="0">
            <x v="4"/>
          </reference>
        </references>
      </pivotArea>
    </chartFormat>
    <chartFormat chart="4" format="20" series="1">
      <pivotArea type="data" outline="0" fieldPosition="0">
        <references count="2">
          <reference field="4294967294" count="1" selected="0">
            <x v="0"/>
          </reference>
          <reference field="4" count="1" selected="0">
            <x v="0"/>
          </reference>
        </references>
      </pivotArea>
    </chartFormat>
    <chartFormat chart="4" format="21" series="1">
      <pivotArea type="data" outline="0" fieldPosition="0">
        <references count="2">
          <reference field="4294967294" count="1" selected="0">
            <x v="0"/>
          </reference>
          <reference field="4" count="1" selected="0">
            <x v="1"/>
          </reference>
        </references>
      </pivotArea>
    </chartFormat>
    <chartFormat chart="4" format="22" series="1">
      <pivotArea type="data" outline="0" fieldPosition="0">
        <references count="2">
          <reference field="4294967294" count="1" selected="0">
            <x v="0"/>
          </reference>
          <reference field="4" count="1" selected="0">
            <x v="2"/>
          </reference>
        </references>
      </pivotArea>
    </chartFormat>
    <chartFormat chart="4" format="23" series="1">
      <pivotArea type="data" outline="0" fieldPosition="0">
        <references count="2">
          <reference field="4294967294" count="1" selected="0">
            <x v="0"/>
          </reference>
          <reference field="4" count="1" selected="0">
            <x v="3"/>
          </reference>
        </references>
      </pivotArea>
    </chartFormat>
    <chartFormat chart="4" format="24" series="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country wise profi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P36:Q44" firstHeaderRow="1" firstDataRow="1" firstDataCol="1"/>
  <pivotFields count="20">
    <pivotField showAll="0" defaultSubtotal="0"/>
    <pivotField showAll="0"/>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pivotField showAll="0">
      <items count="6">
        <item x="1"/>
        <item x="0"/>
        <item x="3"/>
        <item x="2"/>
        <item x="4"/>
        <item t="default"/>
      </items>
    </pivotField>
    <pivotField axis="axisRow" showAll="0">
      <items count="8">
        <item x="4"/>
        <item x="1"/>
        <item x="0"/>
        <item x="6"/>
        <item x="5"/>
        <item x="3"/>
        <item x="2"/>
        <item t="default"/>
      </items>
    </pivotField>
    <pivotField showAll="0">
      <items count="9">
        <item x="5"/>
        <item x="2"/>
        <item x="6"/>
        <item x="1"/>
        <item x="0"/>
        <item x="4"/>
        <item x="7"/>
        <item x="3"/>
        <item t="default"/>
      </items>
    </pivotField>
    <pivotField showAll="0">
      <items count="6">
        <item x="1"/>
        <item x="2"/>
        <item x="3"/>
        <item x="0"/>
        <item x="4"/>
        <item t="default"/>
      </items>
    </pivotField>
    <pivotField showAll="0">
      <items count="10">
        <item x="8"/>
        <item x="6"/>
        <item x="7"/>
        <item x="3"/>
        <item x="1"/>
        <item x="2"/>
        <item x="0"/>
        <item x="5"/>
        <item x="4"/>
        <item t="default"/>
      </items>
    </pivotField>
    <pivotField showAll="0"/>
    <pivotField showAll="0">
      <items count="6">
        <item x="1"/>
        <item x="4"/>
        <item x="3"/>
        <item x="2"/>
        <item x="0"/>
        <item t="default"/>
      </items>
    </pivotField>
    <pivotField showAll="0">
      <items count="32">
        <item x="22"/>
        <item x="29"/>
        <item x="20"/>
        <item x="5"/>
        <item x="15"/>
        <item x="10"/>
        <item x="8"/>
        <item x="28"/>
        <item x="23"/>
        <item x="16"/>
        <item x="2"/>
        <item x="11"/>
        <item x="24"/>
        <item x="3"/>
        <item x="18"/>
        <item x="25"/>
        <item x="19"/>
        <item x="13"/>
        <item x="26"/>
        <item x="4"/>
        <item x="14"/>
        <item x="0"/>
        <item x="17"/>
        <item x="21"/>
        <item x="1"/>
        <item x="6"/>
        <item x="12"/>
        <item x="27"/>
        <item x="7"/>
        <item x="9"/>
        <item x="30"/>
        <item t="default"/>
      </items>
    </pivotField>
    <pivotField dataField="1" showAll="0"/>
    <pivotField showAll="0">
      <items count="4">
        <item x="0"/>
        <item x="1"/>
        <item x="2"/>
        <item t="default"/>
      </items>
    </pivotField>
    <pivotField showAll="0"/>
    <pivotField showAll="0"/>
    <pivotField showAll="0">
      <items count="3">
        <item x="0"/>
        <item x="1"/>
        <item t="default"/>
      </items>
    </pivotField>
    <pivotField showAll="0">
      <items count="13">
        <item x="6"/>
        <item x="2"/>
        <item x="8"/>
        <item x="10"/>
        <item x="3"/>
        <item x="1"/>
        <item x="5"/>
        <item x="9"/>
        <item x="11"/>
        <item x="7"/>
        <item x="0"/>
        <item x="4"/>
        <item t="default"/>
      </items>
    </pivotField>
    <pivotField showAll="0" defaultSubtotal="0">
      <items count="1">
        <item x="0"/>
      </items>
    </pivotField>
    <pivotField dragToRow="0" dragToCol="0" dragToPage="0" showAll="0" defaultSubtotal="0"/>
  </pivotFields>
  <rowFields count="1">
    <field x="5"/>
  </rowFields>
  <rowItems count="8">
    <i>
      <x/>
    </i>
    <i>
      <x v="1"/>
    </i>
    <i>
      <x v="2"/>
    </i>
    <i>
      <x v="3"/>
    </i>
    <i>
      <x v="4"/>
    </i>
    <i>
      <x v="5"/>
    </i>
    <i>
      <x v="6"/>
    </i>
    <i t="grand">
      <x/>
    </i>
  </rowItems>
  <colItems count="1">
    <i/>
  </colItems>
  <dataFields count="1">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country PaymentMethod in each countr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9">
  <location ref="P150:Q156" firstHeaderRow="1" firstDataRow="1" firstDataCol="1"/>
  <pivotFields count="20">
    <pivotField showAll="0" defaultSubtotal="0"/>
    <pivotField dataField="1" showAll="0"/>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pivotField showAll="0">
      <items count="6">
        <item x="1"/>
        <item x="0"/>
        <item x="3"/>
        <item x="2"/>
        <item x="4"/>
        <item t="default"/>
      </items>
    </pivotField>
    <pivotField showAll="0">
      <items count="8">
        <item x="4"/>
        <item x="1"/>
        <item x="0"/>
        <item x="6"/>
        <item x="5"/>
        <item x="3"/>
        <item x="2"/>
        <item t="default"/>
      </items>
    </pivotField>
    <pivotField showAll="0">
      <items count="9">
        <item x="5"/>
        <item x="2"/>
        <item x="6"/>
        <item x="1"/>
        <item x="0"/>
        <item x="4"/>
        <item x="7"/>
        <item x="3"/>
        <item t="default"/>
      </items>
    </pivotField>
    <pivotField showAll="0">
      <items count="6">
        <item x="1"/>
        <item x="2"/>
        <item x="3"/>
        <item x="0"/>
        <item x="4"/>
        <item t="default"/>
      </items>
    </pivotField>
    <pivotField showAll="0">
      <items count="10">
        <item x="8"/>
        <item x="6"/>
        <item x="7"/>
        <item x="3"/>
        <item x="1"/>
        <item x="2"/>
        <item x="0"/>
        <item x="5"/>
        <item x="4"/>
        <item t="default"/>
      </items>
    </pivotField>
    <pivotField showAll="0"/>
    <pivotField showAll="0">
      <items count="6">
        <item x="1"/>
        <item x="4"/>
        <item x="3"/>
        <item x="2"/>
        <item x="0"/>
        <item t="default"/>
      </items>
    </pivotField>
    <pivotField showAll="0">
      <items count="32">
        <item x="22"/>
        <item x="29"/>
        <item x="20"/>
        <item x="5"/>
        <item x="15"/>
        <item x="10"/>
        <item x="8"/>
        <item x="28"/>
        <item x="23"/>
        <item x="16"/>
        <item x="2"/>
        <item x="11"/>
        <item x="24"/>
        <item x="3"/>
        <item x="18"/>
        <item x="25"/>
        <item x="19"/>
        <item x="13"/>
        <item x="26"/>
        <item x="4"/>
        <item x="14"/>
        <item x="0"/>
        <item x="17"/>
        <item x="21"/>
        <item x="1"/>
        <item x="6"/>
        <item x="12"/>
        <item x="27"/>
        <item x="7"/>
        <item x="9"/>
        <item x="30"/>
        <item t="default"/>
      </items>
    </pivotField>
    <pivotField showAll="0"/>
    <pivotField showAll="0">
      <items count="4">
        <item x="0"/>
        <item x="1"/>
        <item x="2"/>
        <item t="default"/>
      </items>
    </pivotField>
    <pivotField axis="axisRow" showAll="0">
      <items count="6">
        <item x="4"/>
        <item x="0"/>
        <item x="1"/>
        <item x="2"/>
        <item x="3"/>
        <item t="default"/>
      </items>
    </pivotField>
    <pivotField showAll="0"/>
    <pivotField showAll="0">
      <items count="3">
        <item x="0"/>
        <item x="1"/>
        <item t="default"/>
      </items>
    </pivotField>
    <pivotField showAll="0">
      <items count="13">
        <item x="6"/>
        <item x="2"/>
        <item x="8"/>
        <item x="10"/>
        <item x="3"/>
        <item x="1"/>
        <item x="5"/>
        <item x="9"/>
        <item x="11"/>
        <item x="7"/>
        <item x="0"/>
        <item x="4"/>
        <item t="default"/>
      </items>
    </pivotField>
    <pivotField showAll="0" defaultSubtotal="0">
      <items count="1">
        <item x="0"/>
      </items>
    </pivotField>
    <pivotField dragToRow="0" dragToCol="0" dragToPage="0" showAll="0" defaultSubtotal="0"/>
  </pivotFields>
  <rowFields count="1">
    <field x="14"/>
  </rowFields>
  <rowItems count="6">
    <i>
      <x/>
    </i>
    <i>
      <x v="1"/>
    </i>
    <i>
      <x v="2"/>
    </i>
    <i>
      <x v="3"/>
    </i>
    <i>
      <x v="4"/>
    </i>
    <i t="grand">
      <x/>
    </i>
  </rowItems>
  <colItems count="1">
    <i/>
  </colItems>
  <dataFields count="1">
    <dataField name="Count of OrderID" fld="1" subtotal="count" baseField="0" baseItem="0"/>
  </dataFields>
  <chartFormats count="2">
    <chartFormat chart="15" format="30" series="1">
      <pivotArea type="data" outline="0" fieldPosition="0">
        <references count="1">
          <reference field="4294967294" count="1" selected="0">
            <x v="0"/>
          </reference>
        </references>
      </pivotArea>
    </chartFormat>
    <chartFormat chart="13"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country monthly sales trend for countr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4">
  <location ref="Q201:Y229" firstHeaderRow="1" firstDataRow="2" firstDataCol="1"/>
  <pivotFields count="20">
    <pivotField showAll="0" defaultSubtotal="0"/>
    <pivotField showAll="0"/>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pivotField showAll="0">
      <items count="6">
        <item x="1"/>
        <item x="0"/>
        <item x="3"/>
        <item x="2"/>
        <item x="4"/>
        <item t="default"/>
      </items>
    </pivotField>
    <pivotField axis="axisCol" showAll="0">
      <items count="8">
        <item x="4"/>
        <item x="1"/>
        <item x="0"/>
        <item x="6"/>
        <item x="5"/>
        <item x="3"/>
        <item x="2"/>
        <item t="default"/>
      </items>
    </pivotField>
    <pivotField showAll="0">
      <items count="9">
        <item x="5"/>
        <item x="2"/>
        <item x="6"/>
        <item x="1"/>
        <item x="0"/>
        <item x="4"/>
        <item x="7"/>
        <item x="3"/>
        <item t="default"/>
      </items>
    </pivotField>
    <pivotField showAll="0">
      <items count="6">
        <item x="1"/>
        <item x="2"/>
        <item x="3"/>
        <item x="0"/>
        <item x="4"/>
        <item t="default"/>
      </items>
    </pivotField>
    <pivotField showAll="0" measureFilter="1" sortType="descending">
      <items count="10">
        <item x="8"/>
        <item x="6"/>
        <item x="7"/>
        <item x="3"/>
        <item x="1"/>
        <item x="2"/>
        <item x="0"/>
        <item x="5"/>
        <item x="4"/>
        <item t="default"/>
      </items>
      <autoSortScope>
        <pivotArea dataOnly="0" outline="0" fieldPosition="0">
          <references count="1">
            <reference field="4294967294" count="1" selected="0">
              <x v="0"/>
            </reference>
          </references>
        </pivotArea>
      </autoSortScope>
    </pivotField>
    <pivotField dataField="1" showAll="0"/>
    <pivotField showAll="0">
      <items count="6">
        <item x="1"/>
        <item x="4"/>
        <item x="3"/>
        <item x="2"/>
        <item x="0"/>
        <item t="default"/>
      </items>
    </pivotField>
    <pivotField showAll="0">
      <items count="32">
        <item x="22"/>
        <item x="29"/>
        <item x="20"/>
        <item x="5"/>
        <item x="15"/>
        <item x="10"/>
        <item x="8"/>
        <item x="28"/>
        <item x="23"/>
        <item x="16"/>
        <item x="2"/>
        <item x="11"/>
        <item x="24"/>
        <item x="3"/>
        <item x="18"/>
        <item x="25"/>
        <item x="19"/>
        <item x="13"/>
        <item x="26"/>
        <item x="4"/>
        <item x="14"/>
        <item x="0"/>
        <item x="17"/>
        <item x="21"/>
        <item x="1"/>
        <item x="6"/>
        <item x="12"/>
        <item x="27"/>
        <item x="7"/>
        <item x="9"/>
        <item x="30"/>
        <item t="default"/>
      </items>
    </pivotField>
    <pivotField showAll="0"/>
    <pivotField showAll="0">
      <items count="4">
        <item x="0"/>
        <item x="1"/>
        <item x="2"/>
        <item t="default"/>
      </items>
    </pivotField>
    <pivotField showAll="0"/>
    <pivotField showAll="0"/>
    <pivotField axis="axisRow" showAll="0">
      <items count="3">
        <item x="0"/>
        <item x="1"/>
        <item t="default"/>
      </items>
    </pivotField>
    <pivotField axis="axisRow" showAll="0">
      <items count="13">
        <item x="6"/>
        <item x="2"/>
        <item x="8"/>
        <item x="10"/>
        <item x="3"/>
        <item x="1"/>
        <item x="5"/>
        <item x="9"/>
        <item x="11"/>
        <item x="7"/>
        <item x="0"/>
        <item x="4"/>
        <item t="default"/>
      </items>
    </pivotField>
    <pivotField showAll="0" defaultSubtotal="0">
      <items count="1">
        <item x="0"/>
      </items>
    </pivotField>
    <pivotField dragToRow="0" dragToCol="0" dragToPage="0" showAll="0" defaultSubtotal="0"/>
  </pivotFields>
  <rowFields count="2">
    <field x="16"/>
    <field x="17"/>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Fields count="1">
    <field x="5"/>
  </colFields>
  <colItems count="8">
    <i>
      <x/>
    </i>
    <i>
      <x v="1"/>
    </i>
    <i>
      <x v="2"/>
    </i>
    <i>
      <x v="3"/>
    </i>
    <i>
      <x v="4"/>
    </i>
    <i>
      <x v="5"/>
    </i>
    <i>
      <x v="6"/>
    </i>
    <i t="grand">
      <x/>
    </i>
  </colItems>
  <dataFields count="1">
    <dataField name="Sum of Sales" fld="9" baseField="0" baseItem="0"/>
  </dataFields>
  <chartFormats count="15">
    <chartFormat chart="2" format="0" series="1">
      <pivotArea type="data" outline="0" fieldPosition="0">
        <references count="1">
          <reference field="4294967294" count="1" selected="0">
            <x v="0"/>
          </reference>
        </references>
      </pivotArea>
    </chartFormat>
    <chartFormat chart="17" format="40" series="1">
      <pivotArea type="data" outline="0" fieldPosition="0">
        <references count="2">
          <reference field="4294967294" count="1" selected="0">
            <x v="0"/>
          </reference>
          <reference field="5" count="1" selected="0">
            <x v="0"/>
          </reference>
        </references>
      </pivotArea>
    </chartFormat>
    <chartFormat chart="17" format="41" series="1">
      <pivotArea type="data" outline="0" fieldPosition="0">
        <references count="2">
          <reference field="4294967294" count="1" selected="0">
            <x v="0"/>
          </reference>
          <reference field="5" count="1" selected="0">
            <x v="1"/>
          </reference>
        </references>
      </pivotArea>
    </chartFormat>
    <chartFormat chart="17" format="42" series="1">
      <pivotArea type="data" outline="0" fieldPosition="0">
        <references count="2">
          <reference field="4294967294" count="1" selected="0">
            <x v="0"/>
          </reference>
          <reference field="5" count="1" selected="0">
            <x v="2"/>
          </reference>
        </references>
      </pivotArea>
    </chartFormat>
    <chartFormat chart="17" format="43" series="1">
      <pivotArea type="data" outline="0" fieldPosition="0">
        <references count="2">
          <reference field="4294967294" count="1" selected="0">
            <x v="0"/>
          </reference>
          <reference field="5" count="1" selected="0">
            <x v="3"/>
          </reference>
        </references>
      </pivotArea>
    </chartFormat>
    <chartFormat chart="17" format="44" series="1">
      <pivotArea type="data" outline="0" fieldPosition="0">
        <references count="2">
          <reference field="4294967294" count="1" selected="0">
            <x v="0"/>
          </reference>
          <reference field="5" count="1" selected="0">
            <x v="4"/>
          </reference>
        </references>
      </pivotArea>
    </chartFormat>
    <chartFormat chart="17" format="45" series="1">
      <pivotArea type="data" outline="0" fieldPosition="0">
        <references count="2">
          <reference field="4294967294" count="1" selected="0">
            <x v="0"/>
          </reference>
          <reference field="5" count="1" selected="0">
            <x v="5"/>
          </reference>
        </references>
      </pivotArea>
    </chartFormat>
    <chartFormat chart="17" format="46" series="1">
      <pivotArea type="data" outline="0" fieldPosition="0">
        <references count="2">
          <reference field="4294967294" count="1" selected="0">
            <x v="0"/>
          </reference>
          <reference field="5" count="1" selected="0">
            <x v="6"/>
          </reference>
        </references>
      </pivotArea>
    </chartFormat>
    <chartFormat chart="19" format="82" series="1">
      <pivotArea type="data" outline="0" fieldPosition="0">
        <references count="2">
          <reference field="4294967294" count="1" selected="0">
            <x v="0"/>
          </reference>
          <reference field="5" count="1" selected="0">
            <x v="0"/>
          </reference>
        </references>
      </pivotArea>
    </chartFormat>
    <chartFormat chart="19" format="83" series="1">
      <pivotArea type="data" outline="0" fieldPosition="0">
        <references count="2">
          <reference field="4294967294" count="1" selected="0">
            <x v="0"/>
          </reference>
          <reference field="5" count="1" selected="0">
            <x v="1"/>
          </reference>
        </references>
      </pivotArea>
    </chartFormat>
    <chartFormat chart="19" format="84" series="1">
      <pivotArea type="data" outline="0" fieldPosition="0">
        <references count="2">
          <reference field="4294967294" count="1" selected="0">
            <x v="0"/>
          </reference>
          <reference field="5" count="1" selected="0">
            <x v="2"/>
          </reference>
        </references>
      </pivotArea>
    </chartFormat>
    <chartFormat chart="19" format="85" series="1">
      <pivotArea type="data" outline="0" fieldPosition="0">
        <references count="2">
          <reference field="4294967294" count="1" selected="0">
            <x v="0"/>
          </reference>
          <reference field="5" count="1" selected="0">
            <x v="3"/>
          </reference>
        </references>
      </pivotArea>
    </chartFormat>
    <chartFormat chart="19" format="86" series="1">
      <pivotArea type="data" outline="0" fieldPosition="0">
        <references count="2">
          <reference field="4294967294" count="1" selected="0">
            <x v="0"/>
          </reference>
          <reference field="5" count="1" selected="0">
            <x v="4"/>
          </reference>
        </references>
      </pivotArea>
    </chartFormat>
    <chartFormat chart="19" format="87" series="1">
      <pivotArea type="data" outline="0" fieldPosition="0">
        <references count="2">
          <reference field="4294967294" count="1" selected="0">
            <x v="0"/>
          </reference>
          <reference field="5" count="1" selected="0">
            <x v="5"/>
          </reference>
        </references>
      </pivotArea>
    </chartFormat>
    <chartFormat chart="19" format="88" series="1">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city city wise profi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K34:AL43" firstHeaderRow="1" firstDataRow="1" firstDataCol="1"/>
  <pivotFields count="20">
    <pivotField showAll="0" defaultSubtotal="0"/>
    <pivotField showAll="0"/>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pivotField showAll="0">
      <items count="6">
        <item x="1"/>
        <item x="0"/>
        <item x="3"/>
        <item x="2"/>
        <item x="4"/>
        <item t="default"/>
      </items>
    </pivotField>
    <pivotField showAll="0">
      <items count="8">
        <item x="4"/>
        <item x="1"/>
        <item x="0"/>
        <item x="6"/>
        <item x="5"/>
        <item x="3"/>
        <item x="2"/>
        <item t="default"/>
      </items>
    </pivotField>
    <pivotField axis="axisRow" showAll="0">
      <items count="9">
        <item x="5"/>
        <item x="2"/>
        <item x="6"/>
        <item x="1"/>
        <item x="0"/>
        <item x="4"/>
        <item x="7"/>
        <item x="3"/>
        <item t="default"/>
      </items>
    </pivotField>
    <pivotField showAll="0">
      <items count="6">
        <item x="1"/>
        <item x="2"/>
        <item x="3"/>
        <item x="0"/>
        <item x="4"/>
        <item t="default"/>
      </items>
    </pivotField>
    <pivotField showAll="0">
      <items count="10">
        <item x="8"/>
        <item x="6"/>
        <item x="7"/>
        <item x="3"/>
        <item x="1"/>
        <item x="2"/>
        <item x="0"/>
        <item x="5"/>
        <item x="4"/>
        <item t="default"/>
      </items>
    </pivotField>
    <pivotField showAll="0"/>
    <pivotField showAll="0">
      <items count="6">
        <item x="1"/>
        <item x="4"/>
        <item x="3"/>
        <item x="2"/>
        <item x="0"/>
        <item t="default"/>
      </items>
    </pivotField>
    <pivotField showAll="0">
      <items count="32">
        <item x="22"/>
        <item x="29"/>
        <item x="20"/>
        <item x="5"/>
        <item x="15"/>
        <item x="10"/>
        <item x="8"/>
        <item x="28"/>
        <item x="23"/>
        <item x="16"/>
        <item x="2"/>
        <item x="11"/>
        <item x="24"/>
        <item x="3"/>
        <item x="18"/>
        <item x="25"/>
        <item x="19"/>
        <item x="13"/>
        <item x="26"/>
        <item x="4"/>
        <item x="14"/>
        <item x="0"/>
        <item x="17"/>
        <item x="21"/>
        <item x="1"/>
        <item x="6"/>
        <item x="12"/>
        <item x="27"/>
        <item x="7"/>
        <item x="9"/>
        <item x="30"/>
        <item t="default"/>
      </items>
    </pivotField>
    <pivotField dataField="1" showAll="0"/>
    <pivotField showAll="0">
      <items count="4">
        <item x="0"/>
        <item x="1"/>
        <item x="2"/>
        <item t="default"/>
      </items>
    </pivotField>
    <pivotField showAll="0"/>
    <pivotField showAll="0"/>
    <pivotField showAll="0">
      <items count="3">
        <item x="0"/>
        <item x="1"/>
        <item t="default"/>
      </items>
    </pivotField>
    <pivotField showAll="0">
      <items count="13">
        <item x="6"/>
        <item x="2"/>
        <item x="8"/>
        <item x="10"/>
        <item x="3"/>
        <item x="1"/>
        <item x="5"/>
        <item x="9"/>
        <item x="11"/>
        <item x="7"/>
        <item x="0"/>
        <item x="4"/>
        <item t="default"/>
      </items>
    </pivotField>
    <pivotField showAll="0" defaultSubtotal="0">
      <items count="1">
        <item x="0"/>
      </items>
    </pivotField>
    <pivotField dragToRow="0" dragToCol="0" dragToPage="0" showAll="0" defaultSubtotal="0"/>
  </pivotFields>
  <rowFields count="1">
    <field x="6"/>
  </rowFields>
  <rowItems count="9">
    <i>
      <x/>
    </i>
    <i>
      <x v="1"/>
    </i>
    <i>
      <x v="2"/>
    </i>
    <i>
      <x v="3"/>
    </i>
    <i>
      <x v="4"/>
    </i>
    <i>
      <x v="5"/>
    </i>
    <i>
      <x v="6"/>
    </i>
    <i>
      <x v="7"/>
    </i>
    <i t="grand">
      <x/>
    </i>
  </rowItems>
  <colItems count="1">
    <i/>
  </colItems>
  <dataFields count="1">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country discount vs profit in countr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6">
  <location ref="P3:R11" firstHeaderRow="0" firstDataRow="1" firstDataCol="1"/>
  <pivotFields count="20">
    <pivotField showAll="0" defaultSubtotal="0"/>
    <pivotField showAll="0"/>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pivotField showAll="0">
      <items count="6">
        <item x="1"/>
        <item x="0"/>
        <item x="3"/>
        <item x="2"/>
        <item x="4"/>
        <item t="default"/>
      </items>
    </pivotField>
    <pivotField axis="axisRow" showAll="0">
      <items count="8">
        <item x="4"/>
        <item x="1"/>
        <item x="0"/>
        <item x="6"/>
        <item x="5"/>
        <item x="3"/>
        <item x="2"/>
        <item t="default"/>
      </items>
    </pivotField>
    <pivotField showAll="0">
      <items count="9">
        <item x="5"/>
        <item x="2"/>
        <item x="6"/>
        <item x="1"/>
        <item x="0"/>
        <item x="4"/>
        <item x="7"/>
        <item x="3"/>
        <item t="default"/>
      </items>
    </pivotField>
    <pivotField showAll="0">
      <items count="6">
        <item x="1"/>
        <item x="2"/>
        <item x="3"/>
        <item x="0"/>
        <item x="4"/>
        <item t="default"/>
      </items>
    </pivotField>
    <pivotField showAll="0">
      <items count="10">
        <item x="8"/>
        <item x="6"/>
        <item x="7"/>
        <item x="3"/>
        <item x="1"/>
        <item x="2"/>
        <item x="0"/>
        <item x="5"/>
        <item x="4"/>
        <item t="default"/>
      </items>
    </pivotField>
    <pivotField showAll="0"/>
    <pivotField showAll="0">
      <items count="6">
        <item x="1"/>
        <item x="4"/>
        <item x="3"/>
        <item x="2"/>
        <item x="0"/>
        <item t="default"/>
      </items>
    </pivotField>
    <pivotField dataField="1" showAll="0">
      <items count="32">
        <item x="22"/>
        <item x="29"/>
        <item x="20"/>
        <item x="5"/>
        <item x="15"/>
        <item x="10"/>
        <item x="8"/>
        <item x="28"/>
        <item x="23"/>
        <item x="16"/>
        <item x="2"/>
        <item x="11"/>
        <item x="24"/>
        <item x="3"/>
        <item x="18"/>
        <item x="25"/>
        <item x="19"/>
        <item x="13"/>
        <item x="26"/>
        <item x="4"/>
        <item x="14"/>
        <item x="0"/>
        <item x="17"/>
        <item x="21"/>
        <item x="1"/>
        <item x="6"/>
        <item x="12"/>
        <item x="27"/>
        <item x="7"/>
        <item x="9"/>
        <item x="30"/>
        <item t="default"/>
      </items>
    </pivotField>
    <pivotField dataField="1" showAll="0"/>
    <pivotField showAll="0">
      <items count="4">
        <item x="0"/>
        <item x="1"/>
        <item x="2"/>
        <item t="default"/>
      </items>
    </pivotField>
    <pivotField showAll="0"/>
    <pivotField showAll="0"/>
    <pivotField showAll="0">
      <items count="3">
        <item x="0"/>
        <item x="1"/>
        <item t="default"/>
      </items>
    </pivotField>
    <pivotField showAll="0">
      <items count="13">
        <item x="6"/>
        <item x="2"/>
        <item x="8"/>
        <item x="10"/>
        <item x="3"/>
        <item x="1"/>
        <item x="5"/>
        <item x="9"/>
        <item x="11"/>
        <item x="7"/>
        <item x="0"/>
        <item x="4"/>
        <item t="default"/>
      </items>
    </pivotField>
    <pivotField showAll="0" defaultSubtotal="0">
      <items count="1">
        <item x="0"/>
      </items>
    </pivotField>
    <pivotField dragToRow="0" dragToCol="0" dragToPage="0" showAll="0" defaultSubtotal="0"/>
  </pivotFields>
  <rowFields count="1">
    <field x="5"/>
  </rowFields>
  <rowItems count="8">
    <i>
      <x/>
    </i>
    <i>
      <x v="1"/>
    </i>
    <i>
      <x v="2"/>
    </i>
    <i>
      <x v="3"/>
    </i>
    <i>
      <x v="4"/>
    </i>
    <i>
      <x v="5"/>
    </i>
    <i>
      <x v="6"/>
    </i>
    <i t="grand">
      <x/>
    </i>
  </rowItems>
  <colFields count="1">
    <field x="-2"/>
  </colFields>
  <colItems count="2">
    <i>
      <x/>
    </i>
    <i i="1">
      <x v="1"/>
    </i>
  </colItems>
  <dataFields count="2">
    <dataField name="Average of Discount" fld="11" subtotal="average" baseField="5" baseItem="0" numFmtId="2"/>
    <dataField name="Sum of Profit" fld="12" baseField="0" baseItem="0" numFmtId="168"/>
  </dataFields>
  <formats count="6">
    <format dxfId="5">
      <pivotArea outline="0" collapsedLevelsAreSubtotals="1" fieldPosition="0">
        <references count="1">
          <reference field="4294967294" count="1" selected="0">
            <x v="0"/>
          </reference>
        </references>
      </pivotArea>
    </format>
    <format dxfId="4">
      <pivotArea outline="0" collapsedLevelsAreSubtotals="1" fieldPosition="0">
        <references count="1">
          <reference field="4294967294" count="1" selected="0">
            <x v="0"/>
          </reference>
        </references>
      </pivotArea>
    </format>
    <format dxfId="3">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1" selected="0">
            <x v="1"/>
          </reference>
        </references>
      </pivotArea>
    </format>
    <format dxfId="1">
      <pivotArea outline="0" collapsedLevelsAreSubtotals="1" fieldPosition="0">
        <references count="1">
          <reference field="4294967294" count="1" selected="0">
            <x v="1"/>
          </reference>
        </references>
      </pivotArea>
    </format>
    <format dxfId="0">
      <pivotArea outline="0" collapsedLevelsAreSubtotals="1" fieldPosition="0">
        <references count="1">
          <reference field="4294967294" count="1" selected="0">
            <x v="1"/>
          </reference>
        </references>
      </pivotArea>
    </format>
  </formats>
  <chartFormats count="4">
    <chartFormat chart="20" format="9" series="1">
      <pivotArea type="data" outline="0" fieldPosition="0">
        <references count="1">
          <reference field="4294967294" count="1" selected="0">
            <x v="0"/>
          </reference>
        </references>
      </pivotArea>
    </chartFormat>
    <chartFormat chart="20" format="10" series="1">
      <pivotArea type="data" outline="0" fieldPosition="0">
        <references count="1">
          <reference field="4294967294" count="1" selected="0">
            <x v="1"/>
          </reference>
        </references>
      </pivotArea>
    </chartFormat>
    <chartFormat chart="15" format="9" series="1">
      <pivotArea type="data" outline="0" fieldPosition="0">
        <references count="1">
          <reference field="4294967294" count="1" selected="0">
            <x v="0"/>
          </reference>
        </references>
      </pivotArea>
    </chartFormat>
    <chartFormat chart="15"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city channel wise categor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6">
  <location ref="AP220:AT230" firstHeaderRow="1" firstDataRow="2" firstDataCol="1"/>
  <pivotFields count="20">
    <pivotField showAll="0" defaultSubtotal="0"/>
    <pivotField showAll="0"/>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pivotField showAll="0">
      <items count="6">
        <item x="1"/>
        <item x="0"/>
        <item x="3"/>
        <item x="2"/>
        <item x="4"/>
        <item t="default"/>
      </items>
    </pivotField>
    <pivotField showAll="0">
      <items count="8">
        <item x="4"/>
        <item x="1"/>
        <item x="0"/>
        <item x="6"/>
        <item x="5"/>
        <item x="3"/>
        <item x="2"/>
        <item t="default"/>
      </items>
    </pivotField>
    <pivotField axis="axisRow" showAll="0">
      <items count="9">
        <item x="5"/>
        <item x="2"/>
        <item x="6"/>
        <item x="1"/>
        <item x="0"/>
        <item x="4"/>
        <item x="7"/>
        <item x="3"/>
        <item t="default"/>
      </items>
    </pivotField>
    <pivotField showAll="0">
      <items count="6">
        <item x="1"/>
        <item x="2"/>
        <item x="3"/>
        <item x="0"/>
        <item x="4"/>
        <item t="default"/>
      </items>
    </pivotField>
    <pivotField showAll="0">
      <items count="10">
        <item x="8"/>
        <item x="6"/>
        <item x="7"/>
        <item x="3"/>
        <item x="1"/>
        <item x="2"/>
        <item x="0"/>
        <item x="5"/>
        <item x="4"/>
        <item t="default"/>
      </items>
    </pivotField>
    <pivotField dataField="1" showAll="0"/>
    <pivotField showAll="0">
      <items count="6">
        <item x="1"/>
        <item x="4"/>
        <item x="3"/>
        <item x="2"/>
        <item x="0"/>
        <item t="default"/>
      </items>
    </pivotField>
    <pivotField showAll="0">
      <items count="32">
        <item x="22"/>
        <item x="29"/>
        <item x="20"/>
        <item x="5"/>
        <item x="15"/>
        <item x="10"/>
        <item x="8"/>
        <item x="28"/>
        <item x="23"/>
        <item x="16"/>
        <item x="2"/>
        <item x="11"/>
        <item x="24"/>
        <item x="3"/>
        <item x="18"/>
        <item x="25"/>
        <item x="19"/>
        <item x="13"/>
        <item x="26"/>
        <item x="4"/>
        <item x="14"/>
        <item x="0"/>
        <item x="17"/>
        <item x="21"/>
        <item x="1"/>
        <item x="6"/>
        <item x="12"/>
        <item x="27"/>
        <item x="7"/>
        <item x="9"/>
        <item x="30"/>
        <item t="default"/>
      </items>
    </pivotField>
    <pivotField showAll="0"/>
    <pivotField axis="axisCol" showAll="0">
      <items count="4">
        <item x="0"/>
        <item x="1"/>
        <item x="2"/>
        <item t="default"/>
      </items>
    </pivotField>
    <pivotField showAll="0"/>
    <pivotField showAll="0"/>
    <pivotField showAll="0">
      <items count="3">
        <item x="0"/>
        <item x="1"/>
        <item t="default"/>
      </items>
    </pivotField>
    <pivotField showAll="0">
      <items count="13">
        <item x="6"/>
        <item x="2"/>
        <item x="8"/>
        <item x="10"/>
        <item x="3"/>
        <item x="1"/>
        <item x="5"/>
        <item x="9"/>
        <item x="11"/>
        <item x="7"/>
        <item x="0"/>
        <item x="4"/>
        <item t="default"/>
      </items>
    </pivotField>
    <pivotField showAll="0" defaultSubtotal="0">
      <items count="1">
        <item x="0"/>
      </items>
    </pivotField>
    <pivotField dragToRow="0" dragToCol="0" dragToPage="0" showAll="0" defaultSubtotal="0"/>
  </pivotFields>
  <rowFields count="1">
    <field x="6"/>
  </rowFields>
  <rowItems count="9">
    <i>
      <x/>
    </i>
    <i>
      <x v="1"/>
    </i>
    <i>
      <x v="2"/>
    </i>
    <i>
      <x v="3"/>
    </i>
    <i>
      <x v="4"/>
    </i>
    <i>
      <x v="5"/>
    </i>
    <i>
      <x v="6"/>
    </i>
    <i>
      <x v="7"/>
    </i>
    <i t="grand">
      <x/>
    </i>
  </rowItems>
  <colFields count="1">
    <field x="13"/>
  </colFields>
  <colItems count="4">
    <i>
      <x/>
    </i>
    <i>
      <x v="1"/>
    </i>
    <i>
      <x v="2"/>
    </i>
    <i t="grand">
      <x/>
    </i>
  </colItems>
  <dataFields count="1">
    <dataField name="Sum of Sales" fld="9" baseField="0" baseItem="0"/>
  </dataFields>
  <chartFormats count="6">
    <chartFormat chart="23" format="6" series="1">
      <pivotArea type="data" outline="0" fieldPosition="0">
        <references count="2">
          <reference field="4294967294" count="1" selected="0">
            <x v="0"/>
          </reference>
          <reference field="13" count="1" selected="0">
            <x v="0"/>
          </reference>
        </references>
      </pivotArea>
    </chartFormat>
    <chartFormat chart="23" format="7" series="1">
      <pivotArea type="data" outline="0" fieldPosition="0">
        <references count="2">
          <reference field="4294967294" count="1" selected="0">
            <x v="0"/>
          </reference>
          <reference field="13" count="1" selected="0">
            <x v="1"/>
          </reference>
        </references>
      </pivotArea>
    </chartFormat>
    <chartFormat chart="23" format="8" series="1">
      <pivotArea type="data" outline="0" fieldPosition="0">
        <references count="2">
          <reference field="4294967294" count="1" selected="0">
            <x v="0"/>
          </reference>
          <reference field="13" count="1" selected="0">
            <x v="2"/>
          </reference>
        </references>
      </pivotArea>
    </chartFormat>
    <chartFormat chart="21" format="3" series="1">
      <pivotArea type="data" outline="0" fieldPosition="0">
        <references count="2">
          <reference field="4294967294" count="1" selected="0">
            <x v="0"/>
          </reference>
          <reference field="13" count="1" selected="0">
            <x v="0"/>
          </reference>
        </references>
      </pivotArea>
    </chartFormat>
    <chartFormat chart="21" format="4" series="1">
      <pivotArea type="data" outline="0" fieldPosition="0">
        <references count="2">
          <reference field="4294967294" count="1" selected="0">
            <x v="0"/>
          </reference>
          <reference field="13" count="1" selected="0">
            <x v="1"/>
          </reference>
        </references>
      </pivotArea>
    </chartFormat>
    <chartFormat chart="21" format="5"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V Sales vs profi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A1:C14" firstHeaderRow="0" firstDataRow="1" firstDataCol="1"/>
  <pivotFields count="20">
    <pivotField showAll="0" defaultSubtotal="0"/>
    <pivotField showAll="0"/>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pivotField showAll="0">
      <items count="6">
        <item x="1"/>
        <item x="0"/>
        <item x="3"/>
        <item x="2"/>
        <item x="4"/>
        <item t="default"/>
      </items>
    </pivotField>
    <pivotField showAll="0">
      <items count="8">
        <item x="4"/>
        <item x="1"/>
        <item x="0"/>
        <item x="6"/>
        <item x="5"/>
        <item x="3"/>
        <item x="2"/>
        <item t="default"/>
      </items>
    </pivotField>
    <pivotField showAll="0">
      <items count="9">
        <item x="5"/>
        <item x="2"/>
        <item x="6"/>
        <item x="1"/>
        <item x="0"/>
        <item x="4"/>
        <item x="7"/>
        <item x="3"/>
        <item t="default"/>
      </items>
    </pivotField>
    <pivotField showAll="0">
      <items count="6">
        <item x="1"/>
        <item x="2"/>
        <item x="3"/>
        <item x="0"/>
        <item x="4"/>
        <item t="default"/>
      </items>
    </pivotField>
    <pivotField showAll="0">
      <items count="10">
        <item x="8"/>
        <item x="6"/>
        <item x="7"/>
        <item x="3"/>
        <item x="1"/>
        <item x="2"/>
        <item x="0"/>
        <item x="5"/>
        <item x="4"/>
        <item t="default"/>
      </items>
    </pivotField>
    <pivotField dataField="1" showAll="0"/>
    <pivotField showAll="0">
      <items count="6">
        <item x="1"/>
        <item x="4"/>
        <item x="3"/>
        <item x="2"/>
        <item x="0"/>
        <item t="default"/>
      </items>
    </pivotField>
    <pivotField showAll="0">
      <items count="32">
        <item x="22"/>
        <item x="29"/>
        <item x="20"/>
        <item x="5"/>
        <item x="15"/>
        <item x="10"/>
        <item x="8"/>
        <item x="28"/>
        <item x="23"/>
        <item x="16"/>
        <item x="2"/>
        <item x="11"/>
        <item x="24"/>
        <item x="3"/>
        <item x="18"/>
        <item x="25"/>
        <item x="19"/>
        <item x="13"/>
        <item x="26"/>
        <item x="4"/>
        <item x="14"/>
        <item x="0"/>
        <item x="17"/>
        <item x="21"/>
        <item x="1"/>
        <item x="6"/>
        <item x="12"/>
        <item x="27"/>
        <item x="7"/>
        <item x="9"/>
        <item x="30"/>
        <item t="default"/>
      </items>
    </pivotField>
    <pivotField dataField="1" showAll="0"/>
    <pivotField showAll="0">
      <items count="4">
        <item x="0"/>
        <item x="1"/>
        <item x="2"/>
        <item t="default"/>
      </items>
    </pivotField>
    <pivotField showAll="0"/>
    <pivotField showAll="0"/>
    <pivotField showAll="0">
      <items count="3">
        <item x="0"/>
        <item x="1"/>
        <item t="default"/>
      </items>
    </pivotField>
    <pivotField axis="axisRow" showAll="0">
      <items count="13">
        <item x="6"/>
        <item x="2"/>
        <item x="8"/>
        <item x="10"/>
        <item x="3"/>
        <item x="1"/>
        <item x="5"/>
        <item x="9"/>
        <item x="11"/>
        <item x="7"/>
        <item x="0"/>
        <item x="4"/>
        <item t="default"/>
      </items>
    </pivotField>
    <pivotField showAll="0" defaultSubtotal="0">
      <items count="1">
        <item x="0"/>
      </items>
    </pivotField>
    <pivotField dragToRow="0" dragToCol="0" dragToPage="0" showAll="0" defaultSubtotal="0"/>
  </pivotFields>
  <rowFields count="1">
    <field x="17"/>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9" baseField="0" baseItem="0"/>
    <dataField name="Sum of Profit" fld="12" baseField="0" baseItem="0"/>
  </dataFields>
  <formats count="1">
    <format dxfId="6">
      <pivotArea collapsedLevelsAreSubtotals="1" fieldPosition="0">
        <references count="1">
          <reference field="17" count="0"/>
        </references>
      </pivotArea>
    </format>
  </format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1" format="6" series="1">
      <pivotArea type="data" outline="0" fieldPosition="0">
        <references count="1">
          <reference field="4294967294" count="1" selected="0">
            <x v="0"/>
          </reference>
        </references>
      </pivotArea>
    </chartFormat>
    <chartFormat chart="1"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monthly sales trend for region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A200:G228" firstHeaderRow="1" firstDataRow="2" firstDataCol="1"/>
  <pivotFields count="20">
    <pivotField showAll="0" defaultSubtotal="0"/>
    <pivotField showAll="0"/>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pivotField axis="axisCol" showAll="0">
      <items count="6">
        <item x="1"/>
        <item x="0"/>
        <item x="3"/>
        <item x="2"/>
        <item x="4"/>
        <item t="default"/>
      </items>
    </pivotField>
    <pivotField showAll="0">
      <items count="8">
        <item x="4"/>
        <item x="1"/>
        <item x="0"/>
        <item x="6"/>
        <item x="5"/>
        <item x="3"/>
        <item x="2"/>
        <item t="default"/>
      </items>
    </pivotField>
    <pivotField showAll="0">
      <items count="9">
        <item x="5"/>
        <item x="2"/>
        <item x="6"/>
        <item x="1"/>
        <item x="0"/>
        <item x="4"/>
        <item x="7"/>
        <item x="3"/>
        <item t="default"/>
      </items>
    </pivotField>
    <pivotField showAll="0">
      <items count="6">
        <item x="1"/>
        <item x="2"/>
        <item x="3"/>
        <item x="0"/>
        <item x="4"/>
        <item t="default"/>
      </items>
    </pivotField>
    <pivotField showAll="0" measureFilter="1" sortType="descending">
      <items count="10">
        <item x="8"/>
        <item x="6"/>
        <item x="7"/>
        <item x="3"/>
        <item x="1"/>
        <item x="2"/>
        <item x="0"/>
        <item x="5"/>
        <item x="4"/>
        <item t="default"/>
      </items>
      <autoSortScope>
        <pivotArea dataOnly="0" outline="0" fieldPosition="0">
          <references count="1">
            <reference field="4294967294" count="1" selected="0">
              <x v="0"/>
            </reference>
          </references>
        </pivotArea>
      </autoSortScope>
    </pivotField>
    <pivotField dataField="1" showAll="0"/>
    <pivotField showAll="0">
      <items count="6">
        <item x="1"/>
        <item x="4"/>
        <item x="3"/>
        <item x="2"/>
        <item x="0"/>
        <item t="default"/>
      </items>
    </pivotField>
    <pivotField showAll="0">
      <items count="32">
        <item x="22"/>
        <item x="29"/>
        <item x="20"/>
        <item x="5"/>
        <item x="15"/>
        <item x="10"/>
        <item x="8"/>
        <item x="28"/>
        <item x="23"/>
        <item x="16"/>
        <item x="2"/>
        <item x="11"/>
        <item x="24"/>
        <item x="3"/>
        <item x="18"/>
        <item x="25"/>
        <item x="19"/>
        <item x="13"/>
        <item x="26"/>
        <item x="4"/>
        <item x="14"/>
        <item x="0"/>
        <item x="17"/>
        <item x="21"/>
        <item x="1"/>
        <item x="6"/>
        <item x="12"/>
        <item x="27"/>
        <item x="7"/>
        <item x="9"/>
        <item x="30"/>
        <item t="default"/>
      </items>
    </pivotField>
    <pivotField showAll="0"/>
    <pivotField showAll="0">
      <items count="4">
        <item x="0"/>
        <item x="1"/>
        <item x="2"/>
        <item t="default"/>
      </items>
    </pivotField>
    <pivotField showAll="0"/>
    <pivotField showAll="0"/>
    <pivotField axis="axisRow" showAll="0">
      <items count="3">
        <item x="0"/>
        <item x="1"/>
        <item t="default"/>
      </items>
    </pivotField>
    <pivotField axis="axisRow" showAll="0">
      <items count="13">
        <item x="6"/>
        <item x="2"/>
        <item x="8"/>
        <item x="10"/>
        <item x="3"/>
        <item x="1"/>
        <item x="5"/>
        <item x="9"/>
        <item x="11"/>
        <item x="7"/>
        <item x="0"/>
        <item x="4"/>
        <item t="default"/>
      </items>
    </pivotField>
    <pivotField showAll="0" defaultSubtotal="0">
      <items count="1">
        <item x="0"/>
      </items>
    </pivotField>
    <pivotField dragToRow="0" dragToCol="0" dragToPage="0" showAll="0" defaultSubtotal="0"/>
  </pivotFields>
  <rowFields count="2">
    <field x="16"/>
    <field x="17"/>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Fields count="1">
    <field x="4"/>
  </colFields>
  <colItems count="6">
    <i>
      <x/>
    </i>
    <i>
      <x v="1"/>
    </i>
    <i>
      <x v="2"/>
    </i>
    <i>
      <x v="3"/>
    </i>
    <i>
      <x v="4"/>
    </i>
    <i t="grand">
      <x/>
    </i>
  </colItems>
  <dataFields count="1">
    <dataField name="Sum of Sales" fld="9" baseField="0" baseItem="0"/>
  </dataFields>
  <chartFormats count="11">
    <chartFormat chart="2" format="0" series="1">
      <pivotArea type="data" outline="0" fieldPosition="0">
        <references count="1">
          <reference field="4294967294" count="1" selected="0">
            <x v="0"/>
          </reference>
        </references>
      </pivotArea>
    </chartFormat>
    <chartFormat chart="6" format="15" series="1">
      <pivotArea type="data" outline="0" fieldPosition="0">
        <references count="2">
          <reference field="4294967294" count="1" selected="0">
            <x v="0"/>
          </reference>
          <reference field="4" count="1" selected="0">
            <x v="2"/>
          </reference>
        </references>
      </pivotArea>
    </chartFormat>
    <chartFormat chart="6" format="16" series="1">
      <pivotArea type="data" outline="0" fieldPosition="0">
        <references count="2">
          <reference field="4294967294" count="1" selected="0">
            <x v="0"/>
          </reference>
          <reference field="4" count="1" selected="0">
            <x v="3"/>
          </reference>
        </references>
      </pivotArea>
    </chartFormat>
    <chartFormat chart="6" format="17" series="1">
      <pivotArea type="data" outline="0" fieldPosition="0">
        <references count="2">
          <reference field="4294967294" count="1" selected="0">
            <x v="0"/>
          </reference>
          <reference field="4" count="1" selected="0">
            <x v="4"/>
          </reference>
        </references>
      </pivotArea>
    </chartFormat>
    <chartFormat chart="6" format="18" series="1">
      <pivotArea type="data" outline="0" fieldPosition="0">
        <references count="2">
          <reference field="4294967294" count="1" selected="0">
            <x v="0"/>
          </reference>
          <reference field="4" count="1" selected="0">
            <x v="0"/>
          </reference>
        </references>
      </pivotArea>
    </chartFormat>
    <chartFormat chart="6" format="19" series="1">
      <pivotArea type="data" outline="0" fieldPosition="0">
        <references count="2">
          <reference field="4294967294" count="1" selected="0">
            <x v="0"/>
          </reference>
          <reference field="4" count="1" selected="0">
            <x v="1"/>
          </reference>
        </references>
      </pivotArea>
    </chartFormat>
    <chartFormat chart="12" format="30" series="1">
      <pivotArea type="data" outline="0" fieldPosition="0">
        <references count="2">
          <reference field="4294967294" count="1" selected="0">
            <x v="0"/>
          </reference>
          <reference field="4" count="1" selected="0">
            <x v="0"/>
          </reference>
        </references>
      </pivotArea>
    </chartFormat>
    <chartFormat chart="12" format="31" series="1">
      <pivotArea type="data" outline="0" fieldPosition="0">
        <references count="2">
          <reference field="4294967294" count="1" selected="0">
            <x v="0"/>
          </reference>
          <reference field="4" count="1" selected="0">
            <x v="1"/>
          </reference>
        </references>
      </pivotArea>
    </chartFormat>
    <chartFormat chart="12" format="32" series="1">
      <pivotArea type="data" outline="0" fieldPosition="0">
        <references count="2">
          <reference field="4294967294" count="1" selected="0">
            <x v="0"/>
          </reference>
          <reference field="4" count="1" selected="0">
            <x v="2"/>
          </reference>
        </references>
      </pivotArea>
    </chartFormat>
    <chartFormat chart="12" format="33" series="1">
      <pivotArea type="data" outline="0" fieldPosition="0">
        <references count="2">
          <reference field="4294967294" count="1" selected="0">
            <x v="0"/>
          </reference>
          <reference field="4" count="1" selected="0">
            <x v="3"/>
          </reference>
        </references>
      </pivotArea>
    </chartFormat>
    <chartFormat chart="12" format="34" series="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city category wise quantit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0">
  <location ref="AP202:AQ208" firstHeaderRow="1" firstDataRow="1" firstDataCol="1"/>
  <pivotFields count="20">
    <pivotField showAll="0" defaultSubtotal="0"/>
    <pivotField showAll="0"/>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pivotField showAll="0">
      <items count="6">
        <item x="1"/>
        <item x="0"/>
        <item x="3"/>
        <item x="2"/>
        <item x="4"/>
        <item t="default"/>
      </items>
    </pivotField>
    <pivotField showAll="0">
      <items count="8">
        <item x="4"/>
        <item x="1"/>
        <item x="0"/>
        <item x="6"/>
        <item x="5"/>
        <item x="3"/>
        <item x="2"/>
        <item t="default"/>
      </items>
    </pivotField>
    <pivotField showAll="0">
      <items count="9">
        <item x="5"/>
        <item x="2"/>
        <item x="6"/>
        <item x="1"/>
        <item x="0"/>
        <item x="4"/>
        <item x="7"/>
        <item x="3"/>
        <item t="default"/>
      </items>
    </pivotField>
    <pivotField axis="axisRow" showAll="0">
      <items count="6">
        <item x="1"/>
        <item x="2"/>
        <item x="3"/>
        <item x="0"/>
        <item x="4"/>
        <item t="default"/>
      </items>
    </pivotField>
    <pivotField showAll="0">
      <items count="10">
        <item x="8"/>
        <item x="6"/>
        <item x="7"/>
        <item x="3"/>
        <item x="1"/>
        <item x="2"/>
        <item x="0"/>
        <item x="5"/>
        <item x="4"/>
        <item t="default"/>
      </items>
    </pivotField>
    <pivotField showAll="0"/>
    <pivotField dataField="1" showAll="0">
      <items count="6">
        <item x="1"/>
        <item x="4"/>
        <item x="3"/>
        <item x="2"/>
        <item x="0"/>
        <item t="default"/>
      </items>
    </pivotField>
    <pivotField showAll="0">
      <items count="32">
        <item x="22"/>
        <item x="29"/>
        <item x="20"/>
        <item x="5"/>
        <item x="15"/>
        <item x="10"/>
        <item x="8"/>
        <item x="28"/>
        <item x="23"/>
        <item x="16"/>
        <item x="2"/>
        <item x="11"/>
        <item x="24"/>
        <item x="3"/>
        <item x="18"/>
        <item x="25"/>
        <item x="19"/>
        <item x="13"/>
        <item x="26"/>
        <item x="4"/>
        <item x="14"/>
        <item x="0"/>
        <item x="17"/>
        <item x="21"/>
        <item x="1"/>
        <item x="6"/>
        <item x="12"/>
        <item x="27"/>
        <item x="7"/>
        <item x="9"/>
        <item x="30"/>
        <item t="default"/>
      </items>
    </pivotField>
    <pivotField showAll="0"/>
    <pivotField showAll="0">
      <items count="4">
        <item x="0"/>
        <item x="1"/>
        <item x="2"/>
        <item t="default"/>
      </items>
    </pivotField>
    <pivotField showAll="0"/>
    <pivotField showAll="0"/>
    <pivotField showAll="0">
      <items count="3">
        <item x="0"/>
        <item x="1"/>
        <item t="default"/>
      </items>
    </pivotField>
    <pivotField showAll="0">
      <items count="13">
        <item x="6"/>
        <item x="2"/>
        <item x="8"/>
        <item x="10"/>
        <item x="3"/>
        <item x="1"/>
        <item x="5"/>
        <item x="9"/>
        <item x="11"/>
        <item x="7"/>
        <item x="0"/>
        <item x="4"/>
        <item t="default"/>
      </items>
    </pivotField>
    <pivotField showAll="0" defaultSubtotal="0">
      <items count="1">
        <item x="0"/>
      </items>
    </pivotField>
    <pivotField dragToRow="0" dragToCol="0" dragToPage="0" showAll="0" defaultSubtotal="0"/>
  </pivotFields>
  <rowFields count="1">
    <field x="7"/>
  </rowFields>
  <rowItems count="6">
    <i>
      <x/>
    </i>
    <i>
      <x v="1"/>
    </i>
    <i>
      <x v="2"/>
    </i>
    <i>
      <x v="3"/>
    </i>
    <i>
      <x v="4"/>
    </i>
    <i t="grand">
      <x/>
    </i>
  </rowItems>
  <colItems count="1">
    <i/>
  </colItems>
  <dataFields count="1">
    <dataField name="Sum of Quantity" fld="10" baseField="0" baseItem="0"/>
  </dataFields>
  <chartFormats count="4">
    <chartFormat chart="26" format="4" series="1">
      <pivotArea type="data" outline="0" fieldPosition="0">
        <references count="1">
          <reference field="4294967294" count="1" selected="0">
            <x v="0"/>
          </reference>
        </references>
      </pivotArea>
    </chartFormat>
    <chartFormat chart="26" format="5">
      <pivotArea type="data" outline="0" fieldPosition="0">
        <references count="2">
          <reference field="4294967294" count="1" selected="0">
            <x v="0"/>
          </reference>
          <reference field="7" count="1" selected="0">
            <x v="3"/>
          </reference>
        </references>
      </pivotArea>
    </chartFormat>
    <chartFormat chart="26" format="6">
      <pivotArea type="data" outline="0" fieldPosition="0">
        <references count="2">
          <reference field="4294967294" count="1" selected="0">
            <x v="0"/>
          </reference>
          <reference field="7" count="1" selected="0">
            <x v="4"/>
          </reference>
        </references>
      </pivotArea>
    </chartFormat>
    <chartFormat chart="2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country profit margin percentage countr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location ref="M68:P76" firstHeaderRow="0" firstDataRow="1" firstDataCol="1"/>
  <pivotFields count="20">
    <pivotField showAll="0" defaultSubtotal="0"/>
    <pivotField showAll="0"/>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pivotField showAll="0">
      <items count="6">
        <item x="1"/>
        <item x="0"/>
        <item x="3"/>
        <item x="2"/>
        <item x="4"/>
        <item t="default"/>
      </items>
    </pivotField>
    <pivotField axis="axisRow" showAll="0">
      <items count="8">
        <item x="4"/>
        <item x="1"/>
        <item x="0"/>
        <item x="6"/>
        <item x="5"/>
        <item x="3"/>
        <item x="2"/>
        <item t="default"/>
      </items>
    </pivotField>
    <pivotField showAll="0">
      <items count="9">
        <item x="5"/>
        <item x="2"/>
        <item x="6"/>
        <item x="1"/>
        <item x="0"/>
        <item x="4"/>
        <item x="7"/>
        <item x="3"/>
        <item t="default"/>
      </items>
    </pivotField>
    <pivotField showAll="0">
      <items count="6">
        <item x="1"/>
        <item x="2"/>
        <item x="3"/>
        <item x="0"/>
        <item x="4"/>
        <item t="default"/>
      </items>
    </pivotField>
    <pivotField showAll="0">
      <items count="10">
        <item x="8"/>
        <item x="6"/>
        <item x="7"/>
        <item x="3"/>
        <item x="1"/>
        <item x="2"/>
        <item x="0"/>
        <item x="5"/>
        <item x="4"/>
        <item t="default"/>
      </items>
    </pivotField>
    <pivotField dataField="1" showAll="0"/>
    <pivotField showAll="0">
      <items count="6">
        <item x="1"/>
        <item x="4"/>
        <item x="3"/>
        <item x="2"/>
        <item x="0"/>
        <item t="default"/>
      </items>
    </pivotField>
    <pivotField showAll="0">
      <items count="32">
        <item x="22"/>
        <item x="29"/>
        <item x="20"/>
        <item x="5"/>
        <item x="15"/>
        <item x="10"/>
        <item x="8"/>
        <item x="28"/>
        <item x="23"/>
        <item x="16"/>
        <item x="2"/>
        <item x="11"/>
        <item x="24"/>
        <item x="3"/>
        <item x="18"/>
        <item x="25"/>
        <item x="19"/>
        <item x="13"/>
        <item x="26"/>
        <item x="4"/>
        <item x="14"/>
        <item x="0"/>
        <item x="17"/>
        <item x="21"/>
        <item x="1"/>
        <item x="6"/>
        <item x="12"/>
        <item x="27"/>
        <item x="7"/>
        <item x="9"/>
        <item x="30"/>
        <item t="default"/>
      </items>
    </pivotField>
    <pivotField dataField="1" showAll="0"/>
    <pivotField showAll="0">
      <items count="4">
        <item x="0"/>
        <item x="1"/>
        <item x="2"/>
        <item t="default"/>
      </items>
    </pivotField>
    <pivotField showAll="0"/>
    <pivotField showAll="0"/>
    <pivotField showAll="0">
      <items count="3">
        <item x="0"/>
        <item x="1"/>
        <item t="default"/>
      </items>
    </pivotField>
    <pivotField showAll="0">
      <items count="13">
        <item x="6"/>
        <item x="2"/>
        <item x="8"/>
        <item x="10"/>
        <item x="3"/>
        <item x="1"/>
        <item x="5"/>
        <item x="9"/>
        <item x="11"/>
        <item x="7"/>
        <item x="0"/>
        <item x="4"/>
        <item t="default"/>
      </items>
    </pivotField>
    <pivotField showAll="0" defaultSubtotal="0">
      <items count="1">
        <item x="0"/>
      </items>
    </pivotField>
    <pivotField dataField="1" dragToRow="0" dragToCol="0" dragToPage="0" showAll="0" defaultSubtotal="0"/>
  </pivotFields>
  <rowFields count="1">
    <field x="5"/>
  </rowFields>
  <rowItems count="8">
    <i>
      <x/>
    </i>
    <i>
      <x v="1"/>
    </i>
    <i>
      <x v="2"/>
    </i>
    <i>
      <x v="3"/>
    </i>
    <i>
      <x v="4"/>
    </i>
    <i>
      <x v="5"/>
    </i>
    <i>
      <x v="6"/>
    </i>
    <i t="grand">
      <x/>
    </i>
  </rowItems>
  <colFields count="1">
    <field x="-2"/>
  </colFields>
  <colItems count="3">
    <i>
      <x/>
    </i>
    <i i="1">
      <x v="1"/>
    </i>
    <i i="2">
      <x v="2"/>
    </i>
  </colItems>
  <dataFields count="3">
    <dataField name="Sum of Profit" fld="12" baseField="0" baseItem="0"/>
    <dataField name="Sum of Sales" fld="9" baseField="0" baseItem="0"/>
    <dataField name="Percentage of Profit Margin" fld="19" baseField="5" baseItem="1" numFmtId="10"/>
  </dataFields>
  <chartFormats count="9">
    <chartFormat chart="14"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1"/>
          </reference>
        </references>
      </pivotArea>
    </chartFormat>
    <chartFormat chart="15" format="5"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1"/>
          </reference>
        </references>
      </pivotArea>
    </chartFormat>
    <chartFormat chart="15" format="7" series="1">
      <pivotArea type="data" outline="0" fieldPosition="0">
        <references count="1">
          <reference field="4294967294" count="1" selected="0">
            <x v="2"/>
          </reference>
        </references>
      </pivotArea>
    </chartFormat>
    <chartFormat chart="14" format="5" series="1">
      <pivotArea type="data" outline="0" fieldPosition="0">
        <references count="1">
          <reference field="4294967294" count="1" selected="0">
            <x v="2"/>
          </reference>
        </references>
      </pivotArea>
    </chartFormat>
    <chartFormat chart="20" format="9" series="1">
      <pivotArea type="data" outline="0" fieldPosition="0">
        <references count="1">
          <reference field="4294967294" count="1" selected="0">
            <x v="0"/>
          </reference>
        </references>
      </pivotArea>
    </chartFormat>
    <chartFormat chart="20" format="10" series="1">
      <pivotArea type="data" outline="0" fieldPosition="0">
        <references count="1">
          <reference field="4294967294" count="1" selected="0">
            <x v="1"/>
          </reference>
        </references>
      </pivotArea>
    </chartFormat>
    <chartFormat chart="20"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city shipping day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6">
  <location ref="AK3:AM14" firstHeaderRow="0" firstDataRow="1" firstDataCol="1"/>
  <pivotFields count="20">
    <pivotField showAll="0" defaultSubtotal="0"/>
    <pivotField showAll="0"/>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pivotField showAll="0">
      <items count="6">
        <item x="1"/>
        <item x="0"/>
        <item x="3"/>
        <item x="2"/>
        <item x="4"/>
        <item t="default"/>
      </items>
    </pivotField>
    <pivotField showAll="0">
      <items count="8">
        <item x="4"/>
        <item x="1"/>
        <item x="0"/>
        <item x="6"/>
        <item x="5"/>
        <item x="3"/>
        <item x="2"/>
        <item t="default"/>
      </items>
    </pivotField>
    <pivotField showAll="0">
      <items count="9">
        <item x="5"/>
        <item x="2"/>
        <item x="6"/>
        <item x="1"/>
        <item x="0"/>
        <item x="4"/>
        <item x="7"/>
        <item x="3"/>
        <item t="default"/>
      </items>
    </pivotField>
    <pivotField showAll="0">
      <items count="6">
        <item x="1"/>
        <item x="2"/>
        <item x="3"/>
        <item x="0"/>
        <item x="4"/>
        <item t="default"/>
      </items>
    </pivotField>
    <pivotField showAll="0">
      <items count="10">
        <item x="8"/>
        <item x="6"/>
        <item x="7"/>
        <item x="3"/>
        <item x="1"/>
        <item x="2"/>
        <item x="0"/>
        <item x="5"/>
        <item x="4"/>
        <item t="default"/>
      </items>
    </pivotField>
    <pivotField dataField="1" showAll="0"/>
    <pivotField showAll="0">
      <items count="6">
        <item x="1"/>
        <item x="4"/>
        <item x="3"/>
        <item x="2"/>
        <item x="0"/>
        <item t="default"/>
      </items>
    </pivotField>
    <pivotField showAll="0">
      <items count="32">
        <item x="22"/>
        <item x="29"/>
        <item x="20"/>
        <item x="5"/>
        <item x="15"/>
        <item x="10"/>
        <item x="8"/>
        <item x="28"/>
        <item x="23"/>
        <item x="16"/>
        <item x="2"/>
        <item x="11"/>
        <item x="24"/>
        <item x="3"/>
        <item x="18"/>
        <item x="25"/>
        <item x="19"/>
        <item x="13"/>
        <item x="26"/>
        <item x="4"/>
        <item x="14"/>
        <item x="0"/>
        <item x="17"/>
        <item x="21"/>
        <item x="1"/>
        <item x="6"/>
        <item x="12"/>
        <item x="27"/>
        <item x="7"/>
        <item x="9"/>
        <item x="30"/>
        <item t="default"/>
      </items>
    </pivotField>
    <pivotField dataField="1" showAll="0"/>
    <pivotField showAll="0">
      <items count="4">
        <item x="0"/>
        <item x="1"/>
        <item x="2"/>
        <item t="default"/>
      </items>
    </pivotField>
    <pivotField showAll="0"/>
    <pivotField axis="axisRow" showAll="0">
      <items count="11">
        <item x="6"/>
        <item x="8"/>
        <item x="9"/>
        <item x="1"/>
        <item x="2"/>
        <item x="5"/>
        <item x="4"/>
        <item x="7"/>
        <item x="0"/>
        <item x="3"/>
        <item t="default"/>
      </items>
    </pivotField>
    <pivotField showAll="0">
      <items count="3">
        <item x="0"/>
        <item x="1"/>
        <item t="default"/>
      </items>
    </pivotField>
    <pivotField showAll="0">
      <items count="13">
        <item x="6"/>
        <item x="2"/>
        <item x="8"/>
        <item x="10"/>
        <item x="3"/>
        <item x="1"/>
        <item x="5"/>
        <item x="9"/>
        <item x="11"/>
        <item x="7"/>
        <item x="0"/>
        <item x="4"/>
        <item t="default"/>
      </items>
    </pivotField>
    <pivotField showAll="0" defaultSubtotal="0">
      <items count="1">
        <item x="0"/>
      </items>
    </pivotField>
    <pivotField dragToRow="0" dragToCol="0" dragToPage="0" showAll="0" defaultSubtotal="0"/>
  </pivotFields>
  <rowFields count="1">
    <field x="15"/>
  </rowFields>
  <rowItems count="11">
    <i>
      <x/>
    </i>
    <i>
      <x v="1"/>
    </i>
    <i>
      <x v="2"/>
    </i>
    <i>
      <x v="3"/>
    </i>
    <i>
      <x v="4"/>
    </i>
    <i>
      <x v="5"/>
    </i>
    <i>
      <x v="6"/>
    </i>
    <i>
      <x v="7"/>
    </i>
    <i>
      <x v="8"/>
    </i>
    <i>
      <x v="9"/>
    </i>
    <i t="grand">
      <x/>
    </i>
  </rowItems>
  <colFields count="1">
    <field x="-2"/>
  </colFields>
  <colItems count="2">
    <i>
      <x/>
    </i>
    <i i="1">
      <x v="1"/>
    </i>
  </colItems>
  <dataFields count="2">
    <dataField name="Sum of Profit" fld="12" baseField="0" baseItem="0" numFmtId="168"/>
    <dataField name="Sum of Sales" fld="9" baseField="0" baseItem="0"/>
  </dataFields>
  <formats count="3">
    <format dxfId="9">
      <pivotArea outline="0" collapsedLevelsAreSubtotals="1" fieldPosition="0">
        <references count="1">
          <reference field="4294967294" count="1" selected="0">
            <x v="0"/>
          </reference>
        </references>
      </pivotArea>
    </format>
    <format dxfId="8">
      <pivotArea outline="0" collapsedLevelsAreSubtotals="1" fieldPosition="0">
        <references count="1">
          <reference field="4294967294" count="1" selected="0">
            <x v="0"/>
          </reference>
        </references>
      </pivotArea>
    </format>
    <format dxfId="7">
      <pivotArea outline="0" collapsedLevelsAreSubtotals="1" fieldPosition="0">
        <references count="1">
          <reference field="4294967294" count="1" selected="0">
            <x v="0"/>
          </reference>
        </references>
      </pivotArea>
    </format>
  </formats>
  <chartFormats count="6">
    <chartFormat chart="20" format="10"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1"/>
          </reference>
        </references>
      </pivotArea>
    </chartFormat>
    <chartFormat chart="23" format="5"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1"/>
          </reference>
        </references>
      </pivotArea>
    </chartFormat>
    <chartFormat chart="2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region wise profi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6:B42" firstHeaderRow="1" firstDataRow="1" firstDataCol="1"/>
  <pivotFields count="20">
    <pivotField showAll="0" defaultSubtotal="0"/>
    <pivotField showAll="0"/>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pivotField axis="axisRow" showAll="0">
      <items count="6">
        <item x="1"/>
        <item x="0"/>
        <item x="3"/>
        <item x="2"/>
        <item x="4"/>
        <item t="default"/>
      </items>
    </pivotField>
    <pivotField showAll="0">
      <items count="8">
        <item x="4"/>
        <item x="1"/>
        <item x="0"/>
        <item x="6"/>
        <item x="5"/>
        <item x="3"/>
        <item x="2"/>
        <item t="default"/>
      </items>
    </pivotField>
    <pivotField showAll="0">
      <items count="9">
        <item x="5"/>
        <item x="2"/>
        <item x="6"/>
        <item x="1"/>
        <item x="0"/>
        <item x="4"/>
        <item x="7"/>
        <item x="3"/>
        <item t="default"/>
      </items>
    </pivotField>
    <pivotField showAll="0">
      <items count="6">
        <item x="1"/>
        <item x="2"/>
        <item x="3"/>
        <item x="0"/>
        <item x="4"/>
        <item t="default"/>
      </items>
    </pivotField>
    <pivotField showAll="0">
      <items count="10">
        <item x="8"/>
        <item x="6"/>
        <item x="7"/>
        <item x="3"/>
        <item x="1"/>
        <item x="2"/>
        <item x="0"/>
        <item x="5"/>
        <item x="4"/>
        <item t="default"/>
      </items>
    </pivotField>
    <pivotField showAll="0"/>
    <pivotField showAll="0">
      <items count="6">
        <item x="1"/>
        <item x="4"/>
        <item x="3"/>
        <item x="2"/>
        <item x="0"/>
        <item t="default"/>
      </items>
    </pivotField>
    <pivotField showAll="0">
      <items count="32">
        <item x="22"/>
        <item x="29"/>
        <item x="20"/>
        <item x="5"/>
        <item x="15"/>
        <item x="10"/>
        <item x="8"/>
        <item x="28"/>
        <item x="23"/>
        <item x="16"/>
        <item x="2"/>
        <item x="11"/>
        <item x="24"/>
        <item x="3"/>
        <item x="18"/>
        <item x="25"/>
        <item x="19"/>
        <item x="13"/>
        <item x="26"/>
        <item x="4"/>
        <item x="14"/>
        <item x="0"/>
        <item x="17"/>
        <item x="21"/>
        <item x="1"/>
        <item x="6"/>
        <item x="12"/>
        <item x="27"/>
        <item x="7"/>
        <item x="9"/>
        <item x="30"/>
        <item t="default"/>
      </items>
    </pivotField>
    <pivotField dataField="1" showAll="0"/>
    <pivotField showAll="0">
      <items count="4">
        <item x="0"/>
        <item x="1"/>
        <item x="2"/>
        <item t="default"/>
      </items>
    </pivotField>
    <pivotField showAll="0"/>
    <pivotField showAll="0"/>
    <pivotField showAll="0">
      <items count="3">
        <item x="0"/>
        <item x="1"/>
        <item t="default"/>
      </items>
    </pivotField>
    <pivotField showAll="0">
      <items count="13">
        <item x="6"/>
        <item x="2"/>
        <item x="8"/>
        <item x="10"/>
        <item x="3"/>
        <item x="1"/>
        <item x="5"/>
        <item x="9"/>
        <item x="11"/>
        <item x="7"/>
        <item x="0"/>
        <item x="4"/>
        <item t="default"/>
      </items>
    </pivotField>
    <pivotField showAll="0" defaultSubtotal="0">
      <items count="1">
        <item x="0"/>
      </items>
    </pivotField>
    <pivotField dragToRow="0" dragToCol="0" dragToPage="0" showAll="0" defaultSubtotal="0"/>
  </pivotFields>
  <rowFields count="1">
    <field x="4"/>
  </rowFields>
  <rowItems count="6">
    <i>
      <x/>
    </i>
    <i>
      <x v="1"/>
    </i>
    <i>
      <x v="2"/>
    </i>
    <i>
      <x v="3"/>
    </i>
    <i>
      <x v="4"/>
    </i>
    <i t="grand">
      <x/>
    </i>
  </rowItems>
  <colItems count="1">
    <i/>
  </colItems>
  <dataFields count="1">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country Avg of ShippingDays countr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6">
  <location ref="Q101:R109" firstHeaderRow="1" firstDataRow="1" firstDataCol="1"/>
  <pivotFields count="20">
    <pivotField showAll="0" defaultSubtotal="0"/>
    <pivotField showAll="0"/>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pivotField showAll="0">
      <items count="6">
        <item x="1"/>
        <item x="0"/>
        <item x="3"/>
        <item x="2"/>
        <item x="4"/>
        <item t="default"/>
      </items>
    </pivotField>
    <pivotField axis="axisRow" showAll="0">
      <items count="8">
        <item x="4"/>
        <item x="1"/>
        <item x="0"/>
        <item x="6"/>
        <item x="5"/>
        <item x="3"/>
        <item x="2"/>
        <item t="default"/>
      </items>
    </pivotField>
    <pivotField showAll="0">
      <items count="9">
        <item x="5"/>
        <item x="2"/>
        <item x="6"/>
        <item x="1"/>
        <item x="0"/>
        <item x="4"/>
        <item x="7"/>
        <item x="3"/>
        <item t="default"/>
      </items>
    </pivotField>
    <pivotField showAll="0">
      <items count="6">
        <item x="1"/>
        <item x="2"/>
        <item x="3"/>
        <item x="0"/>
        <item x="4"/>
        <item t="default"/>
      </items>
    </pivotField>
    <pivotField showAll="0">
      <items count="10">
        <item x="8"/>
        <item x="6"/>
        <item x="7"/>
        <item x="3"/>
        <item x="1"/>
        <item x="2"/>
        <item x="0"/>
        <item x="5"/>
        <item x="4"/>
        <item t="default"/>
      </items>
    </pivotField>
    <pivotField showAll="0">
      <items count="1000">
        <item x="86"/>
        <item x="38"/>
        <item x="196"/>
        <item x="328"/>
        <item x="489"/>
        <item x="876"/>
        <item x="566"/>
        <item x="227"/>
        <item x="339"/>
        <item x="879"/>
        <item x="102"/>
        <item x="885"/>
        <item x="702"/>
        <item x="695"/>
        <item x="500"/>
        <item x="586"/>
        <item x="63"/>
        <item x="150"/>
        <item x="282"/>
        <item x="533"/>
        <item x="946"/>
        <item x="737"/>
        <item x="949"/>
        <item x="58"/>
        <item x="752"/>
        <item x="351"/>
        <item x="383"/>
        <item x="904"/>
        <item x="988"/>
        <item x="616"/>
        <item x="827"/>
        <item x="680"/>
        <item x="250"/>
        <item x="101"/>
        <item x="149"/>
        <item x="625"/>
        <item x="66"/>
        <item x="933"/>
        <item x="889"/>
        <item x="901"/>
        <item x="376"/>
        <item x="924"/>
        <item x="866"/>
        <item x="224"/>
        <item x="860"/>
        <item x="348"/>
        <item x="997"/>
        <item x="921"/>
        <item x="432"/>
        <item x="300"/>
        <item x="112"/>
        <item x="648"/>
        <item x="175"/>
        <item x="243"/>
        <item x="959"/>
        <item x="504"/>
        <item x="637"/>
        <item x="209"/>
        <item x="393"/>
        <item x="13"/>
        <item x="897"/>
        <item x="511"/>
        <item x="816"/>
        <item x="132"/>
        <item x="232"/>
        <item x="368"/>
        <item x="296"/>
        <item x="449"/>
        <item x="741"/>
        <item x="581"/>
        <item x="133"/>
        <item x="612"/>
        <item x="332"/>
        <item x="146"/>
        <item x="525"/>
        <item x="813"/>
        <item x="392"/>
        <item x="769"/>
        <item x="155"/>
        <item x="115"/>
        <item x="517"/>
        <item x="482"/>
        <item x="571"/>
        <item x="21"/>
        <item x="70"/>
        <item x="152"/>
        <item x="880"/>
        <item x="419"/>
        <item x="445"/>
        <item x="905"/>
        <item x="766"/>
        <item x="727"/>
        <item x="34"/>
        <item x="44"/>
        <item x="397"/>
        <item x="139"/>
        <item x="248"/>
        <item x="978"/>
        <item x="363"/>
        <item x="646"/>
        <item x="273"/>
        <item x="730"/>
        <item x="448"/>
        <item x="417"/>
        <item x="76"/>
        <item x="471"/>
        <item x="114"/>
        <item x="577"/>
        <item x="91"/>
        <item x="470"/>
        <item x="965"/>
        <item x="495"/>
        <item x="119"/>
        <item x="285"/>
        <item x="36"/>
        <item x="858"/>
        <item x="431"/>
        <item x="718"/>
        <item x="279"/>
        <item x="747"/>
        <item x="27"/>
        <item x="745"/>
        <item x="229"/>
        <item x="649"/>
        <item x="502"/>
        <item x="613"/>
        <item x="540"/>
        <item x="323"/>
        <item x="600"/>
        <item x="733"/>
        <item x="247"/>
        <item x="716"/>
        <item x="280"/>
        <item x="193"/>
        <item x="487"/>
        <item x="46"/>
        <item x="151"/>
        <item x="316"/>
        <item x="753"/>
        <item x="287"/>
        <item x="683"/>
        <item x="945"/>
        <item x="354"/>
        <item x="416"/>
        <item x="186"/>
        <item x="153"/>
        <item x="725"/>
        <item x="130"/>
        <item x="900"/>
        <item x="654"/>
        <item x="802"/>
        <item x="468"/>
        <item x="42"/>
        <item x="941"/>
        <item x="653"/>
        <item x="298"/>
        <item x="503"/>
        <item x="812"/>
        <item x="562"/>
        <item x="846"/>
        <item x="749"/>
        <item x="335"/>
        <item x="136"/>
        <item x="145"/>
        <item x="140"/>
        <item x="331"/>
        <item x="25"/>
        <item x="396"/>
        <item x="829"/>
        <item x="907"/>
        <item x="485"/>
        <item x="954"/>
        <item x="346"/>
        <item x="647"/>
        <item x="295"/>
        <item x="611"/>
        <item x="0"/>
        <item x="729"/>
        <item x="203"/>
        <item x="831"/>
        <item x="521"/>
        <item x="597"/>
        <item x="291"/>
        <item x="123"/>
        <item x="182"/>
        <item x="423"/>
        <item x="110"/>
        <item x="479"/>
        <item x="31"/>
        <item x="49"/>
        <item x="932"/>
        <item x="714"/>
        <item x="830"/>
        <item x="956"/>
        <item x="192"/>
        <item x="947"/>
        <item x="158"/>
        <item x="466"/>
        <item x="386"/>
        <item x="912"/>
        <item x="337"/>
        <item x="178"/>
        <item x="168"/>
        <item x="626"/>
        <item x="894"/>
        <item x="118"/>
        <item x="43"/>
        <item x="721"/>
        <item x="138"/>
        <item x="127"/>
        <item x="199"/>
        <item x="191"/>
        <item x="378"/>
        <item x="271"/>
        <item x="757"/>
        <item x="580"/>
        <item x="382"/>
        <item x="575"/>
        <item x="506"/>
        <item x="739"/>
        <item x="859"/>
        <item x="689"/>
        <item x="568"/>
        <item x="724"/>
        <item x="106"/>
        <item x="534"/>
        <item x="795"/>
        <item x="585"/>
        <item x="985"/>
        <item x="786"/>
        <item x="55"/>
        <item x="661"/>
        <item x="498"/>
        <item x="526"/>
        <item x="955"/>
        <item x="842"/>
        <item x="515"/>
        <item x="531"/>
        <item x="670"/>
        <item x="523"/>
        <item x="195"/>
        <item x="687"/>
        <item x="735"/>
        <item x="761"/>
        <item x="258"/>
        <item x="923"/>
        <item x="444"/>
        <item x="926"/>
        <item x="925"/>
        <item x="26"/>
        <item x="435"/>
        <item x="473"/>
        <item x="582"/>
        <item x="84"/>
        <item x="412"/>
        <item x="180"/>
        <item x="222"/>
        <item x="172"/>
        <item x="421"/>
        <item x="726"/>
        <item x="90"/>
        <item x="762"/>
        <item x="379"/>
        <item x="491"/>
        <item x="309"/>
        <item x="983"/>
        <item x="824"/>
        <item x="884"/>
        <item x="688"/>
        <item x="162"/>
        <item x="592"/>
        <item x="697"/>
        <item x="96"/>
        <item x="822"/>
        <item x="52"/>
        <item x="519"/>
        <item x="389"/>
        <item x="760"/>
        <item x="629"/>
        <item x="304"/>
        <item x="233"/>
        <item x="143"/>
        <item x="532"/>
        <item x="319"/>
        <item x="292"/>
        <item x="690"/>
        <item x="801"/>
        <item x="343"/>
        <item x="911"/>
        <item x="270"/>
        <item x="711"/>
        <item x="836"/>
        <item x="255"/>
        <item x="963"/>
        <item x="424"/>
        <item x="329"/>
        <item x="365"/>
        <item x="59"/>
        <item x="225"/>
        <item x="754"/>
        <item x="154"/>
        <item x="47"/>
        <item x="972"/>
        <item x="817"/>
        <item x="484"/>
        <item x="294"/>
        <item x="820"/>
        <item x="8"/>
        <item x="940"/>
        <item x="486"/>
        <item x="278"/>
        <item x="60"/>
        <item x="238"/>
        <item x="488"/>
        <item x="381"/>
        <item x="719"/>
        <item x="458"/>
        <item x="707"/>
        <item x="986"/>
        <item x="200"/>
        <item x="242"/>
        <item x="505"/>
        <item x="663"/>
        <item x="767"/>
        <item x="453"/>
        <item x="723"/>
        <item x="797"/>
        <item x="528"/>
        <item x="310"/>
        <item x="387"/>
        <item x="892"/>
        <item x="318"/>
        <item x="630"/>
        <item x="559"/>
        <item x="83"/>
        <item x="869"/>
        <item x="705"/>
        <item x="984"/>
        <item x="259"/>
        <item x="15"/>
        <item x="481"/>
        <item x="429"/>
        <item x="456"/>
        <item x="269"/>
        <item x="29"/>
        <item x="973"/>
        <item x="176"/>
        <item x="187"/>
        <item x="764"/>
        <item x="989"/>
        <item x="121"/>
        <item x="656"/>
        <item x="514"/>
        <item x="98"/>
        <item x="37"/>
        <item x="583"/>
        <item x="748"/>
        <item x="635"/>
        <item x="594"/>
        <item x="851"/>
        <item x="622"/>
        <item x="312"/>
        <item x="845"/>
        <item x="699"/>
        <item x="171"/>
        <item x="50"/>
        <item x="550"/>
        <item x="170"/>
        <item x="474"/>
        <item x="589"/>
        <item x="643"/>
        <item x="164"/>
        <item x="425"/>
        <item x="633"/>
        <item x="872"/>
        <item x="240"/>
        <item x="662"/>
        <item x="358"/>
        <item x="732"/>
        <item x="499"/>
        <item x="299"/>
        <item x="437"/>
        <item x="72"/>
        <item x="181"/>
        <item x="35"/>
        <item x="205"/>
        <item x="462"/>
        <item x="260"/>
        <item x="896"/>
        <item x="551"/>
        <item x="539"/>
        <item x="835"/>
        <item x="438"/>
        <item x="394"/>
        <item x="659"/>
        <item x="370"/>
        <item x="861"/>
        <item x="509"/>
        <item x="881"/>
        <item x="709"/>
        <item x="141"/>
        <item x="701"/>
        <item x="235"/>
        <item x="336"/>
        <item x="100"/>
        <item x="838"/>
        <item x="776"/>
        <item x="614"/>
        <item x="169"/>
        <item x="122"/>
        <item x="125"/>
        <item x="803"/>
        <item x="774"/>
        <item x="898"/>
        <item x="74"/>
        <item x="120"/>
        <item x="952"/>
        <item x="931"/>
        <item x="33"/>
        <item x="798"/>
        <item x="815"/>
        <item x="326"/>
        <item x="67"/>
        <item x="634"/>
        <item x="564"/>
        <item x="833"/>
        <item x="673"/>
        <item x="632"/>
        <item x="512"/>
        <item x="640"/>
        <item x="268"/>
        <item x="85"/>
        <item x="188"/>
        <item x="909"/>
        <item x="364"/>
        <item x="1"/>
        <item x="78"/>
        <item x="570"/>
        <item x="81"/>
        <item x="341"/>
        <item x="79"/>
        <item x="22"/>
        <item x="373"/>
        <item x="497"/>
        <item x="682"/>
        <item x="210"/>
        <item x="426"/>
        <item x="856"/>
        <item x="549"/>
        <item x="201"/>
        <item x="41"/>
        <item x="5"/>
        <item x="45"/>
        <item x="639"/>
        <item x="61"/>
        <item x="253"/>
        <item x="672"/>
        <item x="64"/>
        <item x="56"/>
        <item x="459"/>
        <item x="411"/>
        <item x="538"/>
        <item x="572"/>
        <item x="344"/>
        <item x="65"/>
        <item x="179"/>
        <item x="95"/>
        <item x="226"/>
        <item x="758"/>
        <item x="883"/>
        <item x="650"/>
        <item x="669"/>
        <item x="236"/>
        <item x="967"/>
        <item x="69"/>
        <item x="609"/>
        <item x="413"/>
        <item x="314"/>
        <item x="606"/>
        <item x="929"/>
        <item x="809"/>
        <item x="976"/>
        <item x="131"/>
        <item x="404"/>
        <item x="631"/>
        <item x="541"/>
        <item x="987"/>
        <item x="12"/>
        <item x="439"/>
        <item x="961"/>
        <item x="442"/>
        <item x="544"/>
        <item x="62"/>
        <item x="217"/>
        <item x="943"/>
        <item x="821"/>
        <item x="407"/>
        <item x="887"/>
        <item x="68"/>
        <item x="159"/>
        <item x="430"/>
        <item x="443"/>
        <item x="342"/>
        <item x="938"/>
        <item x="665"/>
        <item x="703"/>
        <item x="340"/>
        <item x="103"/>
        <item x="89"/>
        <item x="862"/>
        <item x="23"/>
        <item x="338"/>
        <item x="410"/>
        <item x="555"/>
        <item x="902"/>
        <item x="908"/>
        <item x="446"/>
        <item x="644"/>
        <item x="352"/>
        <item x="406"/>
        <item x="772"/>
        <item x="246"/>
        <item x="942"/>
        <item x="787"/>
        <item x="939"/>
        <item x="664"/>
        <item x="603"/>
        <item x="746"/>
        <item x="104"/>
        <item x="395"/>
        <item x="715"/>
        <item x="850"/>
        <item x="708"/>
        <item x="789"/>
        <item x="105"/>
        <item x="464"/>
        <item x="857"/>
        <item x="20"/>
        <item x="414"/>
        <item x="359"/>
        <item x="334"/>
        <item x="888"/>
        <item x="455"/>
        <item x="211"/>
        <item x="895"/>
        <item x="806"/>
        <item x="234"/>
        <item x="321"/>
        <item x="693"/>
        <item x="843"/>
        <item x="409"/>
        <item x="228"/>
        <item x="450"/>
        <item x="189"/>
        <item x="915"/>
        <item x="712"/>
        <item x="109"/>
        <item x="679"/>
        <item x="451"/>
        <item x="374"/>
        <item x="675"/>
        <item x="713"/>
        <item x="981"/>
        <item x="507"/>
        <item x="660"/>
        <item x="345"/>
        <item x="740"/>
        <item x="791"/>
        <item x="964"/>
        <item x="366"/>
        <item x="576"/>
        <item x="369"/>
        <item x="652"/>
        <item x="579"/>
        <item x="561"/>
        <item x="785"/>
        <item x="261"/>
        <item x="691"/>
        <item x="992"/>
        <item x="971"/>
        <item x="156"/>
        <item x="828"/>
        <item x="447"/>
        <item x="598"/>
        <item x="848"/>
        <item x="605"/>
        <item x="855"/>
        <item x="847"/>
        <item x="97"/>
        <item x="174"/>
        <item x="391"/>
        <item x="212"/>
        <item x="804"/>
        <item x="71"/>
        <item x="6"/>
        <item x="722"/>
        <item x="4"/>
        <item x="944"/>
        <item x="463"/>
        <item x="493"/>
        <item x="968"/>
        <item x="974"/>
        <item x="685"/>
        <item x="993"/>
        <item x="962"/>
        <item x="893"/>
        <item x="878"/>
        <item x="223"/>
        <item x="281"/>
        <item x="230"/>
        <item x="216"/>
        <item x="696"/>
        <item x="950"/>
        <item x="590"/>
        <item x="117"/>
        <item x="390"/>
        <item x="567"/>
        <item x="618"/>
        <item x="773"/>
        <item x="166"/>
        <item x="290"/>
        <item x="277"/>
        <item x="288"/>
        <item x="220"/>
        <item x="922"/>
        <item x="578"/>
        <item x="75"/>
        <item x="553"/>
        <item x="231"/>
        <item x="401"/>
        <item x="516"/>
        <item x="998"/>
        <item x="529"/>
        <item x="738"/>
        <item x="434"/>
        <item x="441"/>
        <item x="478"/>
        <item x="666"/>
        <item x="877"/>
        <item x="239"/>
        <item x="849"/>
        <item x="347"/>
        <item x="658"/>
        <item x="134"/>
        <item x="807"/>
        <item x="92"/>
        <item x="420"/>
        <item x="11"/>
        <item x="537"/>
        <item x="330"/>
        <item x="88"/>
        <item x="615"/>
        <item x="837"/>
        <item x="970"/>
        <item x="520"/>
        <item x="642"/>
        <item x="750"/>
        <item x="975"/>
        <item x="190"/>
        <item x="790"/>
        <item x="556"/>
        <item x="30"/>
        <item x="599"/>
        <item x="305"/>
        <item x="841"/>
        <item x="204"/>
        <item x="124"/>
        <item x="371"/>
        <item x="208"/>
        <item x="167"/>
        <item x="40"/>
        <item x="116"/>
        <item x="360"/>
        <item x="496"/>
        <item x="948"/>
        <item x="994"/>
        <item x="302"/>
        <item x="14"/>
        <item x="628"/>
        <item x="607"/>
        <item x="671"/>
        <item x="800"/>
        <item x="686"/>
        <item x="704"/>
        <item x="7"/>
        <item x="645"/>
        <item x="706"/>
        <item x="377"/>
        <item x="780"/>
        <item x="262"/>
        <item x="254"/>
        <item x="400"/>
        <item x="684"/>
        <item x="565"/>
        <item x="620"/>
        <item x="16"/>
        <item x="157"/>
        <item x="903"/>
        <item x="844"/>
        <item x="891"/>
        <item x="573"/>
        <item x="602"/>
        <item x="623"/>
        <item x="264"/>
        <item x="405"/>
        <item x="759"/>
        <item x="324"/>
        <item x="375"/>
        <item x="995"/>
        <item x="641"/>
        <item x="501"/>
        <item x="163"/>
        <item x="267"/>
        <item x="18"/>
        <item x="325"/>
        <item x="930"/>
        <item x="657"/>
        <item x="249"/>
        <item x="206"/>
        <item x="617"/>
        <item x="778"/>
        <item x="266"/>
        <item x="717"/>
        <item x="777"/>
        <item x="385"/>
        <item x="183"/>
        <item x="355"/>
        <item x="608"/>
        <item x="595"/>
        <item x="54"/>
        <item x="214"/>
        <item x="148"/>
        <item x="744"/>
        <item x="207"/>
        <item x="82"/>
        <item x="452"/>
        <item x="402"/>
        <item x="808"/>
        <item x="874"/>
        <item x="918"/>
        <item x="327"/>
        <item x="731"/>
        <item x="927"/>
        <item x="783"/>
        <item x="349"/>
        <item x="865"/>
        <item x="137"/>
        <item x="173"/>
        <item x="552"/>
        <item x="819"/>
        <item x="826"/>
        <item x="185"/>
        <item x="814"/>
        <item x="160"/>
        <item x="796"/>
        <item x="720"/>
        <item x="818"/>
        <item x="284"/>
        <item x="751"/>
        <item x="548"/>
        <item x="554"/>
        <item x="990"/>
        <item x="465"/>
        <item x="655"/>
        <item x="80"/>
        <item x="457"/>
        <item x="283"/>
        <item x="951"/>
        <item x="494"/>
        <item x="920"/>
        <item x="588"/>
        <item x="839"/>
        <item x="518"/>
        <item x="53"/>
        <item x="676"/>
        <item x="936"/>
        <item x="871"/>
        <item x="545"/>
        <item x="811"/>
        <item x="276"/>
        <item x="483"/>
        <item x="28"/>
        <item x="919"/>
        <item x="805"/>
        <item x="854"/>
        <item x="508"/>
        <item x="710"/>
        <item x="99"/>
        <item x="356"/>
        <item x="563"/>
        <item x="694"/>
        <item x="527"/>
        <item x="937"/>
        <item x="692"/>
        <item x="782"/>
        <item x="763"/>
        <item x="184"/>
        <item x="197"/>
        <item x="756"/>
        <item x="202"/>
        <item x="361"/>
        <item x="428"/>
        <item x="108"/>
        <item x="982"/>
        <item x="272"/>
        <item x="317"/>
        <item x="779"/>
        <item x="784"/>
        <item x="960"/>
        <item x="177"/>
        <item x="293"/>
        <item x="48"/>
        <item x="743"/>
        <item x="569"/>
        <item x="399"/>
        <item x="19"/>
        <item x="913"/>
        <item x="917"/>
        <item x="9"/>
        <item x="510"/>
        <item x="610"/>
        <item x="333"/>
        <item x="93"/>
        <item x="587"/>
        <item x="996"/>
        <item x="619"/>
        <item x="736"/>
        <item x="794"/>
        <item x="251"/>
        <item x="890"/>
        <item x="914"/>
        <item x="977"/>
        <item x="476"/>
        <item x="289"/>
        <item x="10"/>
        <item x="840"/>
        <item x="353"/>
        <item x="910"/>
        <item x="213"/>
        <item x="557"/>
        <item x="636"/>
        <item x="677"/>
        <item x="306"/>
        <item x="698"/>
        <item x="832"/>
        <item x="77"/>
        <item x="781"/>
        <item x="460"/>
        <item x="547"/>
        <item x="241"/>
        <item x="256"/>
        <item x="638"/>
        <item x="853"/>
        <item x="362"/>
        <item x="558"/>
        <item x="770"/>
        <item x="868"/>
        <item x="935"/>
        <item x="17"/>
        <item x="165"/>
        <item x="415"/>
        <item x="161"/>
        <item x="436"/>
        <item x="257"/>
        <item x="477"/>
        <item x="928"/>
        <item x="398"/>
        <item x="728"/>
        <item x="863"/>
        <item x="408"/>
        <item x="469"/>
        <item x="367"/>
        <item x="799"/>
        <item x="144"/>
        <item x="286"/>
        <item x="873"/>
        <item x="297"/>
        <item x="245"/>
        <item x="388"/>
        <item x="454"/>
        <item x="357"/>
        <item x="536"/>
        <item x="852"/>
        <item x="87"/>
        <item x="113"/>
        <item x="934"/>
        <item x="899"/>
        <item x="129"/>
        <item x="530"/>
        <item x="472"/>
        <item x="775"/>
        <item x="107"/>
        <item x="237"/>
        <item x="252"/>
        <item x="513"/>
        <item x="313"/>
        <item x="546"/>
        <item x="301"/>
        <item x="906"/>
        <item x="875"/>
        <item x="94"/>
        <item x="315"/>
        <item x="674"/>
        <item x="604"/>
        <item x="524"/>
        <item x="870"/>
        <item x="126"/>
        <item x="667"/>
        <item x="475"/>
        <item x="244"/>
        <item x="350"/>
        <item x="57"/>
        <item x="979"/>
        <item x="823"/>
        <item x="490"/>
        <item x="384"/>
        <item x="621"/>
        <item x="543"/>
        <item x="39"/>
        <item x="755"/>
        <item x="51"/>
        <item x="461"/>
        <item x="593"/>
        <item x="574"/>
        <item x="311"/>
        <item x="418"/>
        <item x="771"/>
        <item x="627"/>
        <item x="433"/>
        <item x="322"/>
        <item x="427"/>
        <item x="380"/>
        <item x="834"/>
        <item x="372"/>
        <item x="320"/>
        <item x="480"/>
        <item x="492"/>
        <item x="765"/>
        <item x="867"/>
        <item x="3"/>
        <item x="793"/>
        <item x="198"/>
        <item x="788"/>
        <item x="681"/>
        <item x="678"/>
        <item x="969"/>
        <item x="142"/>
        <item x="742"/>
        <item x="864"/>
        <item x="265"/>
        <item x="560"/>
        <item x="32"/>
        <item x="135"/>
        <item x="886"/>
        <item x="147"/>
        <item x="535"/>
        <item x="111"/>
        <item x="275"/>
        <item x="966"/>
        <item x="403"/>
        <item x="194"/>
        <item x="916"/>
        <item x="957"/>
        <item x="73"/>
        <item x="958"/>
        <item x="440"/>
        <item x="668"/>
        <item x="825"/>
        <item x="991"/>
        <item x="882"/>
        <item x="596"/>
        <item x="522"/>
        <item x="467"/>
        <item x="810"/>
        <item x="953"/>
        <item x="651"/>
        <item x="584"/>
        <item x="219"/>
        <item x="24"/>
        <item x="792"/>
        <item x="624"/>
        <item x="422"/>
        <item x="128"/>
        <item x="768"/>
        <item x="303"/>
        <item x="2"/>
        <item x="274"/>
        <item x="700"/>
        <item x="734"/>
        <item x="308"/>
        <item x="215"/>
        <item x="307"/>
        <item x="263"/>
        <item x="221"/>
        <item x="542"/>
        <item x="591"/>
        <item x="980"/>
        <item x="601"/>
        <item x="218"/>
        <item t="default"/>
      </items>
    </pivotField>
    <pivotField showAll="0">
      <items count="6">
        <item x="1"/>
        <item x="4"/>
        <item x="3"/>
        <item x="2"/>
        <item x="0"/>
        <item t="default"/>
      </items>
    </pivotField>
    <pivotField showAll="0">
      <items count="32">
        <item x="22"/>
        <item x="29"/>
        <item x="20"/>
        <item x="5"/>
        <item x="15"/>
        <item x="10"/>
        <item x="8"/>
        <item x="28"/>
        <item x="23"/>
        <item x="16"/>
        <item x="2"/>
        <item x="11"/>
        <item x="24"/>
        <item x="3"/>
        <item x="18"/>
        <item x="25"/>
        <item x="19"/>
        <item x="13"/>
        <item x="26"/>
        <item x="4"/>
        <item x="14"/>
        <item x="0"/>
        <item x="17"/>
        <item x="21"/>
        <item x="1"/>
        <item x="6"/>
        <item x="12"/>
        <item x="27"/>
        <item x="7"/>
        <item x="9"/>
        <item x="30"/>
        <item t="default"/>
      </items>
    </pivotField>
    <pivotField showAll="0"/>
    <pivotField showAll="0">
      <items count="4">
        <item x="0"/>
        <item x="1"/>
        <item x="2"/>
        <item t="default"/>
      </items>
    </pivotField>
    <pivotField showAll="0"/>
    <pivotField dataField="1" showAll="0"/>
    <pivotField showAll="0">
      <items count="3">
        <item x="0"/>
        <item x="1"/>
        <item t="default"/>
      </items>
    </pivotField>
    <pivotField showAll="0">
      <items count="13">
        <item x="6"/>
        <item x="2"/>
        <item x="8"/>
        <item x="10"/>
        <item x="3"/>
        <item x="1"/>
        <item x="5"/>
        <item x="9"/>
        <item x="11"/>
        <item x="7"/>
        <item x="0"/>
        <item x="4"/>
        <item t="default"/>
      </items>
    </pivotField>
    <pivotField showAll="0" defaultSubtotal="0">
      <items count="1">
        <item x="0"/>
      </items>
    </pivotField>
    <pivotField dragToRow="0" dragToCol="0" dragToPage="0" showAll="0" defaultSubtotal="0"/>
  </pivotFields>
  <rowFields count="1">
    <field x="5"/>
  </rowFields>
  <rowItems count="8">
    <i>
      <x/>
    </i>
    <i>
      <x v="1"/>
    </i>
    <i>
      <x v="2"/>
    </i>
    <i>
      <x v="3"/>
    </i>
    <i>
      <x v="4"/>
    </i>
    <i>
      <x v="5"/>
    </i>
    <i>
      <x v="6"/>
    </i>
    <i t="grand">
      <x/>
    </i>
  </rowItems>
  <colItems count="1">
    <i/>
  </colItems>
  <dataFields count="1">
    <dataField name="Average of ShippingDays" fld="15" subtotal="average" baseField="4" baseItem="0" numFmtId="2"/>
  </dataFields>
  <formats count="9">
    <format dxfId="18">
      <pivotArea outline="0" collapsedLevelsAreSubtotals="1" fieldPosition="0"/>
    </format>
    <format dxfId="17">
      <pivotArea outline="0" collapsedLevelsAreSubtotals="1" fieldPosition="0"/>
    </format>
    <format dxfId="16">
      <pivotArea outline="0" collapsedLevelsAreSubtotals="1" fieldPosition="0"/>
    </format>
    <format dxfId="15">
      <pivotArea outline="0" collapsedLevelsAreSubtotals="1" fieldPosition="0"/>
    </format>
    <format dxfId="14">
      <pivotArea outline="0" collapsedLevelsAreSubtotals="1" fieldPosition="0"/>
    </format>
    <format dxfId="13">
      <pivotArea outline="0" collapsedLevelsAreSubtotals="1" fieldPosition="0"/>
    </format>
    <format dxfId="12">
      <pivotArea outline="0" collapsedLevelsAreSubtotals="1" fieldPosition="0"/>
    </format>
    <format dxfId="11">
      <pivotArea outline="0" collapsedLevelsAreSubtotals="1" fieldPosition="0"/>
    </format>
    <format dxfId="10">
      <pivotArea outline="0" collapsedLevelsAreSubtotals="1" fieldPosition="0"/>
    </format>
  </formats>
  <chartFormats count="6">
    <chartFormat chart="11"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city profit margi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2">
  <location ref="AK64:AL73" firstHeaderRow="1" firstDataRow="1" firstDataCol="1"/>
  <pivotFields count="20">
    <pivotField showAll="0" defaultSubtotal="0"/>
    <pivotField showAll="0"/>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pivotField showAll="0">
      <items count="6">
        <item x="1"/>
        <item x="0"/>
        <item x="3"/>
        <item x="2"/>
        <item x="4"/>
        <item t="default"/>
      </items>
    </pivotField>
    <pivotField showAll="0">
      <items count="8">
        <item x="4"/>
        <item x="1"/>
        <item x="0"/>
        <item x="6"/>
        <item x="5"/>
        <item x="3"/>
        <item x="2"/>
        <item t="default"/>
      </items>
    </pivotField>
    <pivotField axis="axisRow" showAll="0" sortType="ascending">
      <items count="9">
        <item x="5"/>
        <item x="2"/>
        <item x="6"/>
        <item x="1"/>
        <item x="0"/>
        <item x="4"/>
        <item x="7"/>
        <item x="3"/>
        <item t="default"/>
      </items>
      <autoSortScope>
        <pivotArea dataOnly="0" outline="0" fieldPosition="0">
          <references count="1">
            <reference field="4294967294" count="1" selected="0">
              <x v="0"/>
            </reference>
          </references>
        </pivotArea>
      </autoSortScope>
    </pivotField>
    <pivotField showAll="0">
      <items count="6">
        <item x="1"/>
        <item x="2"/>
        <item x="3"/>
        <item x="0"/>
        <item x="4"/>
        <item t="default"/>
      </items>
    </pivotField>
    <pivotField showAll="0">
      <items count="10">
        <item x="8"/>
        <item x="6"/>
        <item x="7"/>
        <item x="3"/>
        <item x="1"/>
        <item x="2"/>
        <item x="0"/>
        <item x="5"/>
        <item x="4"/>
        <item t="default"/>
      </items>
    </pivotField>
    <pivotField showAll="0"/>
    <pivotField showAll="0">
      <items count="6">
        <item x="1"/>
        <item x="4"/>
        <item x="3"/>
        <item x="2"/>
        <item x="0"/>
        <item t="default"/>
      </items>
    </pivotField>
    <pivotField showAll="0">
      <items count="32">
        <item x="22"/>
        <item x="29"/>
        <item x="20"/>
        <item x="5"/>
        <item x="15"/>
        <item x="10"/>
        <item x="8"/>
        <item x="28"/>
        <item x="23"/>
        <item x="16"/>
        <item x="2"/>
        <item x="11"/>
        <item x="24"/>
        <item x="3"/>
        <item x="18"/>
        <item x="25"/>
        <item x="19"/>
        <item x="13"/>
        <item x="26"/>
        <item x="4"/>
        <item x="14"/>
        <item x="0"/>
        <item x="17"/>
        <item x="21"/>
        <item x="1"/>
        <item x="6"/>
        <item x="12"/>
        <item x="27"/>
        <item x="7"/>
        <item x="9"/>
        <item x="30"/>
        <item t="default"/>
      </items>
    </pivotField>
    <pivotField showAll="0"/>
    <pivotField showAll="0">
      <items count="4">
        <item x="0"/>
        <item x="1"/>
        <item x="2"/>
        <item t="default"/>
      </items>
    </pivotField>
    <pivotField showAll="0"/>
    <pivotField showAll="0"/>
    <pivotField showAll="0">
      <items count="3">
        <item x="0"/>
        <item x="1"/>
        <item t="default"/>
      </items>
    </pivotField>
    <pivotField showAll="0">
      <items count="13">
        <item x="6"/>
        <item x="2"/>
        <item x="8"/>
        <item x="10"/>
        <item x="3"/>
        <item x="1"/>
        <item x="5"/>
        <item x="9"/>
        <item x="11"/>
        <item x="7"/>
        <item x="0"/>
        <item x="4"/>
        <item t="default"/>
      </items>
    </pivotField>
    <pivotField showAll="0" defaultSubtotal="0">
      <items count="1">
        <item x="0"/>
      </items>
    </pivotField>
    <pivotField dataField="1" dragToRow="0" dragToCol="0" dragToPage="0" showAll="0" defaultSubtotal="0"/>
  </pivotFields>
  <rowFields count="1">
    <field x="6"/>
  </rowFields>
  <rowItems count="9">
    <i>
      <x v="7"/>
    </i>
    <i>
      <x v="1"/>
    </i>
    <i>
      <x v="3"/>
    </i>
    <i>
      <x v="5"/>
    </i>
    <i>
      <x v="2"/>
    </i>
    <i>
      <x v="4"/>
    </i>
    <i>
      <x/>
    </i>
    <i>
      <x v="6"/>
    </i>
    <i t="grand">
      <x/>
    </i>
  </rowItems>
  <colItems count="1">
    <i/>
  </colItems>
  <dataFields count="1">
    <dataField name="Percentage of Profit Margin" fld="19" baseField="5" baseItem="1" numFmtId="10"/>
  </dataFields>
  <chartFormats count="5">
    <chartFormat chart="14" format="5"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 chart="16" format="1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city payements in citie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location ref="AL148:AU155" firstHeaderRow="1" firstDataRow="2" firstDataCol="1"/>
  <pivotFields count="20">
    <pivotField showAll="0" defaultSubtotal="0"/>
    <pivotField dataField="1" showAll="0"/>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pivotField showAll="0">
      <items count="6">
        <item x="1"/>
        <item x="0"/>
        <item x="3"/>
        <item x="2"/>
        <item x="4"/>
        <item t="default"/>
      </items>
    </pivotField>
    <pivotField showAll="0">
      <items count="8">
        <item x="4"/>
        <item x="1"/>
        <item x="0"/>
        <item x="6"/>
        <item x="5"/>
        <item x="3"/>
        <item x="2"/>
        <item t="default"/>
      </items>
    </pivotField>
    <pivotField axis="axisCol" showAll="0">
      <items count="9">
        <item x="5"/>
        <item x="2"/>
        <item x="6"/>
        <item x="1"/>
        <item x="0"/>
        <item x="4"/>
        <item x="7"/>
        <item x="3"/>
        <item t="default"/>
      </items>
    </pivotField>
    <pivotField showAll="0">
      <items count="6">
        <item x="1"/>
        <item x="2"/>
        <item x="3"/>
        <item x="0"/>
        <item x="4"/>
        <item t="default"/>
      </items>
    </pivotField>
    <pivotField showAll="0">
      <items count="10">
        <item x="8"/>
        <item x="6"/>
        <item x="7"/>
        <item x="3"/>
        <item x="1"/>
        <item x="2"/>
        <item x="0"/>
        <item x="5"/>
        <item x="4"/>
        <item t="default"/>
      </items>
    </pivotField>
    <pivotField showAll="0"/>
    <pivotField showAll="0">
      <items count="6">
        <item x="1"/>
        <item x="4"/>
        <item x="3"/>
        <item x="2"/>
        <item x="0"/>
        <item t="default"/>
      </items>
    </pivotField>
    <pivotField showAll="0">
      <items count="32">
        <item x="22"/>
        <item x="29"/>
        <item x="20"/>
        <item x="5"/>
        <item x="15"/>
        <item x="10"/>
        <item x="8"/>
        <item x="28"/>
        <item x="23"/>
        <item x="16"/>
        <item x="2"/>
        <item x="11"/>
        <item x="24"/>
        <item x="3"/>
        <item x="18"/>
        <item x="25"/>
        <item x="19"/>
        <item x="13"/>
        <item x="26"/>
        <item x="4"/>
        <item x="14"/>
        <item x="0"/>
        <item x="17"/>
        <item x="21"/>
        <item x="1"/>
        <item x="6"/>
        <item x="12"/>
        <item x="27"/>
        <item x="7"/>
        <item x="9"/>
        <item x="30"/>
        <item t="default"/>
      </items>
    </pivotField>
    <pivotField showAll="0"/>
    <pivotField showAll="0">
      <items count="4">
        <item x="0"/>
        <item x="1"/>
        <item x="2"/>
        <item t="default"/>
      </items>
    </pivotField>
    <pivotField axis="axisRow" showAll="0">
      <items count="6">
        <item x="4"/>
        <item x="0"/>
        <item x="1"/>
        <item x="2"/>
        <item x="3"/>
        <item t="default"/>
      </items>
    </pivotField>
    <pivotField showAll="0"/>
    <pivotField showAll="0">
      <items count="3">
        <item x="0"/>
        <item x="1"/>
        <item t="default"/>
      </items>
    </pivotField>
    <pivotField showAll="0">
      <items count="13">
        <item x="6"/>
        <item x="2"/>
        <item x="8"/>
        <item x="10"/>
        <item x="3"/>
        <item x="1"/>
        <item x="5"/>
        <item x="9"/>
        <item x="11"/>
        <item x="7"/>
        <item x="0"/>
        <item x="4"/>
        <item t="default"/>
      </items>
    </pivotField>
    <pivotField showAll="0" defaultSubtotal="0">
      <items count="1">
        <item x="0"/>
      </items>
    </pivotField>
    <pivotField dragToRow="0" dragToCol="0" dragToPage="0" showAll="0" defaultSubtotal="0"/>
  </pivotFields>
  <rowFields count="1">
    <field x="14"/>
  </rowFields>
  <rowItems count="6">
    <i>
      <x/>
    </i>
    <i>
      <x v="1"/>
    </i>
    <i>
      <x v="2"/>
    </i>
    <i>
      <x v="3"/>
    </i>
    <i>
      <x v="4"/>
    </i>
    <i t="grand">
      <x/>
    </i>
  </rowItems>
  <colFields count="1">
    <field x="6"/>
  </colFields>
  <colItems count="9">
    <i>
      <x/>
    </i>
    <i>
      <x v="1"/>
    </i>
    <i>
      <x v="2"/>
    </i>
    <i>
      <x v="3"/>
    </i>
    <i>
      <x v="4"/>
    </i>
    <i>
      <x v="5"/>
    </i>
    <i>
      <x v="6"/>
    </i>
    <i>
      <x v="7"/>
    </i>
    <i t="grand">
      <x/>
    </i>
  </colItems>
  <dataFields count="1">
    <dataField name="Count of OrderID" fld="1" subtotal="count" baseField="0" baseItem="0"/>
  </dataFields>
  <chartFormats count="33">
    <chartFormat chart="16" format="14" series="1">
      <pivotArea type="data" outline="0" fieldPosition="0">
        <references count="1">
          <reference field="4294967294" count="1" selected="0">
            <x v="0"/>
          </reference>
        </references>
      </pivotArea>
    </chartFormat>
    <chartFormat chart="18" format="28" series="1">
      <pivotArea type="data" outline="0" fieldPosition="0">
        <references count="1">
          <reference field="4294967294" count="1" selected="0">
            <x v="0"/>
          </reference>
        </references>
      </pivotArea>
    </chartFormat>
    <chartFormat chart="18" format="29" series="1">
      <pivotArea type="data" outline="0" fieldPosition="0">
        <references count="2">
          <reference field="4294967294" count="1" selected="0">
            <x v="0"/>
          </reference>
          <reference field="6" count="1" selected="0">
            <x v="1"/>
          </reference>
        </references>
      </pivotArea>
    </chartFormat>
    <chartFormat chart="18" format="30" series="1">
      <pivotArea type="data" outline="0" fieldPosition="0">
        <references count="2">
          <reference field="4294967294" count="1" selected="0">
            <x v="0"/>
          </reference>
          <reference field="6" count="1" selected="0">
            <x v="2"/>
          </reference>
        </references>
      </pivotArea>
    </chartFormat>
    <chartFormat chart="18" format="31" series="1">
      <pivotArea type="data" outline="0" fieldPosition="0">
        <references count="2">
          <reference field="4294967294" count="1" selected="0">
            <x v="0"/>
          </reference>
          <reference field="6" count="1" selected="0">
            <x v="3"/>
          </reference>
        </references>
      </pivotArea>
    </chartFormat>
    <chartFormat chart="18" format="32" series="1">
      <pivotArea type="data" outline="0" fieldPosition="0">
        <references count="2">
          <reference field="4294967294" count="1" selected="0">
            <x v="0"/>
          </reference>
          <reference field="6" count="1" selected="0">
            <x v="4"/>
          </reference>
        </references>
      </pivotArea>
    </chartFormat>
    <chartFormat chart="18" format="33" series="1">
      <pivotArea type="data" outline="0" fieldPosition="0">
        <references count="2">
          <reference field="4294967294" count="1" selected="0">
            <x v="0"/>
          </reference>
          <reference field="6" count="1" selected="0">
            <x v="5"/>
          </reference>
        </references>
      </pivotArea>
    </chartFormat>
    <chartFormat chart="18" format="34" series="1">
      <pivotArea type="data" outline="0" fieldPosition="0">
        <references count="2">
          <reference field="4294967294" count="1" selected="0">
            <x v="0"/>
          </reference>
          <reference field="6" count="1" selected="0">
            <x v="6"/>
          </reference>
        </references>
      </pivotArea>
    </chartFormat>
    <chartFormat chart="18" format="35" series="1">
      <pivotArea type="data" outline="0" fieldPosition="0">
        <references count="2">
          <reference field="4294967294" count="1" selected="0">
            <x v="0"/>
          </reference>
          <reference field="6" count="1" selected="0">
            <x v="7"/>
          </reference>
        </references>
      </pivotArea>
    </chartFormat>
    <chartFormat chart="19" format="15" series="1">
      <pivotArea type="data" outline="0" fieldPosition="0">
        <references count="2">
          <reference field="4294967294" count="1" selected="0">
            <x v="0"/>
          </reference>
          <reference field="6" count="1" selected="0">
            <x v="0"/>
          </reference>
        </references>
      </pivotArea>
    </chartFormat>
    <chartFormat chart="19" format="16" series="1">
      <pivotArea type="data" outline="0" fieldPosition="0">
        <references count="2">
          <reference field="4294967294" count="1" selected="0">
            <x v="0"/>
          </reference>
          <reference field="6" count="1" selected="0">
            <x v="1"/>
          </reference>
        </references>
      </pivotArea>
    </chartFormat>
    <chartFormat chart="19" format="17" series="1">
      <pivotArea type="data" outline="0" fieldPosition="0">
        <references count="2">
          <reference field="4294967294" count="1" selected="0">
            <x v="0"/>
          </reference>
          <reference field="6" count="1" selected="0">
            <x v="2"/>
          </reference>
        </references>
      </pivotArea>
    </chartFormat>
    <chartFormat chart="19" format="18" series="1">
      <pivotArea type="data" outline="0" fieldPosition="0">
        <references count="2">
          <reference field="4294967294" count="1" selected="0">
            <x v="0"/>
          </reference>
          <reference field="6" count="1" selected="0">
            <x v="3"/>
          </reference>
        </references>
      </pivotArea>
    </chartFormat>
    <chartFormat chart="19" format="19" series="1">
      <pivotArea type="data" outline="0" fieldPosition="0">
        <references count="2">
          <reference field="4294967294" count="1" selected="0">
            <x v="0"/>
          </reference>
          <reference field="6" count="1" selected="0">
            <x v="4"/>
          </reference>
        </references>
      </pivotArea>
    </chartFormat>
    <chartFormat chart="19" format="20" series="1">
      <pivotArea type="data" outline="0" fieldPosition="0">
        <references count="2">
          <reference field="4294967294" count="1" selected="0">
            <x v="0"/>
          </reference>
          <reference field="6" count="1" selected="0">
            <x v="5"/>
          </reference>
        </references>
      </pivotArea>
    </chartFormat>
    <chartFormat chart="19" format="21" series="1">
      <pivotArea type="data" outline="0" fieldPosition="0">
        <references count="2">
          <reference field="4294967294" count="1" selected="0">
            <x v="0"/>
          </reference>
          <reference field="6" count="1" selected="0">
            <x v="6"/>
          </reference>
        </references>
      </pivotArea>
    </chartFormat>
    <chartFormat chart="19" format="22" series="1">
      <pivotArea type="data" outline="0" fieldPosition="0">
        <references count="2">
          <reference field="4294967294" count="1" selected="0">
            <x v="0"/>
          </reference>
          <reference field="6" count="1" selected="0">
            <x v="7"/>
          </reference>
        </references>
      </pivotArea>
    </chartFormat>
    <chartFormat chart="20" format="23" series="1">
      <pivotArea type="data" outline="0" fieldPosition="0">
        <references count="2">
          <reference field="4294967294" count="1" selected="0">
            <x v="0"/>
          </reference>
          <reference field="6" count="1" selected="0">
            <x v="0"/>
          </reference>
        </references>
      </pivotArea>
    </chartFormat>
    <chartFormat chart="20" format="24" series="1">
      <pivotArea type="data" outline="0" fieldPosition="0">
        <references count="2">
          <reference field="4294967294" count="1" selected="0">
            <x v="0"/>
          </reference>
          <reference field="6" count="1" selected="0">
            <x v="1"/>
          </reference>
        </references>
      </pivotArea>
    </chartFormat>
    <chartFormat chart="20" format="25" series="1">
      <pivotArea type="data" outline="0" fieldPosition="0">
        <references count="2">
          <reference field="4294967294" count="1" selected="0">
            <x v="0"/>
          </reference>
          <reference field="6" count="1" selected="0">
            <x v="2"/>
          </reference>
        </references>
      </pivotArea>
    </chartFormat>
    <chartFormat chart="20" format="26" series="1">
      <pivotArea type="data" outline="0" fieldPosition="0">
        <references count="2">
          <reference field="4294967294" count="1" selected="0">
            <x v="0"/>
          </reference>
          <reference field="6" count="1" selected="0">
            <x v="3"/>
          </reference>
        </references>
      </pivotArea>
    </chartFormat>
    <chartFormat chart="20" format="27" series="1">
      <pivotArea type="data" outline="0" fieldPosition="0">
        <references count="2">
          <reference field="4294967294" count="1" selected="0">
            <x v="0"/>
          </reference>
          <reference field="6" count="1" selected="0">
            <x v="4"/>
          </reference>
        </references>
      </pivotArea>
    </chartFormat>
    <chartFormat chart="20" format="28" series="1">
      <pivotArea type="data" outline="0" fieldPosition="0">
        <references count="2">
          <reference field="4294967294" count="1" selected="0">
            <x v="0"/>
          </reference>
          <reference field="6" count="1" selected="0">
            <x v="5"/>
          </reference>
        </references>
      </pivotArea>
    </chartFormat>
    <chartFormat chart="20" format="29" series="1">
      <pivotArea type="data" outline="0" fieldPosition="0">
        <references count="2">
          <reference field="4294967294" count="1" selected="0">
            <x v="0"/>
          </reference>
          <reference field="6" count="1" selected="0">
            <x v="6"/>
          </reference>
        </references>
      </pivotArea>
    </chartFormat>
    <chartFormat chart="20" format="30" series="1">
      <pivotArea type="data" outline="0" fieldPosition="0">
        <references count="2">
          <reference field="4294967294" count="1" selected="0">
            <x v="0"/>
          </reference>
          <reference field="6" count="1" selected="0">
            <x v="7"/>
          </reference>
        </references>
      </pivotArea>
    </chartFormat>
    <chartFormat chart="16" format="15" series="1">
      <pivotArea type="data" outline="0" fieldPosition="0">
        <references count="2">
          <reference field="4294967294" count="1" selected="0">
            <x v="0"/>
          </reference>
          <reference field="6" count="1" selected="0">
            <x v="0"/>
          </reference>
        </references>
      </pivotArea>
    </chartFormat>
    <chartFormat chart="16" format="16" series="1">
      <pivotArea type="data" outline="0" fieldPosition="0">
        <references count="2">
          <reference field="4294967294" count="1" selected="0">
            <x v="0"/>
          </reference>
          <reference field="6" count="1" selected="0">
            <x v="1"/>
          </reference>
        </references>
      </pivotArea>
    </chartFormat>
    <chartFormat chart="16" format="17" series="1">
      <pivotArea type="data" outline="0" fieldPosition="0">
        <references count="2">
          <reference field="4294967294" count="1" selected="0">
            <x v="0"/>
          </reference>
          <reference field="6" count="1" selected="0">
            <x v="2"/>
          </reference>
        </references>
      </pivotArea>
    </chartFormat>
    <chartFormat chart="16" format="18" series="1">
      <pivotArea type="data" outline="0" fieldPosition="0">
        <references count="2">
          <reference field="4294967294" count="1" selected="0">
            <x v="0"/>
          </reference>
          <reference field="6" count="1" selected="0">
            <x v="3"/>
          </reference>
        </references>
      </pivotArea>
    </chartFormat>
    <chartFormat chart="16" format="19" series="1">
      <pivotArea type="data" outline="0" fieldPosition="0">
        <references count="2">
          <reference field="4294967294" count="1" selected="0">
            <x v="0"/>
          </reference>
          <reference field="6" count="1" selected="0">
            <x v="4"/>
          </reference>
        </references>
      </pivotArea>
    </chartFormat>
    <chartFormat chart="16" format="20" series="1">
      <pivotArea type="data" outline="0" fieldPosition="0">
        <references count="2">
          <reference field="4294967294" count="1" selected="0">
            <x v="0"/>
          </reference>
          <reference field="6" count="1" selected="0">
            <x v="5"/>
          </reference>
        </references>
      </pivotArea>
    </chartFormat>
    <chartFormat chart="16" format="21" series="1">
      <pivotArea type="data" outline="0" fieldPosition="0">
        <references count="2">
          <reference field="4294967294" count="1" selected="0">
            <x v="0"/>
          </reference>
          <reference field="6" count="1" selected="0">
            <x v="6"/>
          </reference>
        </references>
      </pivotArea>
    </chartFormat>
    <chartFormat chart="16" format="22" series="1">
      <pivotArea type="data" outline="0" fieldPosition="0">
        <references count="2">
          <reference field="4294967294" count="1" selected="0">
            <x v="0"/>
          </reference>
          <reference field="6"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top 5 categorie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A67:B73" firstHeaderRow="1" firstDataRow="1" firstDataCol="1"/>
  <pivotFields count="20">
    <pivotField showAll="0" defaultSubtotal="0"/>
    <pivotField showAll="0"/>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pivotField showAll="0">
      <items count="6">
        <item x="1"/>
        <item x="0"/>
        <item x="3"/>
        <item x="2"/>
        <item x="4"/>
        <item t="default"/>
      </items>
    </pivotField>
    <pivotField showAll="0">
      <items count="8">
        <item x="4"/>
        <item x="1"/>
        <item x="0"/>
        <item x="6"/>
        <item x="5"/>
        <item x="3"/>
        <item x="2"/>
        <item t="default"/>
      </items>
    </pivotField>
    <pivotField showAll="0">
      <items count="9">
        <item x="5"/>
        <item x="2"/>
        <item x="6"/>
        <item x="1"/>
        <item x="0"/>
        <item x="4"/>
        <item x="7"/>
        <item x="3"/>
        <item t="default"/>
      </items>
    </pivotField>
    <pivotField showAll="0">
      <items count="6">
        <item x="1"/>
        <item x="2"/>
        <item x="3"/>
        <item x="0"/>
        <item x="4"/>
        <item t="default"/>
      </items>
    </pivotField>
    <pivotField axis="axisRow" showAll="0" measureFilter="1" sortType="ascending">
      <items count="10">
        <item x="8"/>
        <item x="6"/>
        <item x="7"/>
        <item x="3"/>
        <item x="1"/>
        <item x="2"/>
        <item x="0"/>
        <item x="5"/>
        <item x="4"/>
        <item t="default"/>
      </items>
      <autoSortScope>
        <pivotArea dataOnly="0" outline="0" fieldPosition="0">
          <references count="1">
            <reference field="4294967294" count="1" selected="0">
              <x v="0"/>
            </reference>
          </references>
        </pivotArea>
      </autoSortScope>
    </pivotField>
    <pivotField dataField="1" showAll="0"/>
    <pivotField showAll="0">
      <items count="6">
        <item x="1"/>
        <item x="4"/>
        <item x="3"/>
        <item x="2"/>
        <item x="0"/>
        <item t="default"/>
      </items>
    </pivotField>
    <pivotField showAll="0">
      <items count="32">
        <item x="22"/>
        <item x="29"/>
        <item x="20"/>
        <item x="5"/>
        <item x="15"/>
        <item x="10"/>
        <item x="8"/>
        <item x="28"/>
        <item x="23"/>
        <item x="16"/>
        <item x="2"/>
        <item x="11"/>
        <item x="24"/>
        <item x="3"/>
        <item x="18"/>
        <item x="25"/>
        <item x="19"/>
        <item x="13"/>
        <item x="26"/>
        <item x="4"/>
        <item x="14"/>
        <item x="0"/>
        <item x="17"/>
        <item x="21"/>
        <item x="1"/>
        <item x="6"/>
        <item x="12"/>
        <item x="27"/>
        <item x="7"/>
        <item x="9"/>
        <item x="30"/>
        <item t="default"/>
      </items>
    </pivotField>
    <pivotField showAll="0"/>
    <pivotField showAll="0">
      <items count="4">
        <item x="0"/>
        <item x="1"/>
        <item x="2"/>
        <item t="default"/>
      </items>
    </pivotField>
    <pivotField showAll="0"/>
    <pivotField showAll="0"/>
    <pivotField showAll="0">
      <items count="3">
        <item x="0"/>
        <item x="1"/>
        <item t="default"/>
      </items>
    </pivotField>
    <pivotField showAll="0">
      <items count="13">
        <item x="6"/>
        <item x="2"/>
        <item x="8"/>
        <item x="10"/>
        <item x="3"/>
        <item x="1"/>
        <item x="5"/>
        <item x="9"/>
        <item x="11"/>
        <item x="7"/>
        <item x="0"/>
        <item x="4"/>
        <item t="default"/>
      </items>
    </pivotField>
    <pivotField showAll="0" defaultSubtotal="0">
      <items count="1">
        <item x="0"/>
      </items>
    </pivotField>
    <pivotField dragToRow="0" dragToCol="0" dragToPage="0" showAll="0" defaultSubtotal="0"/>
  </pivotFields>
  <rowFields count="1">
    <field x="8"/>
  </rowFields>
  <rowItems count="6">
    <i>
      <x v="7"/>
    </i>
    <i>
      <x v="1"/>
    </i>
    <i>
      <x/>
    </i>
    <i>
      <x v="3"/>
    </i>
    <i>
      <x v="6"/>
    </i>
    <i t="grand">
      <x/>
    </i>
  </rowItems>
  <colItems count="1">
    <i/>
  </colItems>
  <dataFields count="1">
    <dataField name="Sum of Sales" fld="9" baseField="0"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8" count="1" selected="0">
            <x v="7"/>
          </reference>
        </references>
      </pivotArea>
    </chartFormat>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Average of ShippingDays regi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2">
  <location ref="A100:B106" firstHeaderRow="1" firstDataRow="1" firstDataCol="1"/>
  <pivotFields count="20">
    <pivotField showAll="0" defaultSubtotal="0"/>
    <pivotField showAll="0"/>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pivotField axis="axisRow" showAll="0">
      <items count="6">
        <item x="1"/>
        <item x="0"/>
        <item x="3"/>
        <item x="2"/>
        <item x="4"/>
        <item t="default"/>
      </items>
    </pivotField>
    <pivotField showAll="0"/>
    <pivotField showAll="0"/>
    <pivotField showAll="0">
      <items count="6">
        <item x="1"/>
        <item x="2"/>
        <item x="3"/>
        <item x="0"/>
        <item x="4"/>
        <item t="default"/>
      </items>
    </pivotField>
    <pivotField showAll="0">
      <items count="10">
        <item x="8"/>
        <item x="6"/>
        <item x="7"/>
        <item x="3"/>
        <item x="1"/>
        <item x="2"/>
        <item x="0"/>
        <item x="5"/>
        <item x="4"/>
        <item t="default"/>
      </items>
    </pivotField>
    <pivotField showAll="0"/>
    <pivotField showAll="0">
      <items count="6">
        <item x="1"/>
        <item x="4"/>
        <item x="3"/>
        <item x="2"/>
        <item x="0"/>
        <item t="default"/>
      </items>
    </pivotField>
    <pivotField showAll="0">
      <items count="32">
        <item x="22"/>
        <item x="29"/>
        <item x="20"/>
        <item x="5"/>
        <item x="15"/>
        <item x="10"/>
        <item x="8"/>
        <item x="28"/>
        <item x="23"/>
        <item x="16"/>
        <item x="2"/>
        <item x="11"/>
        <item x="24"/>
        <item x="3"/>
        <item x="18"/>
        <item x="25"/>
        <item x="19"/>
        <item x="13"/>
        <item x="26"/>
        <item x="4"/>
        <item x="14"/>
        <item x="0"/>
        <item x="17"/>
        <item x="21"/>
        <item x="1"/>
        <item x="6"/>
        <item x="12"/>
        <item x="27"/>
        <item x="7"/>
        <item x="9"/>
        <item x="30"/>
        <item t="default"/>
      </items>
    </pivotField>
    <pivotField showAll="0"/>
    <pivotField showAll="0">
      <items count="4">
        <item x="0"/>
        <item x="1"/>
        <item x="2"/>
        <item t="default"/>
      </items>
    </pivotField>
    <pivotField showAll="0"/>
    <pivotField dataField="1" showAll="0"/>
    <pivotField showAll="0">
      <items count="3">
        <item x="0"/>
        <item x="1"/>
        <item t="default"/>
      </items>
    </pivotField>
    <pivotField showAll="0">
      <items count="13">
        <item x="6"/>
        <item x="2"/>
        <item x="8"/>
        <item x="10"/>
        <item x="3"/>
        <item x="1"/>
        <item x="5"/>
        <item x="9"/>
        <item x="11"/>
        <item x="7"/>
        <item x="0"/>
        <item x="4"/>
        <item t="default"/>
      </items>
    </pivotField>
    <pivotField showAll="0" defaultSubtotal="0">
      <items count="1">
        <item x="0"/>
      </items>
    </pivotField>
    <pivotField dragToRow="0" dragToCol="0" dragToPage="0" showAll="0" defaultSubtotal="0"/>
  </pivotFields>
  <rowFields count="1">
    <field x="4"/>
  </rowFields>
  <rowItems count="6">
    <i>
      <x/>
    </i>
    <i>
      <x v="1"/>
    </i>
    <i>
      <x v="2"/>
    </i>
    <i>
      <x v="3"/>
    </i>
    <i>
      <x v="4"/>
    </i>
    <i t="grand">
      <x/>
    </i>
  </rowItems>
  <colItems count="1">
    <i/>
  </colItems>
  <dataFields count="1">
    <dataField name="Average of ShippingDays" fld="15" subtotal="average" baseField="4" baseItem="0" numFmtId="2"/>
  </dataFields>
  <formats count="9">
    <format dxfId="27">
      <pivotArea outline="0" collapsedLevelsAreSubtotals="1" fieldPosition="0"/>
    </format>
    <format dxfId="26">
      <pivotArea outline="0" collapsedLevelsAreSubtotals="1" fieldPosition="0"/>
    </format>
    <format dxfId="25">
      <pivotArea outline="0" collapsedLevelsAreSubtotals="1" fieldPosition="0"/>
    </format>
    <format dxfId="24">
      <pivotArea outline="0" collapsedLevelsAreSubtotals="1" fieldPosition="0"/>
    </format>
    <format dxfId="23">
      <pivotArea outline="0" collapsedLevelsAreSubtotals="1" fieldPosition="0"/>
    </format>
    <format dxfId="22">
      <pivotArea outline="0" collapsedLevelsAreSubtotals="1" fieldPosition="0"/>
    </format>
    <format dxfId="21">
      <pivotArea outline="0" collapsedLevelsAreSubtotals="1" fieldPosition="0"/>
    </format>
    <format dxfId="20">
      <pivotArea outline="0" collapsedLevelsAreSubtotals="1" fieldPosition="0"/>
    </format>
    <format dxfId="19">
      <pivotArea outline="0" collapsedLevelsAreSubtotals="1" fieldPosition="0"/>
    </format>
  </formats>
  <chartFormats count="2">
    <chartFormat chart="11"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city avg shipping day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3">
  <location ref="AK101:AM110" firstHeaderRow="0" firstDataRow="1" firstDataCol="1"/>
  <pivotFields count="20">
    <pivotField showAll="0" defaultSubtotal="0"/>
    <pivotField showAll="0"/>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pivotField showAll="0">
      <items count="6">
        <item x="1"/>
        <item x="0"/>
        <item x="3"/>
        <item x="2"/>
        <item x="4"/>
        <item t="default"/>
      </items>
    </pivotField>
    <pivotField showAll="0">
      <items count="8">
        <item x="4"/>
        <item x="1"/>
        <item x="0"/>
        <item x="6"/>
        <item x="5"/>
        <item x="3"/>
        <item x="2"/>
        <item t="default"/>
      </items>
    </pivotField>
    <pivotField axis="axisRow" showAll="0">
      <items count="9">
        <item x="5"/>
        <item x="2"/>
        <item x="6"/>
        <item x="1"/>
        <item x="0"/>
        <item x="4"/>
        <item x="7"/>
        <item x="3"/>
        <item t="default"/>
      </items>
    </pivotField>
    <pivotField showAll="0">
      <items count="6">
        <item x="1"/>
        <item x="2"/>
        <item x="3"/>
        <item x="0"/>
        <item x="4"/>
        <item t="default"/>
      </items>
    </pivotField>
    <pivotField showAll="0">
      <items count="10">
        <item x="8"/>
        <item x="6"/>
        <item x="7"/>
        <item x="3"/>
        <item x="1"/>
        <item x="2"/>
        <item x="0"/>
        <item x="5"/>
        <item x="4"/>
        <item t="default"/>
      </items>
    </pivotField>
    <pivotField dataField="1" showAll="0">
      <items count="1000">
        <item x="86"/>
        <item x="38"/>
        <item x="196"/>
        <item x="328"/>
        <item x="489"/>
        <item x="876"/>
        <item x="566"/>
        <item x="227"/>
        <item x="339"/>
        <item x="879"/>
        <item x="102"/>
        <item x="885"/>
        <item x="702"/>
        <item x="695"/>
        <item x="500"/>
        <item x="586"/>
        <item x="63"/>
        <item x="150"/>
        <item x="282"/>
        <item x="533"/>
        <item x="946"/>
        <item x="737"/>
        <item x="949"/>
        <item x="58"/>
        <item x="752"/>
        <item x="351"/>
        <item x="383"/>
        <item x="904"/>
        <item x="988"/>
        <item x="616"/>
        <item x="827"/>
        <item x="680"/>
        <item x="250"/>
        <item x="101"/>
        <item x="149"/>
        <item x="625"/>
        <item x="66"/>
        <item x="933"/>
        <item x="889"/>
        <item x="901"/>
        <item x="376"/>
        <item x="924"/>
        <item x="866"/>
        <item x="224"/>
        <item x="860"/>
        <item x="348"/>
        <item x="997"/>
        <item x="921"/>
        <item x="432"/>
        <item x="300"/>
        <item x="112"/>
        <item x="648"/>
        <item x="175"/>
        <item x="243"/>
        <item x="959"/>
        <item x="504"/>
        <item x="637"/>
        <item x="209"/>
        <item x="393"/>
        <item x="13"/>
        <item x="897"/>
        <item x="511"/>
        <item x="816"/>
        <item x="132"/>
        <item x="232"/>
        <item x="368"/>
        <item x="296"/>
        <item x="449"/>
        <item x="741"/>
        <item x="581"/>
        <item x="133"/>
        <item x="612"/>
        <item x="332"/>
        <item x="146"/>
        <item x="525"/>
        <item x="813"/>
        <item x="392"/>
        <item x="769"/>
        <item x="155"/>
        <item x="115"/>
        <item x="517"/>
        <item x="482"/>
        <item x="571"/>
        <item x="21"/>
        <item x="70"/>
        <item x="152"/>
        <item x="880"/>
        <item x="419"/>
        <item x="445"/>
        <item x="905"/>
        <item x="766"/>
        <item x="727"/>
        <item x="34"/>
        <item x="44"/>
        <item x="397"/>
        <item x="139"/>
        <item x="248"/>
        <item x="978"/>
        <item x="363"/>
        <item x="646"/>
        <item x="273"/>
        <item x="730"/>
        <item x="448"/>
        <item x="417"/>
        <item x="76"/>
        <item x="471"/>
        <item x="114"/>
        <item x="577"/>
        <item x="91"/>
        <item x="470"/>
        <item x="965"/>
        <item x="495"/>
        <item x="119"/>
        <item x="285"/>
        <item x="36"/>
        <item x="858"/>
        <item x="431"/>
        <item x="718"/>
        <item x="279"/>
        <item x="747"/>
        <item x="27"/>
        <item x="745"/>
        <item x="229"/>
        <item x="649"/>
        <item x="502"/>
        <item x="613"/>
        <item x="540"/>
        <item x="323"/>
        <item x="600"/>
        <item x="733"/>
        <item x="247"/>
        <item x="716"/>
        <item x="280"/>
        <item x="193"/>
        <item x="487"/>
        <item x="46"/>
        <item x="151"/>
        <item x="316"/>
        <item x="753"/>
        <item x="287"/>
        <item x="683"/>
        <item x="945"/>
        <item x="354"/>
        <item x="416"/>
        <item x="186"/>
        <item x="153"/>
        <item x="725"/>
        <item x="130"/>
        <item x="900"/>
        <item x="654"/>
        <item x="802"/>
        <item x="468"/>
        <item x="42"/>
        <item x="941"/>
        <item x="653"/>
        <item x="298"/>
        <item x="503"/>
        <item x="812"/>
        <item x="562"/>
        <item x="846"/>
        <item x="749"/>
        <item x="335"/>
        <item x="136"/>
        <item x="145"/>
        <item x="140"/>
        <item x="331"/>
        <item x="25"/>
        <item x="396"/>
        <item x="829"/>
        <item x="907"/>
        <item x="485"/>
        <item x="954"/>
        <item x="346"/>
        <item x="647"/>
        <item x="295"/>
        <item x="611"/>
        <item x="0"/>
        <item x="729"/>
        <item x="203"/>
        <item x="831"/>
        <item x="521"/>
        <item x="597"/>
        <item x="291"/>
        <item x="123"/>
        <item x="182"/>
        <item x="423"/>
        <item x="110"/>
        <item x="479"/>
        <item x="31"/>
        <item x="49"/>
        <item x="932"/>
        <item x="714"/>
        <item x="830"/>
        <item x="956"/>
        <item x="192"/>
        <item x="947"/>
        <item x="158"/>
        <item x="466"/>
        <item x="386"/>
        <item x="912"/>
        <item x="337"/>
        <item x="178"/>
        <item x="168"/>
        <item x="626"/>
        <item x="894"/>
        <item x="118"/>
        <item x="43"/>
        <item x="721"/>
        <item x="138"/>
        <item x="127"/>
        <item x="199"/>
        <item x="191"/>
        <item x="378"/>
        <item x="271"/>
        <item x="757"/>
        <item x="580"/>
        <item x="382"/>
        <item x="575"/>
        <item x="506"/>
        <item x="739"/>
        <item x="859"/>
        <item x="689"/>
        <item x="568"/>
        <item x="724"/>
        <item x="106"/>
        <item x="534"/>
        <item x="795"/>
        <item x="585"/>
        <item x="985"/>
        <item x="786"/>
        <item x="55"/>
        <item x="661"/>
        <item x="498"/>
        <item x="526"/>
        <item x="955"/>
        <item x="842"/>
        <item x="515"/>
        <item x="531"/>
        <item x="670"/>
        <item x="523"/>
        <item x="195"/>
        <item x="687"/>
        <item x="735"/>
        <item x="761"/>
        <item x="258"/>
        <item x="923"/>
        <item x="444"/>
        <item x="926"/>
        <item x="925"/>
        <item x="26"/>
        <item x="435"/>
        <item x="473"/>
        <item x="582"/>
        <item x="84"/>
        <item x="412"/>
        <item x="180"/>
        <item x="222"/>
        <item x="172"/>
        <item x="421"/>
        <item x="726"/>
        <item x="90"/>
        <item x="762"/>
        <item x="379"/>
        <item x="491"/>
        <item x="309"/>
        <item x="983"/>
        <item x="824"/>
        <item x="884"/>
        <item x="688"/>
        <item x="162"/>
        <item x="592"/>
        <item x="697"/>
        <item x="96"/>
        <item x="822"/>
        <item x="52"/>
        <item x="519"/>
        <item x="389"/>
        <item x="760"/>
        <item x="629"/>
        <item x="304"/>
        <item x="233"/>
        <item x="143"/>
        <item x="532"/>
        <item x="319"/>
        <item x="292"/>
        <item x="690"/>
        <item x="801"/>
        <item x="343"/>
        <item x="911"/>
        <item x="270"/>
        <item x="711"/>
        <item x="836"/>
        <item x="255"/>
        <item x="963"/>
        <item x="424"/>
        <item x="329"/>
        <item x="365"/>
        <item x="59"/>
        <item x="225"/>
        <item x="754"/>
        <item x="154"/>
        <item x="47"/>
        <item x="972"/>
        <item x="817"/>
        <item x="484"/>
        <item x="294"/>
        <item x="820"/>
        <item x="8"/>
        <item x="940"/>
        <item x="486"/>
        <item x="278"/>
        <item x="60"/>
        <item x="238"/>
        <item x="488"/>
        <item x="381"/>
        <item x="719"/>
        <item x="458"/>
        <item x="707"/>
        <item x="986"/>
        <item x="200"/>
        <item x="242"/>
        <item x="505"/>
        <item x="663"/>
        <item x="767"/>
        <item x="453"/>
        <item x="723"/>
        <item x="797"/>
        <item x="528"/>
        <item x="310"/>
        <item x="387"/>
        <item x="892"/>
        <item x="318"/>
        <item x="630"/>
        <item x="559"/>
        <item x="83"/>
        <item x="869"/>
        <item x="705"/>
        <item x="984"/>
        <item x="259"/>
        <item x="15"/>
        <item x="481"/>
        <item x="429"/>
        <item x="456"/>
        <item x="269"/>
        <item x="29"/>
        <item x="973"/>
        <item x="176"/>
        <item x="187"/>
        <item x="764"/>
        <item x="989"/>
        <item x="121"/>
        <item x="656"/>
        <item x="514"/>
        <item x="98"/>
        <item x="37"/>
        <item x="583"/>
        <item x="748"/>
        <item x="635"/>
        <item x="594"/>
        <item x="851"/>
        <item x="622"/>
        <item x="312"/>
        <item x="845"/>
        <item x="699"/>
        <item x="171"/>
        <item x="50"/>
        <item x="550"/>
        <item x="170"/>
        <item x="474"/>
        <item x="589"/>
        <item x="643"/>
        <item x="164"/>
        <item x="425"/>
        <item x="633"/>
        <item x="872"/>
        <item x="240"/>
        <item x="662"/>
        <item x="358"/>
        <item x="732"/>
        <item x="499"/>
        <item x="299"/>
        <item x="437"/>
        <item x="72"/>
        <item x="181"/>
        <item x="35"/>
        <item x="205"/>
        <item x="462"/>
        <item x="260"/>
        <item x="896"/>
        <item x="551"/>
        <item x="539"/>
        <item x="835"/>
        <item x="438"/>
        <item x="394"/>
        <item x="659"/>
        <item x="370"/>
        <item x="861"/>
        <item x="509"/>
        <item x="881"/>
        <item x="709"/>
        <item x="141"/>
        <item x="701"/>
        <item x="235"/>
        <item x="336"/>
        <item x="100"/>
        <item x="838"/>
        <item x="776"/>
        <item x="614"/>
        <item x="169"/>
        <item x="122"/>
        <item x="125"/>
        <item x="803"/>
        <item x="774"/>
        <item x="898"/>
        <item x="74"/>
        <item x="120"/>
        <item x="952"/>
        <item x="931"/>
        <item x="33"/>
        <item x="798"/>
        <item x="815"/>
        <item x="326"/>
        <item x="67"/>
        <item x="634"/>
        <item x="564"/>
        <item x="833"/>
        <item x="673"/>
        <item x="632"/>
        <item x="512"/>
        <item x="640"/>
        <item x="268"/>
        <item x="85"/>
        <item x="188"/>
        <item x="909"/>
        <item x="364"/>
        <item x="1"/>
        <item x="78"/>
        <item x="570"/>
        <item x="81"/>
        <item x="341"/>
        <item x="79"/>
        <item x="22"/>
        <item x="373"/>
        <item x="497"/>
        <item x="682"/>
        <item x="210"/>
        <item x="426"/>
        <item x="856"/>
        <item x="549"/>
        <item x="201"/>
        <item x="41"/>
        <item x="5"/>
        <item x="45"/>
        <item x="639"/>
        <item x="61"/>
        <item x="253"/>
        <item x="672"/>
        <item x="64"/>
        <item x="56"/>
        <item x="459"/>
        <item x="411"/>
        <item x="538"/>
        <item x="572"/>
        <item x="344"/>
        <item x="65"/>
        <item x="179"/>
        <item x="95"/>
        <item x="226"/>
        <item x="758"/>
        <item x="883"/>
        <item x="650"/>
        <item x="669"/>
        <item x="236"/>
        <item x="967"/>
        <item x="69"/>
        <item x="609"/>
        <item x="413"/>
        <item x="314"/>
        <item x="606"/>
        <item x="929"/>
        <item x="809"/>
        <item x="976"/>
        <item x="131"/>
        <item x="404"/>
        <item x="631"/>
        <item x="541"/>
        <item x="987"/>
        <item x="12"/>
        <item x="439"/>
        <item x="961"/>
        <item x="442"/>
        <item x="544"/>
        <item x="62"/>
        <item x="217"/>
        <item x="943"/>
        <item x="821"/>
        <item x="407"/>
        <item x="887"/>
        <item x="68"/>
        <item x="159"/>
        <item x="430"/>
        <item x="443"/>
        <item x="342"/>
        <item x="938"/>
        <item x="665"/>
        <item x="703"/>
        <item x="340"/>
        <item x="103"/>
        <item x="89"/>
        <item x="862"/>
        <item x="23"/>
        <item x="338"/>
        <item x="410"/>
        <item x="555"/>
        <item x="902"/>
        <item x="908"/>
        <item x="446"/>
        <item x="644"/>
        <item x="352"/>
        <item x="406"/>
        <item x="772"/>
        <item x="246"/>
        <item x="942"/>
        <item x="787"/>
        <item x="939"/>
        <item x="664"/>
        <item x="603"/>
        <item x="746"/>
        <item x="104"/>
        <item x="395"/>
        <item x="715"/>
        <item x="850"/>
        <item x="708"/>
        <item x="789"/>
        <item x="105"/>
        <item x="464"/>
        <item x="857"/>
        <item x="20"/>
        <item x="414"/>
        <item x="359"/>
        <item x="334"/>
        <item x="888"/>
        <item x="455"/>
        <item x="211"/>
        <item x="895"/>
        <item x="806"/>
        <item x="234"/>
        <item x="321"/>
        <item x="693"/>
        <item x="843"/>
        <item x="409"/>
        <item x="228"/>
        <item x="450"/>
        <item x="189"/>
        <item x="915"/>
        <item x="712"/>
        <item x="109"/>
        <item x="679"/>
        <item x="451"/>
        <item x="374"/>
        <item x="675"/>
        <item x="713"/>
        <item x="981"/>
        <item x="507"/>
        <item x="660"/>
        <item x="345"/>
        <item x="740"/>
        <item x="791"/>
        <item x="964"/>
        <item x="366"/>
        <item x="576"/>
        <item x="369"/>
        <item x="652"/>
        <item x="579"/>
        <item x="561"/>
        <item x="785"/>
        <item x="261"/>
        <item x="691"/>
        <item x="992"/>
        <item x="971"/>
        <item x="156"/>
        <item x="828"/>
        <item x="447"/>
        <item x="598"/>
        <item x="848"/>
        <item x="605"/>
        <item x="855"/>
        <item x="847"/>
        <item x="97"/>
        <item x="174"/>
        <item x="391"/>
        <item x="212"/>
        <item x="804"/>
        <item x="71"/>
        <item x="6"/>
        <item x="722"/>
        <item x="4"/>
        <item x="944"/>
        <item x="463"/>
        <item x="493"/>
        <item x="968"/>
        <item x="974"/>
        <item x="685"/>
        <item x="993"/>
        <item x="962"/>
        <item x="893"/>
        <item x="878"/>
        <item x="223"/>
        <item x="281"/>
        <item x="230"/>
        <item x="216"/>
        <item x="696"/>
        <item x="950"/>
        <item x="590"/>
        <item x="117"/>
        <item x="390"/>
        <item x="567"/>
        <item x="618"/>
        <item x="773"/>
        <item x="166"/>
        <item x="290"/>
        <item x="277"/>
        <item x="288"/>
        <item x="220"/>
        <item x="922"/>
        <item x="578"/>
        <item x="75"/>
        <item x="553"/>
        <item x="231"/>
        <item x="401"/>
        <item x="516"/>
        <item x="998"/>
        <item x="529"/>
        <item x="738"/>
        <item x="434"/>
        <item x="441"/>
        <item x="478"/>
        <item x="666"/>
        <item x="877"/>
        <item x="239"/>
        <item x="849"/>
        <item x="347"/>
        <item x="658"/>
        <item x="134"/>
        <item x="807"/>
        <item x="92"/>
        <item x="420"/>
        <item x="11"/>
        <item x="537"/>
        <item x="330"/>
        <item x="88"/>
        <item x="615"/>
        <item x="837"/>
        <item x="970"/>
        <item x="520"/>
        <item x="642"/>
        <item x="750"/>
        <item x="975"/>
        <item x="190"/>
        <item x="790"/>
        <item x="556"/>
        <item x="30"/>
        <item x="599"/>
        <item x="305"/>
        <item x="841"/>
        <item x="204"/>
        <item x="124"/>
        <item x="371"/>
        <item x="208"/>
        <item x="167"/>
        <item x="40"/>
        <item x="116"/>
        <item x="360"/>
        <item x="496"/>
        <item x="948"/>
        <item x="994"/>
        <item x="302"/>
        <item x="14"/>
        <item x="628"/>
        <item x="607"/>
        <item x="671"/>
        <item x="800"/>
        <item x="686"/>
        <item x="704"/>
        <item x="7"/>
        <item x="645"/>
        <item x="706"/>
        <item x="377"/>
        <item x="780"/>
        <item x="262"/>
        <item x="254"/>
        <item x="400"/>
        <item x="684"/>
        <item x="565"/>
        <item x="620"/>
        <item x="16"/>
        <item x="157"/>
        <item x="903"/>
        <item x="844"/>
        <item x="891"/>
        <item x="573"/>
        <item x="602"/>
        <item x="623"/>
        <item x="264"/>
        <item x="405"/>
        <item x="759"/>
        <item x="324"/>
        <item x="375"/>
        <item x="995"/>
        <item x="641"/>
        <item x="501"/>
        <item x="163"/>
        <item x="267"/>
        <item x="18"/>
        <item x="325"/>
        <item x="930"/>
        <item x="657"/>
        <item x="249"/>
        <item x="206"/>
        <item x="617"/>
        <item x="778"/>
        <item x="266"/>
        <item x="717"/>
        <item x="777"/>
        <item x="385"/>
        <item x="183"/>
        <item x="355"/>
        <item x="608"/>
        <item x="595"/>
        <item x="54"/>
        <item x="214"/>
        <item x="148"/>
        <item x="744"/>
        <item x="207"/>
        <item x="82"/>
        <item x="452"/>
        <item x="402"/>
        <item x="808"/>
        <item x="874"/>
        <item x="918"/>
        <item x="327"/>
        <item x="731"/>
        <item x="927"/>
        <item x="783"/>
        <item x="349"/>
        <item x="865"/>
        <item x="137"/>
        <item x="173"/>
        <item x="552"/>
        <item x="819"/>
        <item x="826"/>
        <item x="185"/>
        <item x="814"/>
        <item x="160"/>
        <item x="796"/>
        <item x="720"/>
        <item x="818"/>
        <item x="284"/>
        <item x="751"/>
        <item x="548"/>
        <item x="554"/>
        <item x="990"/>
        <item x="465"/>
        <item x="655"/>
        <item x="80"/>
        <item x="457"/>
        <item x="283"/>
        <item x="951"/>
        <item x="494"/>
        <item x="920"/>
        <item x="588"/>
        <item x="839"/>
        <item x="518"/>
        <item x="53"/>
        <item x="676"/>
        <item x="936"/>
        <item x="871"/>
        <item x="545"/>
        <item x="811"/>
        <item x="276"/>
        <item x="483"/>
        <item x="28"/>
        <item x="919"/>
        <item x="805"/>
        <item x="854"/>
        <item x="508"/>
        <item x="710"/>
        <item x="99"/>
        <item x="356"/>
        <item x="563"/>
        <item x="694"/>
        <item x="527"/>
        <item x="937"/>
        <item x="692"/>
        <item x="782"/>
        <item x="763"/>
        <item x="184"/>
        <item x="197"/>
        <item x="756"/>
        <item x="202"/>
        <item x="361"/>
        <item x="428"/>
        <item x="108"/>
        <item x="982"/>
        <item x="272"/>
        <item x="317"/>
        <item x="779"/>
        <item x="784"/>
        <item x="960"/>
        <item x="177"/>
        <item x="293"/>
        <item x="48"/>
        <item x="743"/>
        <item x="569"/>
        <item x="399"/>
        <item x="19"/>
        <item x="913"/>
        <item x="917"/>
        <item x="9"/>
        <item x="510"/>
        <item x="610"/>
        <item x="333"/>
        <item x="93"/>
        <item x="587"/>
        <item x="996"/>
        <item x="619"/>
        <item x="736"/>
        <item x="794"/>
        <item x="251"/>
        <item x="890"/>
        <item x="914"/>
        <item x="977"/>
        <item x="476"/>
        <item x="289"/>
        <item x="10"/>
        <item x="840"/>
        <item x="353"/>
        <item x="910"/>
        <item x="213"/>
        <item x="557"/>
        <item x="636"/>
        <item x="677"/>
        <item x="306"/>
        <item x="698"/>
        <item x="832"/>
        <item x="77"/>
        <item x="781"/>
        <item x="460"/>
        <item x="547"/>
        <item x="241"/>
        <item x="256"/>
        <item x="638"/>
        <item x="853"/>
        <item x="362"/>
        <item x="558"/>
        <item x="770"/>
        <item x="868"/>
        <item x="935"/>
        <item x="17"/>
        <item x="165"/>
        <item x="415"/>
        <item x="161"/>
        <item x="436"/>
        <item x="257"/>
        <item x="477"/>
        <item x="928"/>
        <item x="398"/>
        <item x="728"/>
        <item x="863"/>
        <item x="408"/>
        <item x="469"/>
        <item x="367"/>
        <item x="799"/>
        <item x="144"/>
        <item x="286"/>
        <item x="873"/>
        <item x="297"/>
        <item x="245"/>
        <item x="388"/>
        <item x="454"/>
        <item x="357"/>
        <item x="536"/>
        <item x="852"/>
        <item x="87"/>
        <item x="113"/>
        <item x="934"/>
        <item x="899"/>
        <item x="129"/>
        <item x="530"/>
        <item x="472"/>
        <item x="775"/>
        <item x="107"/>
        <item x="237"/>
        <item x="252"/>
        <item x="513"/>
        <item x="313"/>
        <item x="546"/>
        <item x="301"/>
        <item x="906"/>
        <item x="875"/>
        <item x="94"/>
        <item x="315"/>
        <item x="674"/>
        <item x="604"/>
        <item x="524"/>
        <item x="870"/>
        <item x="126"/>
        <item x="667"/>
        <item x="475"/>
        <item x="244"/>
        <item x="350"/>
        <item x="57"/>
        <item x="979"/>
        <item x="823"/>
        <item x="490"/>
        <item x="384"/>
        <item x="621"/>
        <item x="543"/>
        <item x="39"/>
        <item x="755"/>
        <item x="51"/>
        <item x="461"/>
        <item x="593"/>
        <item x="574"/>
        <item x="311"/>
        <item x="418"/>
        <item x="771"/>
        <item x="627"/>
        <item x="433"/>
        <item x="322"/>
        <item x="427"/>
        <item x="380"/>
        <item x="834"/>
        <item x="372"/>
        <item x="320"/>
        <item x="480"/>
        <item x="492"/>
        <item x="765"/>
        <item x="867"/>
        <item x="3"/>
        <item x="793"/>
        <item x="198"/>
        <item x="788"/>
        <item x="681"/>
        <item x="678"/>
        <item x="969"/>
        <item x="142"/>
        <item x="742"/>
        <item x="864"/>
        <item x="265"/>
        <item x="560"/>
        <item x="32"/>
        <item x="135"/>
        <item x="886"/>
        <item x="147"/>
        <item x="535"/>
        <item x="111"/>
        <item x="275"/>
        <item x="966"/>
        <item x="403"/>
        <item x="194"/>
        <item x="916"/>
        <item x="957"/>
        <item x="73"/>
        <item x="958"/>
        <item x="440"/>
        <item x="668"/>
        <item x="825"/>
        <item x="991"/>
        <item x="882"/>
        <item x="596"/>
        <item x="522"/>
        <item x="467"/>
        <item x="810"/>
        <item x="953"/>
        <item x="651"/>
        <item x="584"/>
        <item x="219"/>
        <item x="24"/>
        <item x="792"/>
        <item x="624"/>
        <item x="422"/>
        <item x="128"/>
        <item x="768"/>
        <item x="303"/>
        <item x="2"/>
        <item x="274"/>
        <item x="700"/>
        <item x="734"/>
        <item x="308"/>
        <item x="215"/>
        <item x="307"/>
        <item x="263"/>
        <item x="221"/>
        <item x="542"/>
        <item x="591"/>
        <item x="980"/>
        <item x="601"/>
        <item x="218"/>
        <item t="default"/>
      </items>
    </pivotField>
    <pivotField showAll="0">
      <items count="6">
        <item x="1"/>
        <item x="4"/>
        <item x="3"/>
        <item x="2"/>
        <item x="0"/>
        <item t="default"/>
      </items>
    </pivotField>
    <pivotField showAll="0">
      <items count="32">
        <item x="22"/>
        <item x="29"/>
        <item x="20"/>
        <item x="5"/>
        <item x="15"/>
        <item x="10"/>
        <item x="8"/>
        <item x="28"/>
        <item x="23"/>
        <item x="16"/>
        <item x="2"/>
        <item x="11"/>
        <item x="24"/>
        <item x="3"/>
        <item x="18"/>
        <item x="25"/>
        <item x="19"/>
        <item x="13"/>
        <item x="26"/>
        <item x="4"/>
        <item x="14"/>
        <item x="0"/>
        <item x="17"/>
        <item x="21"/>
        <item x="1"/>
        <item x="6"/>
        <item x="12"/>
        <item x="27"/>
        <item x="7"/>
        <item x="9"/>
        <item x="30"/>
        <item t="default"/>
      </items>
    </pivotField>
    <pivotField showAll="0"/>
    <pivotField showAll="0">
      <items count="4">
        <item x="0"/>
        <item x="1"/>
        <item x="2"/>
        <item t="default"/>
      </items>
    </pivotField>
    <pivotField showAll="0"/>
    <pivotField dataField="1" showAll="0"/>
    <pivotField showAll="0">
      <items count="3">
        <item x="0"/>
        <item x="1"/>
        <item t="default"/>
      </items>
    </pivotField>
    <pivotField showAll="0">
      <items count="13">
        <item x="6"/>
        <item x="2"/>
        <item x="8"/>
        <item x="10"/>
        <item x="3"/>
        <item x="1"/>
        <item x="5"/>
        <item x="9"/>
        <item x="11"/>
        <item x="7"/>
        <item x="0"/>
        <item x="4"/>
        <item t="default"/>
      </items>
    </pivotField>
    <pivotField showAll="0" defaultSubtotal="0">
      <items count="1">
        <item x="0"/>
      </items>
    </pivotField>
    <pivotField dragToRow="0" dragToCol="0" dragToPage="0" showAll="0" defaultSubtotal="0"/>
  </pivotFields>
  <rowFields count="1">
    <field x="6"/>
  </rowFields>
  <rowItems count="9">
    <i>
      <x/>
    </i>
    <i>
      <x v="1"/>
    </i>
    <i>
      <x v="2"/>
    </i>
    <i>
      <x v="3"/>
    </i>
    <i>
      <x v="4"/>
    </i>
    <i>
      <x v="5"/>
    </i>
    <i>
      <x v="6"/>
    </i>
    <i>
      <x v="7"/>
    </i>
    <i t="grand">
      <x/>
    </i>
  </rowItems>
  <colFields count="1">
    <field x="-2"/>
  </colFields>
  <colItems count="2">
    <i>
      <x/>
    </i>
    <i i="1">
      <x v="1"/>
    </i>
  </colItems>
  <dataFields count="2">
    <dataField name="Average of ShippingDays" fld="15" subtotal="average" baseField="4" baseItem="0" numFmtId="2"/>
    <dataField name="Sum of Sales" fld="9" baseField="0" baseItem="0"/>
  </dataFields>
  <formats count="9">
    <format dxfId="36">
      <pivotArea outline="0" collapsedLevelsAreSubtotals="1" fieldPosition="0"/>
    </format>
    <format dxfId="35">
      <pivotArea outline="0" collapsedLevelsAreSubtotals="1" fieldPosition="0"/>
    </format>
    <format dxfId="34">
      <pivotArea outline="0" collapsedLevelsAreSubtotals="1" fieldPosition="0"/>
    </format>
    <format dxfId="33">
      <pivotArea outline="0" collapsedLevelsAreSubtotals="1" fieldPosition="0"/>
    </format>
    <format dxfId="32">
      <pivotArea outline="0" collapsedLevelsAreSubtotals="1" fieldPosition="0"/>
    </format>
    <format dxfId="31">
      <pivotArea outline="0" collapsedLevelsAreSubtotals="1" fieldPosition="0"/>
    </format>
    <format dxfId="30">
      <pivotArea outline="0" collapsedLevelsAreSubtotals="1" fieldPosition="0"/>
    </format>
    <format dxfId="29">
      <pivotArea outline="0" collapsedLevelsAreSubtotals="1" fieldPosition="0"/>
    </format>
    <format dxfId="28">
      <pivotArea outline="0" collapsedLevelsAreSubtotals="1" fieldPosition="0"/>
    </format>
  </formats>
  <chartFormats count="10">
    <chartFormat chart="11"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1"/>
          </reference>
        </references>
      </pivotArea>
    </chartFormat>
    <chartFormat chart="35" format="3"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0.xml><?xml version="1.0" encoding="utf-8"?>
<pivotTableDefinition xmlns="http://schemas.openxmlformats.org/spreadsheetml/2006/main" name="tot quantit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G1:H14" firstHeaderRow="1" firstDataRow="1" firstDataCol="1"/>
  <pivotFields count="20">
    <pivotField showAll="0" defaultSubtotal="0"/>
    <pivotField showAll="0"/>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pivotField showAll="0">
      <items count="6">
        <item x="1"/>
        <item x="0"/>
        <item x="3"/>
        <item x="2"/>
        <item x="4"/>
        <item t="default"/>
      </items>
    </pivotField>
    <pivotField showAll="0">
      <items count="8">
        <item x="4"/>
        <item x="1"/>
        <item x="0"/>
        <item x="6"/>
        <item x="5"/>
        <item x="3"/>
        <item x="2"/>
        <item t="default"/>
      </items>
    </pivotField>
    <pivotField showAll="0">
      <items count="9">
        <item x="5"/>
        <item x="2"/>
        <item x="6"/>
        <item x="1"/>
        <item x="0"/>
        <item x="4"/>
        <item x="7"/>
        <item x="3"/>
        <item t="default"/>
      </items>
    </pivotField>
    <pivotField showAll="0">
      <items count="6">
        <item x="1"/>
        <item x="2"/>
        <item x="3"/>
        <item x="0"/>
        <item x="4"/>
        <item t="default"/>
      </items>
    </pivotField>
    <pivotField showAll="0">
      <items count="10">
        <item x="8"/>
        <item x="6"/>
        <item x="7"/>
        <item x="3"/>
        <item x="1"/>
        <item x="2"/>
        <item x="0"/>
        <item x="5"/>
        <item x="4"/>
        <item t="default"/>
      </items>
    </pivotField>
    <pivotField showAll="0"/>
    <pivotField dataField="1" showAll="0">
      <items count="6">
        <item x="1"/>
        <item x="4"/>
        <item x="3"/>
        <item x="2"/>
        <item x="0"/>
        <item t="default"/>
      </items>
    </pivotField>
    <pivotField showAll="0">
      <items count="32">
        <item x="22"/>
        <item x="29"/>
        <item x="20"/>
        <item x="5"/>
        <item x="15"/>
        <item x="10"/>
        <item x="8"/>
        <item x="28"/>
        <item x="23"/>
        <item x="16"/>
        <item x="2"/>
        <item x="11"/>
        <item x="24"/>
        <item x="3"/>
        <item x="18"/>
        <item x="25"/>
        <item x="19"/>
        <item x="13"/>
        <item x="26"/>
        <item x="4"/>
        <item x="14"/>
        <item x="0"/>
        <item x="17"/>
        <item x="21"/>
        <item x="1"/>
        <item x="6"/>
        <item x="12"/>
        <item x="27"/>
        <item x="7"/>
        <item x="9"/>
        <item x="30"/>
        <item t="default"/>
      </items>
    </pivotField>
    <pivotField showAll="0"/>
    <pivotField showAll="0">
      <items count="4">
        <item x="0"/>
        <item x="1"/>
        <item x="2"/>
        <item t="default"/>
      </items>
    </pivotField>
    <pivotField showAll="0"/>
    <pivotField showAll="0"/>
    <pivotField showAll="0">
      <items count="3">
        <item x="0"/>
        <item x="1"/>
        <item t="default"/>
      </items>
    </pivotField>
    <pivotField axis="axisRow" showAll="0">
      <items count="13">
        <item x="6"/>
        <item x="2"/>
        <item x="8"/>
        <item x="10"/>
        <item x="3"/>
        <item x="1"/>
        <item x="5"/>
        <item x="9"/>
        <item x="11"/>
        <item x="7"/>
        <item x="0"/>
        <item x="4"/>
        <item t="default"/>
      </items>
    </pivotField>
    <pivotField showAll="0" defaultSubtotal="0">
      <items count="1">
        <item x="0"/>
      </items>
    </pivotField>
    <pivotField dragToRow="0" dragToCol="0" dragToPage="0" showAll="0" defaultSubtotal="0"/>
  </pivotFields>
  <rowFields count="1">
    <field x="17"/>
  </rowFields>
  <rowItems count="13">
    <i>
      <x/>
    </i>
    <i>
      <x v="1"/>
    </i>
    <i>
      <x v="2"/>
    </i>
    <i>
      <x v="3"/>
    </i>
    <i>
      <x v="4"/>
    </i>
    <i>
      <x v="5"/>
    </i>
    <i>
      <x v="6"/>
    </i>
    <i>
      <x v="7"/>
    </i>
    <i>
      <x v="8"/>
    </i>
    <i>
      <x v="9"/>
    </i>
    <i>
      <x v="10"/>
    </i>
    <i>
      <x v="11"/>
    </i>
    <i t="grand">
      <x/>
    </i>
  </rowItems>
  <colItems count="1">
    <i/>
  </colItems>
  <dataFields count="1">
    <dataField name="Sum of Quantity" fld="10" baseField="0" baseItem="0"/>
  </dataFields>
  <chartFormats count="4">
    <chartFormat chart="3"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1.xml><?xml version="1.0" encoding="utf-8"?>
<pivotTableDefinition xmlns="http://schemas.openxmlformats.org/spreadsheetml/2006/main" name="tot profi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D1:E14" firstHeaderRow="1" firstDataRow="1" firstDataCol="1"/>
  <pivotFields count="20">
    <pivotField showAll="0" defaultSubtotal="0"/>
    <pivotField showAll="0"/>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pivotField showAll="0">
      <items count="6">
        <item x="1"/>
        <item x="0"/>
        <item x="3"/>
        <item x="2"/>
        <item x="4"/>
        <item t="default"/>
      </items>
    </pivotField>
    <pivotField showAll="0">
      <items count="8">
        <item x="4"/>
        <item x="1"/>
        <item x="0"/>
        <item x="6"/>
        <item x="5"/>
        <item x="3"/>
        <item x="2"/>
        <item t="default"/>
      </items>
    </pivotField>
    <pivotField showAll="0">
      <items count="9">
        <item x="5"/>
        <item x="2"/>
        <item x="6"/>
        <item x="1"/>
        <item x="0"/>
        <item x="4"/>
        <item x="7"/>
        <item x="3"/>
        <item t="default"/>
      </items>
    </pivotField>
    <pivotField showAll="0">
      <items count="6">
        <item x="1"/>
        <item x="2"/>
        <item x="3"/>
        <item x="0"/>
        <item x="4"/>
        <item t="default"/>
      </items>
    </pivotField>
    <pivotField showAll="0">
      <items count="10">
        <item x="8"/>
        <item x="6"/>
        <item x="7"/>
        <item x="3"/>
        <item x="1"/>
        <item x="2"/>
        <item x="0"/>
        <item x="5"/>
        <item x="4"/>
        <item t="default"/>
      </items>
    </pivotField>
    <pivotField showAll="0"/>
    <pivotField showAll="0">
      <items count="6">
        <item x="1"/>
        <item x="4"/>
        <item x="3"/>
        <item x="2"/>
        <item x="0"/>
        <item t="default"/>
      </items>
    </pivotField>
    <pivotField showAll="0">
      <items count="32">
        <item x="22"/>
        <item x="29"/>
        <item x="20"/>
        <item x="5"/>
        <item x="15"/>
        <item x="10"/>
        <item x="8"/>
        <item x="28"/>
        <item x="23"/>
        <item x="16"/>
        <item x="2"/>
        <item x="11"/>
        <item x="24"/>
        <item x="3"/>
        <item x="18"/>
        <item x="25"/>
        <item x="19"/>
        <item x="13"/>
        <item x="26"/>
        <item x="4"/>
        <item x="14"/>
        <item x="0"/>
        <item x="17"/>
        <item x="21"/>
        <item x="1"/>
        <item x="6"/>
        <item x="12"/>
        <item x="27"/>
        <item x="7"/>
        <item x="9"/>
        <item x="30"/>
        <item t="default"/>
      </items>
    </pivotField>
    <pivotField dataField="1" showAll="0"/>
    <pivotField showAll="0">
      <items count="4">
        <item x="0"/>
        <item x="1"/>
        <item x="2"/>
        <item t="default"/>
      </items>
    </pivotField>
    <pivotField showAll="0"/>
    <pivotField showAll="0"/>
    <pivotField showAll="0">
      <items count="3">
        <item x="0"/>
        <item x="1"/>
        <item t="default"/>
      </items>
    </pivotField>
    <pivotField axis="axisRow" showAll="0">
      <items count="13">
        <item x="6"/>
        <item x="2"/>
        <item x="8"/>
        <item x="10"/>
        <item x="3"/>
        <item x="1"/>
        <item x="5"/>
        <item x="9"/>
        <item x="11"/>
        <item x="7"/>
        <item x="0"/>
        <item x="4"/>
        <item t="default"/>
      </items>
    </pivotField>
    <pivotField showAll="0" defaultSubtotal="0">
      <items count="1">
        <item x="0"/>
      </items>
    </pivotField>
    <pivotField dragToRow="0" dragToCol="0" dragToPage="0" showAll="0" defaultSubtotal="0"/>
  </pivotFields>
  <rowFields count="1">
    <field x="17"/>
  </rowFields>
  <rowItems count="13">
    <i>
      <x/>
    </i>
    <i>
      <x v="1"/>
    </i>
    <i>
      <x v="2"/>
    </i>
    <i>
      <x v="3"/>
    </i>
    <i>
      <x v="4"/>
    </i>
    <i>
      <x v="5"/>
    </i>
    <i>
      <x v="6"/>
    </i>
    <i>
      <x v="7"/>
    </i>
    <i>
      <x v="8"/>
    </i>
    <i>
      <x v="9"/>
    </i>
    <i>
      <x v="10"/>
    </i>
    <i>
      <x v="11"/>
    </i>
    <i t="grand">
      <x/>
    </i>
  </rowItems>
  <colItems count="1">
    <i/>
  </colItems>
  <dataFields count="1">
    <dataField name="Sum of Profit" fld="12" baseField="0" baseItem="0"/>
  </dataFields>
  <chartFormats count="4">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2.xml><?xml version="1.0" encoding="utf-8"?>
<pivotTableDefinition xmlns="http://schemas.openxmlformats.org/spreadsheetml/2006/main" name="tot sale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A1:B14" firstHeaderRow="1" firstDataRow="1" firstDataCol="1"/>
  <pivotFields count="20">
    <pivotField showAll="0" defaultSubtotal="0"/>
    <pivotField showAll="0"/>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pivotField showAll="0">
      <items count="6">
        <item x="1"/>
        <item x="0"/>
        <item x="3"/>
        <item x="2"/>
        <item x="4"/>
        <item t="default"/>
      </items>
    </pivotField>
    <pivotField showAll="0">
      <items count="8">
        <item x="4"/>
        <item x="1"/>
        <item x="0"/>
        <item x="6"/>
        <item x="5"/>
        <item x="3"/>
        <item x="2"/>
        <item t="default"/>
      </items>
    </pivotField>
    <pivotField showAll="0">
      <items count="9">
        <item x="5"/>
        <item x="2"/>
        <item x="6"/>
        <item x="1"/>
        <item x="0"/>
        <item x="4"/>
        <item x="7"/>
        <item x="3"/>
        <item t="default"/>
      </items>
    </pivotField>
    <pivotField showAll="0">
      <items count="6">
        <item x="1"/>
        <item x="2"/>
        <item x="3"/>
        <item x="0"/>
        <item x="4"/>
        <item t="default"/>
      </items>
    </pivotField>
    <pivotField showAll="0">
      <items count="10">
        <item x="8"/>
        <item x="6"/>
        <item x="7"/>
        <item x="3"/>
        <item x="1"/>
        <item x="2"/>
        <item x="0"/>
        <item x="5"/>
        <item x="4"/>
        <item t="default"/>
      </items>
    </pivotField>
    <pivotField dataField="1" showAll="0"/>
    <pivotField showAll="0">
      <items count="6">
        <item x="1"/>
        <item x="4"/>
        <item x="3"/>
        <item x="2"/>
        <item x="0"/>
        <item t="default"/>
      </items>
    </pivotField>
    <pivotField showAll="0">
      <items count="32">
        <item x="22"/>
        <item x="29"/>
        <item x="20"/>
        <item x="5"/>
        <item x="15"/>
        <item x="10"/>
        <item x="8"/>
        <item x="28"/>
        <item x="23"/>
        <item x="16"/>
        <item x="2"/>
        <item x="11"/>
        <item x="24"/>
        <item x="3"/>
        <item x="18"/>
        <item x="25"/>
        <item x="19"/>
        <item x="13"/>
        <item x="26"/>
        <item x="4"/>
        <item x="14"/>
        <item x="0"/>
        <item x="17"/>
        <item x="21"/>
        <item x="1"/>
        <item x="6"/>
        <item x="12"/>
        <item x="27"/>
        <item x="7"/>
        <item x="9"/>
        <item x="30"/>
        <item t="default"/>
      </items>
    </pivotField>
    <pivotField showAll="0"/>
    <pivotField showAll="0">
      <items count="4">
        <item x="0"/>
        <item x="1"/>
        <item x="2"/>
        <item t="default"/>
      </items>
    </pivotField>
    <pivotField showAll="0"/>
    <pivotField showAll="0"/>
    <pivotField showAll="0">
      <items count="3">
        <item x="0"/>
        <item x="1"/>
        <item t="default"/>
      </items>
    </pivotField>
    <pivotField axis="axisRow" showAll="0">
      <items count="13">
        <item x="6"/>
        <item x="2"/>
        <item x="8"/>
        <item x="10"/>
        <item x="3"/>
        <item x="1"/>
        <item x="5"/>
        <item x="9"/>
        <item x="11"/>
        <item x="7"/>
        <item x="0"/>
        <item x="4"/>
        <item t="default"/>
      </items>
    </pivotField>
    <pivotField showAll="0" defaultSubtotal="0">
      <items count="1">
        <item x="0"/>
      </items>
    </pivotField>
    <pivotField dragToRow="0" dragToCol="0" dragToPage="0" showAll="0" defaultSubtotal="0"/>
  </pivotFields>
  <rowFields count="1">
    <field x="17"/>
  </rowFields>
  <rowItems count="13">
    <i>
      <x/>
    </i>
    <i>
      <x v="1"/>
    </i>
    <i>
      <x v="2"/>
    </i>
    <i>
      <x v="3"/>
    </i>
    <i>
      <x v="4"/>
    </i>
    <i>
      <x v="5"/>
    </i>
    <i>
      <x v="6"/>
    </i>
    <i>
      <x v="7"/>
    </i>
    <i>
      <x v="8"/>
    </i>
    <i>
      <x v="9"/>
    </i>
    <i>
      <x v="10"/>
    </i>
    <i>
      <x v="11"/>
    </i>
    <i t="grand">
      <x/>
    </i>
  </rowItems>
  <colItems count="1">
    <i/>
  </colItems>
  <dataFields count="1">
    <dataField name="Sum of Sales" fld="9" baseField="0" baseItem="0"/>
  </dataFields>
  <chartFormats count="4">
    <chartFormat chart="1" format="1"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3.xml><?xml version="1.0" encoding="utf-8"?>
<pivotTableDefinition xmlns="http://schemas.openxmlformats.org/spreadsheetml/2006/main" name="tot profit margi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M1:N14" firstHeaderRow="1" firstDataRow="1" firstDataCol="1"/>
  <pivotFields count="20">
    <pivotField showAll="0" defaultSubtotal="0"/>
    <pivotField showAll="0"/>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pivotField showAll="0">
      <items count="6">
        <item x="1"/>
        <item x="0"/>
        <item x="3"/>
        <item x="2"/>
        <item x="4"/>
        <item t="default"/>
      </items>
    </pivotField>
    <pivotField showAll="0">
      <items count="8">
        <item x="4"/>
        <item x="1"/>
        <item x="0"/>
        <item x="6"/>
        <item x="5"/>
        <item x="3"/>
        <item x="2"/>
        <item t="default"/>
      </items>
    </pivotField>
    <pivotField showAll="0">
      <items count="9">
        <item x="5"/>
        <item x="2"/>
        <item x="6"/>
        <item x="1"/>
        <item x="0"/>
        <item x="4"/>
        <item x="7"/>
        <item x="3"/>
        <item t="default"/>
      </items>
    </pivotField>
    <pivotField showAll="0">
      <items count="6">
        <item x="1"/>
        <item x="2"/>
        <item x="3"/>
        <item x="0"/>
        <item x="4"/>
        <item t="default"/>
      </items>
    </pivotField>
    <pivotField showAll="0">
      <items count="10">
        <item x="8"/>
        <item x="6"/>
        <item x="7"/>
        <item x="3"/>
        <item x="1"/>
        <item x="2"/>
        <item x="0"/>
        <item x="5"/>
        <item x="4"/>
        <item t="default"/>
      </items>
    </pivotField>
    <pivotField showAll="0"/>
    <pivotField showAll="0">
      <items count="6">
        <item x="1"/>
        <item x="4"/>
        <item x="3"/>
        <item x="2"/>
        <item x="0"/>
        <item t="default"/>
      </items>
    </pivotField>
    <pivotField showAll="0">
      <items count="32">
        <item x="22"/>
        <item x="29"/>
        <item x="20"/>
        <item x="5"/>
        <item x="15"/>
        <item x="10"/>
        <item x="8"/>
        <item x="28"/>
        <item x="23"/>
        <item x="16"/>
        <item x="2"/>
        <item x="11"/>
        <item x="24"/>
        <item x="3"/>
        <item x="18"/>
        <item x="25"/>
        <item x="19"/>
        <item x="13"/>
        <item x="26"/>
        <item x="4"/>
        <item x="14"/>
        <item x="0"/>
        <item x="17"/>
        <item x="21"/>
        <item x="1"/>
        <item x="6"/>
        <item x="12"/>
        <item x="27"/>
        <item x="7"/>
        <item x="9"/>
        <item x="30"/>
        <item t="default"/>
      </items>
    </pivotField>
    <pivotField showAll="0"/>
    <pivotField showAll="0">
      <items count="4">
        <item x="0"/>
        <item x="1"/>
        <item x="2"/>
        <item t="default"/>
      </items>
    </pivotField>
    <pivotField showAll="0"/>
    <pivotField showAll="0"/>
    <pivotField showAll="0">
      <items count="3">
        <item x="0"/>
        <item x="1"/>
        <item t="default"/>
      </items>
    </pivotField>
    <pivotField axis="axisRow" showAll="0">
      <items count="13">
        <item x="6"/>
        <item x="2"/>
        <item x="8"/>
        <item x="10"/>
        <item x="3"/>
        <item x="1"/>
        <item x="5"/>
        <item x="9"/>
        <item x="11"/>
        <item x="7"/>
        <item x="0"/>
        <item x="4"/>
        <item t="default"/>
      </items>
    </pivotField>
    <pivotField showAll="0" defaultSubtotal="0">
      <items count="1">
        <item x="0"/>
      </items>
    </pivotField>
    <pivotField dataField="1" dragToRow="0" dragToCol="0" dragToPage="0" showAll="0" defaultSubtotal="0"/>
  </pivotFields>
  <rowFields count="1">
    <field x="17"/>
  </rowFields>
  <rowItems count="13">
    <i>
      <x/>
    </i>
    <i>
      <x v="1"/>
    </i>
    <i>
      <x v="2"/>
    </i>
    <i>
      <x v="3"/>
    </i>
    <i>
      <x v="4"/>
    </i>
    <i>
      <x v="5"/>
    </i>
    <i>
      <x v="6"/>
    </i>
    <i>
      <x v="7"/>
    </i>
    <i>
      <x v="8"/>
    </i>
    <i>
      <x v="9"/>
    </i>
    <i>
      <x v="10"/>
    </i>
    <i>
      <x v="11"/>
    </i>
    <i t="grand">
      <x/>
    </i>
  </rowItems>
  <colItems count="1">
    <i/>
  </colItems>
  <dataFields count="1">
    <dataField name="Sum of Profit Margin" fld="19" baseField="0" baseItem="0"/>
  </dataFields>
  <chartFormats count="4">
    <chartFormat chart="5"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4.xml><?xml version="1.0" encoding="utf-8"?>
<pivotTableDefinition xmlns="http://schemas.openxmlformats.org/spreadsheetml/2006/main" name="tot order id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J1:K14" firstHeaderRow="1" firstDataRow="1" firstDataCol="1"/>
  <pivotFields count="20">
    <pivotField showAll="0" defaultSubtotal="0"/>
    <pivotField dataField="1" showAll="0"/>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pivotField showAll="0">
      <items count="6">
        <item x="1"/>
        <item x="0"/>
        <item x="3"/>
        <item x="2"/>
        <item x="4"/>
        <item t="default"/>
      </items>
    </pivotField>
    <pivotField showAll="0">
      <items count="8">
        <item x="4"/>
        <item x="1"/>
        <item x="0"/>
        <item x="6"/>
        <item x="5"/>
        <item x="3"/>
        <item x="2"/>
        <item t="default"/>
      </items>
    </pivotField>
    <pivotField showAll="0">
      <items count="9">
        <item x="5"/>
        <item x="2"/>
        <item x="6"/>
        <item x="1"/>
        <item x="0"/>
        <item x="4"/>
        <item x="7"/>
        <item x="3"/>
        <item t="default"/>
      </items>
    </pivotField>
    <pivotField showAll="0">
      <items count="6">
        <item x="1"/>
        <item x="2"/>
        <item x="3"/>
        <item x="0"/>
        <item x="4"/>
        <item t="default"/>
      </items>
    </pivotField>
    <pivotField showAll="0">
      <items count="10">
        <item x="8"/>
        <item x="6"/>
        <item x="7"/>
        <item x="3"/>
        <item x="1"/>
        <item x="2"/>
        <item x="0"/>
        <item x="5"/>
        <item x="4"/>
        <item t="default"/>
      </items>
    </pivotField>
    <pivotField showAll="0"/>
    <pivotField showAll="0">
      <items count="6">
        <item x="1"/>
        <item x="4"/>
        <item x="3"/>
        <item x="2"/>
        <item x="0"/>
        <item t="default"/>
      </items>
    </pivotField>
    <pivotField showAll="0">
      <items count="32">
        <item x="22"/>
        <item x="29"/>
        <item x="20"/>
        <item x="5"/>
        <item x="15"/>
        <item x="10"/>
        <item x="8"/>
        <item x="28"/>
        <item x="23"/>
        <item x="16"/>
        <item x="2"/>
        <item x="11"/>
        <item x="24"/>
        <item x="3"/>
        <item x="18"/>
        <item x="25"/>
        <item x="19"/>
        <item x="13"/>
        <item x="26"/>
        <item x="4"/>
        <item x="14"/>
        <item x="0"/>
        <item x="17"/>
        <item x="21"/>
        <item x="1"/>
        <item x="6"/>
        <item x="12"/>
        <item x="27"/>
        <item x="7"/>
        <item x="9"/>
        <item x="30"/>
        <item t="default"/>
      </items>
    </pivotField>
    <pivotField showAll="0"/>
    <pivotField showAll="0">
      <items count="4">
        <item x="0"/>
        <item x="1"/>
        <item x="2"/>
        <item t="default"/>
      </items>
    </pivotField>
    <pivotField showAll="0"/>
    <pivotField showAll="0"/>
    <pivotField showAll="0">
      <items count="3">
        <item x="0"/>
        <item x="1"/>
        <item t="default"/>
      </items>
    </pivotField>
    <pivotField axis="axisRow" showAll="0">
      <items count="13">
        <item x="6"/>
        <item x="2"/>
        <item x="8"/>
        <item x="10"/>
        <item x="3"/>
        <item x="1"/>
        <item x="5"/>
        <item x="9"/>
        <item x="11"/>
        <item x="7"/>
        <item x="0"/>
        <item x="4"/>
        <item t="default"/>
      </items>
    </pivotField>
    <pivotField showAll="0" defaultSubtotal="0">
      <items count="1">
        <item x="0"/>
      </items>
    </pivotField>
    <pivotField dragToRow="0" dragToCol="0" dragToPage="0" showAll="0" defaultSubtotal="0"/>
  </pivotFields>
  <rowFields count="1">
    <field x="17"/>
  </rowFields>
  <rowItems count="13">
    <i>
      <x/>
    </i>
    <i>
      <x v="1"/>
    </i>
    <i>
      <x v="2"/>
    </i>
    <i>
      <x v="3"/>
    </i>
    <i>
      <x v="4"/>
    </i>
    <i>
      <x v="5"/>
    </i>
    <i>
      <x v="6"/>
    </i>
    <i>
      <x v="7"/>
    </i>
    <i>
      <x v="8"/>
    </i>
    <i>
      <x v="9"/>
    </i>
    <i>
      <x v="10"/>
    </i>
    <i>
      <x v="11"/>
    </i>
    <i t="grand">
      <x/>
    </i>
  </rowItems>
  <colItems count="1">
    <i/>
  </colItems>
  <dataFields count="1">
    <dataField name="Count of OrderID" fld="1" subtotal="count" baseField="0" baseItem="0"/>
  </dataFields>
  <chartFormats count="4">
    <chartFormat chart="4"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5.xml><?xml version="1.0" encoding="utf-8"?>
<pivotTableDefinition xmlns="http://schemas.openxmlformats.org/spreadsheetml/2006/main" name="yoy growth"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A1:F3" firstHeaderRow="0" firstDataRow="1" firstDataCol="1"/>
  <pivotFields count="20">
    <pivotField showAll="0" defaultSubtotal="0"/>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560">
        <item x="485"/>
        <item x="353"/>
        <item x="28"/>
        <item x="163"/>
        <item x="235"/>
        <item x="272"/>
        <item x="145"/>
        <item x="301"/>
        <item x="274"/>
        <item x="535"/>
        <item x="534"/>
        <item x="502"/>
        <item x="55"/>
        <item x="449"/>
        <item x="388"/>
        <item x="7"/>
        <item x="363"/>
        <item x="126"/>
        <item x="205"/>
        <item x="313"/>
        <item x="162"/>
        <item x="474"/>
        <item x="232"/>
        <item x="402"/>
        <item x="482"/>
        <item x="512"/>
        <item x="174"/>
        <item x="271"/>
        <item x="358"/>
        <item x="273"/>
        <item x="265"/>
        <item x="446"/>
        <item x="407"/>
        <item x="243"/>
        <item x="411"/>
        <item x="432"/>
        <item x="394"/>
        <item x="453"/>
        <item x="230"/>
        <item x="3"/>
        <item x="410"/>
        <item x="204"/>
        <item x="495"/>
        <item x="21"/>
        <item x="352"/>
        <item x="166"/>
        <item x="342"/>
        <item x="147"/>
        <item x="524"/>
        <item x="521"/>
        <item x="113"/>
        <item x="288"/>
        <item x="9"/>
        <item x="22"/>
        <item x="213"/>
        <item x="548"/>
        <item x="544"/>
        <item x="148"/>
        <item x="367"/>
        <item x="155"/>
        <item x="262"/>
        <item x="464"/>
        <item x="175"/>
        <item x="20"/>
        <item x="357"/>
        <item x="460"/>
        <item x="193"/>
        <item x="508"/>
        <item x="211"/>
        <item x="351"/>
        <item x="455"/>
        <item x="518"/>
        <item x="47"/>
        <item x="477"/>
        <item x="499"/>
        <item x="242"/>
        <item x="170"/>
        <item x="169"/>
        <item x="229"/>
        <item x="89"/>
        <item x="32"/>
        <item x="171"/>
        <item x="231"/>
        <item x="428"/>
        <item x="391"/>
        <item x="438"/>
        <item x="269"/>
        <item x="115"/>
        <item x="469"/>
        <item x="46"/>
        <item x="413"/>
        <item x="332"/>
        <item x="398"/>
        <item x="552"/>
        <item x="504"/>
        <item x="341"/>
        <item x="476"/>
        <item x="33"/>
        <item x="378"/>
        <item x="94"/>
        <item x="365"/>
        <item x="72"/>
        <item x="340"/>
        <item x="182"/>
        <item x="138"/>
        <item x="525"/>
        <item x="339"/>
        <item x="403"/>
        <item x="64"/>
        <item x="507"/>
        <item x="536"/>
        <item x="375"/>
        <item x="300"/>
        <item x="26"/>
        <item x="43"/>
        <item x="49"/>
        <item x="240"/>
        <item x="248"/>
        <item x="291"/>
        <item x="4"/>
        <item x="1"/>
        <item x="181"/>
        <item x="82"/>
        <item x="110"/>
        <item x="395"/>
        <item x="266"/>
        <item x="322"/>
        <item x="393"/>
        <item x="16"/>
        <item x="136"/>
        <item x="372"/>
        <item x="490"/>
        <item x="168"/>
        <item x="338"/>
        <item x="81"/>
        <item x="376"/>
        <item x="167"/>
        <item x="298"/>
        <item x="180"/>
        <item x="88"/>
        <item x="125"/>
        <item x="416"/>
        <item x="10"/>
        <item x="259"/>
        <item x="261"/>
        <item x="282"/>
        <item x="107"/>
        <item x="390"/>
        <item x="443"/>
        <item x="6"/>
        <item x="286"/>
        <item x="312"/>
        <item x="386"/>
        <item x="349"/>
        <item x="311"/>
        <item x="56"/>
        <item x="111"/>
        <item x="201"/>
        <item x="236"/>
        <item x="405"/>
        <item x="492"/>
        <item x="250"/>
        <item x="433"/>
        <item x="95"/>
        <item x="387"/>
        <item x="61"/>
        <item x="557"/>
        <item x="83"/>
        <item x="146"/>
        <item x="361"/>
        <item x="11"/>
        <item x="77"/>
        <item x="48"/>
        <item x="296"/>
        <item x="328"/>
        <item x="303"/>
        <item x="420"/>
        <item x="379"/>
        <item x="198"/>
        <item x="486"/>
        <item x="404"/>
        <item x="54"/>
        <item x="426"/>
        <item x="377"/>
        <item x="116"/>
        <item x="362"/>
        <item x="383"/>
        <item x="310"/>
        <item x="98"/>
        <item x="359"/>
        <item x="222"/>
        <item x="207"/>
        <item x="164"/>
        <item x="347"/>
        <item x="151"/>
        <item x="491"/>
        <item x="422"/>
        <item x="39"/>
        <item x="489"/>
        <item x="434"/>
        <item x="258"/>
        <item x="24"/>
        <item x="465"/>
        <item x="334"/>
        <item x="473"/>
        <item x="289"/>
        <item x="91"/>
        <item x="425"/>
        <item x="444"/>
        <item x="52"/>
        <item x="374"/>
        <item x="85"/>
        <item x="189"/>
        <item x="154"/>
        <item x="128"/>
        <item x="190"/>
        <item x="53"/>
        <item x="122"/>
        <item x="506"/>
        <item x="293"/>
        <item x="188"/>
        <item x="254"/>
        <item x="268"/>
        <item x="287"/>
        <item x="58"/>
        <item x="423"/>
        <item x="276"/>
        <item x="275"/>
        <item x="297"/>
        <item x="319"/>
        <item x="401"/>
        <item x="8"/>
        <item x="399"/>
        <item x="380"/>
        <item x="135"/>
        <item x="550"/>
        <item x="546"/>
        <item x="343"/>
        <item x="382"/>
        <item x="42"/>
        <item x="531"/>
        <item x="15"/>
        <item x="284"/>
        <item x="224"/>
        <item x="532"/>
        <item x="51"/>
        <item x="223"/>
        <item x="0"/>
        <item x="172"/>
        <item x="114"/>
        <item x="221"/>
        <item x="123"/>
        <item x="73"/>
        <item x="202"/>
        <item x="370"/>
        <item x="233"/>
        <item x="159"/>
        <item x="459"/>
        <item x="468"/>
        <item x="176"/>
        <item x="529"/>
        <item x="251"/>
        <item x="59"/>
        <item x="50"/>
        <item x="537"/>
        <item x="143"/>
        <item x="30"/>
        <item x="305"/>
        <item x="519"/>
        <item x="41"/>
        <item x="216"/>
        <item x="76"/>
        <item x="101"/>
        <item x="348"/>
        <item x="302"/>
        <item x="350"/>
        <item x="212"/>
        <item x="315"/>
        <item x="381"/>
        <item x="320"/>
        <item x="60"/>
        <item x="63"/>
        <item x="153"/>
        <item x="131"/>
        <item x="5"/>
        <item x="130"/>
        <item x="65"/>
        <item x="371"/>
        <item x="558"/>
        <item x="78"/>
        <item x="427"/>
        <item x="210"/>
        <item x="208"/>
        <item x="86"/>
        <item x="324"/>
        <item x="431"/>
        <item x="345"/>
        <item x="165"/>
        <item x="448"/>
        <item x="66"/>
        <item x="389"/>
        <item x="178"/>
        <item x="256"/>
        <item x="364"/>
        <item x="150"/>
        <item x="514"/>
        <item x="396"/>
        <item x="239"/>
        <item x="132"/>
        <item x="13"/>
        <item x="415"/>
        <item x="255"/>
        <item x="484"/>
        <item x="509"/>
        <item x="285"/>
        <item x="226"/>
        <item x="335"/>
        <item x="31"/>
        <item x="141"/>
        <item x="511"/>
        <item x="106"/>
        <item x="80"/>
        <item x="454"/>
        <item x="200"/>
        <item x="139"/>
        <item x="466"/>
        <item x="516"/>
        <item x="249"/>
        <item x="295"/>
        <item x="225"/>
        <item x="35"/>
        <item x="185"/>
        <item x="156"/>
        <item x="360"/>
        <item x="318"/>
        <item x="450"/>
        <item x="97"/>
        <item x="215"/>
        <item x="513"/>
        <item x="29"/>
        <item x="356"/>
        <item x="306"/>
        <item x="133"/>
        <item x="526"/>
        <item x="263"/>
        <item x="481"/>
        <item x="290"/>
        <item x="424"/>
        <item x="199"/>
        <item x="545"/>
        <item x="79"/>
        <item x="538"/>
        <item x="543"/>
        <item x="267"/>
        <item x="18"/>
        <item x="92"/>
        <item x="472"/>
        <item x="196"/>
        <item x="496"/>
        <item x="555"/>
        <item x="183"/>
        <item x="260"/>
        <item x="527"/>
        <item x="140"/>
        <item x="69"/>
        <item x="120"/>
        <item x="129"/>
        <item x="137"/>
        <item x="314"/>
        <item x="304"/>
        <item x="479"/>
        <item x="252"/>
        <item x="539"/>
        <item x="309"/>
        <item x="245"/>
        <item x="220"/>
        <item x="439"/>
        <item x="397"/>
        <item x="237"/>
        <item x="510"/>
        <item x="556"/>
        <item x="149"/>
        <item x="241"/>
        <item x="44"/>
        <item x="355"/>
        <item x="108"/>
        <item x="218"/>
        <item x="325"/>
        <item x="192"/>
        <item x="408"/>
        <item x="121"/>
        <item x="451"/>
        <item x="238"/>
        <item x="331"/>
        <item x="17"/>
        <item x="441"/>
        <item x="463"/>
        <item x="214"/>
        <item x="279"/>
        <item x="12"/>
        <item x="437"/>
        <item x="197"/>
        <item x="549"/>
        <item x="498"/>
        <item x="57"/>
        <item x="373"/>
        <item x="278"/>
        <item x="517"/>
        <item x="173"/>
        <item x="326"/>
        <item x="270"/>
        <item x="541"/>
        <item x="329"/>
        <item x="452"/>
        <item x="368"/>
        <item x="227"/>
        <item x="134"/>
        <item x="14"/>
        <item x="406"/>
        <item x="414"/>
        <item x="316"/>
        <item x="68"/>
        <item x="471"/>
        <item x="264"/>
        <item x="409"/>
        <item x="67"/>
        <item x="480"/>
        <item x="37"/>
        <item x="467"/>
        <item x="442"/>
        <item x="246"/>
        <item x="194"/>
        <item x="93"/>
        <item x="317"/>
        <item x="299"/>
        <item x="337"/>
        <item x="244"/>
        <item x="336"/>
        <item x="161"/>
        <item x="483"/>
        <item x="542"/>
        <item x="400"/>
        <item x="457"/>
        <item x="456"/>
        <item x="203"/>
        <item x="19"/>
        <item x="209"/>
        <item x="96"/>
        <item x="75"/>
        <item x="436"/>
        <item x="501"/>
        <item x="127"/>
        <item x="503"/>
        <item x="307"/>
        <item x="219"/>
        <item x="440"/>
        <item x="23"/>
        <item x="354"/>
        <item x="191"/>
        <item x="280"/>
        <item x="27"/>
        <item x="421"/>
        <item x="34"/>
        <item x="478"/>
        <item x="102"/>
        <item x="70"/>
        <item x="553"/>
        <item x="118"/>
        <item x="458"/>
        <item x="366"/>
        <item x="38"/>
        <item x="283"/>
        <item x="184"/>
        <item x="540"/>
        <item x="461"/>
        <item x="25"/>
        <item x="346"/>
        <item x="515"/>
        <item x="152"/>
        <item x="40"/>
        <item x="277"/>
        <item x="253"/>
        <item x="292"/>
        <item x="494"/>
        <item x="195"/>
        <item x="547"/>
        <item x="186"/>
        <item x="522"/>
        <item x="160"/>
        <item x="497"/>
        <item x="104"/>
        <item x="333"/>
        <item x="119"/>
        <item x="62"/>
        <item x="417"/>
        <item x="179"/>
        <item x="321"/>
        <item x="493"/>
        <item x="430"/>
        <item x="99"/>
        <item x="435"/>
        <item x="505"/>
        <item x="158"/>
        <item x="462"/>
        <item x="206"/>
        <item x="308"/>
        <item x="177"/>
        <item x="112"/>
        <item x="487"/>
        <item x="419"/>
        <item x="447"/>
        <item x="418"/>
        <item x="87"/>
        <item x="520"/>
        <item x="523"/>
        <item x="228"/>
        <item x="105"/>
        <item x="369"/>
        <item x="327"/>
        <item x="392"/>
        <item x="2"/>
        <item x="551"/>
        <item x="294"/>
        <item x="412"/>
        <item x="554"/>
        <item x="500"/>
        <item x="103"/>
        <item x="45"/>
        <item x="124"/>
        <item x="344"/>
        <item x="157"/>
        <item x="117"/>
        <item x="90"/>
        <item x="475"/>
        <item x="533"/>
        <item x="385"/>
        <item x="429"/>
        <item x="247"/>
        <item x="234"/>
        <item x="109"/>
        <item x="84"/>
        <item x="257"/>
        <item x="187"/>
        <item x="528"/>
        <item x="74"/>
        <item x="71"/>
        <item x="445"/>
        <item x="36"/>
        <item x="530"/>
        <item x="142"/>
        <item x="281"/>
        <item x="217"/>
        <item x="330"/>
        <item x="323"/>
        <item x="470"/>
        <item x="384"/>
        <item x="100"/>
        <item x="488"/>
        <item x="144"/>
        <item t="default"/>
      </items>
    </pivotField>
    <pivotField showAll="0"/>
    <pivotField showAll="0">
      <items count="6">
        <item x="1"/>
        <item x="0"/>
        <item x="3"/>
        <item x="2"/>
        <item x="4"/>
        <item t="default"/>
      </items>
    </pivotField>
    <pivotField showAll="0">
      <items count="8">
        <item x="4"/>
        <item x="1"/>
        <item x="0"/>
        <item x="6"/>
        <item x="5"/>
        <item x="3"/>
        <item x="2"/>
        <item t="default"/>
      </items>
    </pivotField>
    <pivotField showAll="0">
      <items count="9">
        <item x="5"/>
        <item x="2"/>
        <item x="6"/>
        <item x="1"/>
        <item x="0"/>
        <item x="4"/>
        <item x="7"/>
        <item x="3"/>
        <item t="default"/>
      </items>
    </pivotField>
    <pivotField showAll="0">
      <items count="6">
        <item x="1"/>
        <item x="2"/>
        <item x="3"/>
        <item x="0"/>
        <item x="4"/>
        <item t="default"/>
      </items>
    </pivotField>
    <pivotField showAll="0">
      <items count="10">
        <item x="8"/>
        <item x="6"/>
        <item x="7"/>
        <item x="3"/>
        <item x="1"/>
        <item x="2"/>
        <item x="0"/>
        <item x="5"/>
        <item x="4"/>
        <item t="default"/>
      </items>
    </pivotField>
    <pivotField dataField="1" showAll="0"/>
    <pivotField dataField="1" showAll="0">
      <items count="6">
        <item x="1"/>
        <item x="4"/>
        <item x="3"/>
        <item x="2"/>
        <item x="0"/>
        <item t="default"/>
      </items>
    </pivotField>
    <pivotField showAll="0">
      <items count="32">
        <item x="22"/>
        <item x="29"/>
        <item x="20"/>
        <item x="5"/>
        <item x="15"/>
        <item x="10"/>
        <item x="8"/>
        <item x="28"/>
        <item x="23"/>
        <item x="16"/>
        <item x="2"/>
        <item x="11"/>
        <item x="24"/>
        <item x="3"/>
        <item x="18"/>
        <item x="25"/>
        <item x="19"/>
        <item x="13"/>
        <item x="26"/>
        <item x="4"/>
        <item x="14"/>
        <item x="0"/>
        <item x="17"/>
        <item x="21"/>
        <item x="1"/>
        <item x="6"/>
        <item x="12"/>
        <item x="27"/>
        <item x="7"/>
        <item x="9"/>
        <item x="30"/>
        <item t="default"/>
      </items>
    </pivotField>
    <pivotField dataField="1" showAll="0"/>
    <pivotField showAll="0">
      <items count="4">
        <item x="0"/>
        <item x="1"/>
        <item x="2"/>
        <item t="default"/>
      </items>
    </pivotField>
    <pivotField showAll="0"/>
    <pivotField showAll="0">
      <items count="11">
        <item x="6"/>
        <item x="8"/>
        <item x="9"/>
        <item x="1"/>
        <item x="2"/>
        <item x="5"/>
        <item x="4"/>
        <item x="7"/>
        <item x="0"/>
        <item x="3"/>
        <item t="default"/>
      </items>
    </pivotField>
    <pivotField axis="axisRow" showAll="0">
      <items count="3">
        <item x="0"/>
        <item x="1"/>
        <item t="default"/>
      </items>
    </pivotField>
    <pivotField showAll="0">
      <items count="13">
        <item x="6"/>
        <item x="2"/>
        <item x="8"/>
        <item x="10"/>
        <item x="3"/>
        <item x="1"/>
        <item x="5"/>
        <item x="9"/>
        <item x="11"/>
        <item x="7"/>
        <item x="0"/>
        <item x="4"/>
        <item t="default"/>
      </items>
    </pivotField>
    <pivotField showAll="0" defaultSubtotal="0">
      <items count="1">
        <item x="0"/>
      </items>
    </pivotField>
    <pivotField dataField="1" dragToRow="0" dragToCol="0" dragToPage="0" showAll="0" defaultSubtotal="0"/>
  </pivotFields>
  <rowFields count="1">
    <field x="16"/>
  </rowFields>
  <rowItems count="2">
    <i>
      <x/>
    </i>
    <i>
      <x v="1"/>
    </i>
  </rowItems>
  <colFields count="1">
    <field x="-2"/>
  </colFields>
  <colItems count="5">
    <i>
      <x/>
    </i>
    <i i="1">
      <x v="1"/>
    </i>
    <i i="2">
      <x v="2"/>
    </i>
    <i i="3">
      <x v="3"/>
    </i>
    <i i="4">
      <x v="4"/>
    </i>
  </colItems>
  <dataFields count="5">
    <dataField name="Sum of Sales" fld="9" baseField="0" baseItem="0"/>
    <dataField name="Sum of Quantity" fld="10" baseField="0" baseItem="0"/>
    <dataField name="Sum of Profit" fld="12" baseField="0" baseItem="0"/>
    <dataField name="Count of OrderID" fld="1" subtotal="count" baseField="0" baseItem="0"/>
    <dataField name="Sum of Profit Margin"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9" name="tot sales"/>
    <pivotTable tabId="9" name="tot profit"/>
    <pivotTable tabId="9" name="tot quantity"/>
    <pivotTable tabId="9" name="tot order ids"/>
    <pivotTable tabId="9" name="tot profit margin"/>
    <pivotTable tabId="7" name="city shipping days"/>
    <pivotTable tabId="7" name="city profit margin"/>
    <pivotTable tabId="7" name="city city wise profit"/>
    <pivotTable tabId="7" name="city avg shipping days"/>
    <pivotTable tabId="7" name="city payements in cities"/>
    <pivotTable tabId="7" name="city category wise quantity"/>
    <pivotTable tabId="7" name="city channel wise category"/>
    <pivotTable tabId="11" name="yoy growth"/>
    <pivotTable tabId="7" name="country Avg of ShippingDays country"/>
    <pivotTable tabId="7" name="country discount vs profit in country"/>
    <pivotTable tabId="7" name="country monthly sales trend for country"/>
    <pivotTable tabId="7" name="country PaymentMethod in each country"/>
    <pivotTable tabId="7" name="country profit margin percentage country"/>
    <pivotTable tabId="7" name="country wise profit"/>
    <pivotTable tabId="7" name="monthly sales trend for regions"/>
    <pivotTable tabId="7" name="payment method in each region"/>
    <pivotTable tabId="7" name="PV Sales vs profit"/>
    <pivotTable tabId="7" name="region wise profit"/>
    <pivotTable tabId="7" name="top 5 categories"/>
    <pivotTable tabId="7" name="Average of ShippingDays region"/>
  </pivotTables>
  <data>
    <tabular pivotCacheId="143671544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1" sourceName="Region">
  <pivotTables>
    <pivotTable tabId="9" name="tot sales"/>
    <pivotTable tabId="9" name="tot profit"/>
    <pivotTable tabId="9" name="tot quantity"/>
    <pivotTable tabId="9" name="tot order ids"/>
    <pivotTable tabId="9" name="tot profit margin"/>
    <pivotTable tabId="7" name="country wise profit"/>
    <pivotTable tabId="7" name="country Avg of ShippingDays country"/>
    <pivotTable tabId="7" name="country PaymentMethod in each country"/>
    <pivotTable tabId="7" name="country monthly sales trend for country"/>
    <pivotTable tabId="7" name="country discount vs profit in country"/>
    <pivotTable tabId="7" name="country profit margin percentage country"/>
    <pivotTable tabId="7" name="city shipping days"/>
    <pivotTable tabId="7" name="city profit margin"/>
    <pivotTable tabId="7" name="city city wise profit"/>
    <pivotTable tabId="7" name="city avg shipping days"/>
    <pivotTable tabId="7" name="city payements in cities"/>
    <pivotTable tabId="7" name="city category wise quantity"/>
    <pivotTable tabId="7" name="city channel wise category"/>
    <pivotTable tabId="11" name="yoy growth"/>
    <pivotTable tabId="7" name="Average of ShippingDays region"/>
    <pivotTable tabId="7" name="monthly sales trend for regions"/>
    <pivotTable tabId="7" name="payment method in each region"/>
    <pivotTable tabId="7" name="PV Sales vs profit"/>
    <pivotTable tabId="7" name="region wise profit"/>
    <pivotTable tabId="7" name="top 5 categories"/>
  </pivotTables>
  <data>
    <tabular pivotCacheId="1436715446">
      <items count="5">
        <i x="1" s="1"/>
        <i x="0" s="1"/>
        <i x="3"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Category1" sourceName="ProductCategory">
  <pivotTables>
    <pivotTable tabId="9" name="tot sales"/>
    <pivotTable tabId="9" name="tot profit"/>
    <pivotTable tabId="9" name="tot quantity"/>
    <pivotTable tabId="9" name="tot order ids"/>
    <pivotTable tabId="9" name="tot profit margin"/>
    <pivotTable tabId="7" name="city shipping days"/>
    <pivotTable tabId="7" name="city profit margin"/>
    <pivotTable tabId="7" name="city city wise profit"/>
    <pivotTable tabId="7" name="city avg shipping days"/>
    <pivotTable tabId="7" name="city payements in cities"/>
    <pivotTable tabId="7" name="city category wise quantity"/>
    <pivotTable tabId="7" name="city channel wise category"/>
    <pivotTable tabId="11" name="yoy growth"/>
    <pivotTable tabId="7" name="country Avg of ShippingDays country"/>
    <pivotTable tabId="7" name="country discount vs profit in country"/>
    <pivotTable tabId="7" name="country monthly sales trend for country"/>
    <pivotTable tabId="7" name="country PaymentMethod in each country"/>
    <pivotTable tabId="7" name="country profit margin percentage country"/>
    <pivotTable tabId="7" name="country wise profit"/>
    <pivotTable tabId="7" name="monthly sales trend for regions"/>
    <pivotTable tabId="7" name="payment method in each region"/>
    <pivotTable tabId="7" name="PV Sales vs profit"/>
    <pivotTable tabId="7" name="region wise profit"/>
    <pivotTable tabId="7" name="top 5 categories"/>
  </pivotTables>
  <data>
    <tabular pivotCacheId="1436715446">
      <items count="5">
        <i x="1" s="1"/>
        <i x="2" s="1"/>
        <i x="3"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hannel1" sourceName="Channel">
  <pivotTables>
    <pivotTable tabId="9" name="tot sales"/>
    <pivotTable tabId="9" name="tot profit"/>
    <pivotTable tabId="9" name="tot quantity"/>
    <pivotTable tabId="9" name="tot order ids"/>
    <pivotTable tabId="9" name="tot profit margin"/>
    <pivotTable tabId="7" name="city shipping days"/>
    <pivotTable tabId="7" name="city profit margin"/>
    <pivotTable tabId="7" name="city city wise profit"/>
    <pivotTable tabId="7" name="city avg shipping days"/>
    <pivotTable tabId="7" name="city payements in cities"/>
    <pivotTable tabId="7" name="city category wise quantity"/>
    <pivotTable tabId="7" name="city channel wise category"/>
    <pivotTable tabId="7" name="Average of ShippingDays region"/>
    <pivotTable tabId="7" name="country Avg of ShippingDays country"/>
    <pivotTable tabId="7" name="country discount vs profit in country"/>
    <pivotTable tabId="7" name="country monthly sales trend for country"/>
    <pivotTable tabId="7" name="country PaymentMethod in each country"/>
    <pivotTable tabId="7" name="country profit margin percentage country"/>
    <pivotTable tabId="7" name="country wise profit"/>
    <pivotTable tabId="7" name="monthly sales trend for regions"/>
    <pivotTable tabId="7" name="payment method in each region"/>
    <pivotTable tabId="7" name="PV Sales vs profit"/>
    <pivotTable tabId="7" name="region wise profit"/>
    <pivotTable tabId="7" name="top 5 categories"/>
    <pivotTable tabId="11" name="yoy growth"/>
  </pivotTables>
  <data>
    <tabular pivotCacheId="1436715446">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9" name="tot sales"/>
    <pivotTable tabId="9" name="tot profit"/>
    <pivotTable tabId="9" name="tot quantity"/>
    <pivotTable tabId="9" name="tot order ids"/>
    <pivotTable tabId="9" name="tot profit margin"/>
    <pivotTable tabId="7" name="country wise profit"/>
    <pivotTable tabId="7" name="country Avg of ShippingDays country"/>
    <pivotTable tabId="7" name="country PaymentMethod in each country"/>
    <pivotTable tabId="7" name="country monthly sales trend for country"/>
    <pivotTable tabId="7" name="country discount vs profit in country"/>
    <pivotTable tabId="7" name="country profit margin percentage country"/>
    <pivotTable tabId="7" name="city shipping days"/>
    <pivotTable tabId="7" name="city profit margin"/>
    <pivotTable tabId="7" name="city city wise profit"/>
    <pivotTable tabId="7" name="city avg shipping days"/>
    <pivotTable tabId="7" name="city payements in cities"/>
    <pivotTable tabId="7" name="city category wise quantity"/>
    <pivotTable tabId="7" name="city channel wise category"/>
    <pivotTable tabId="11" name="yoy growth"/>
    <pivotTable tabId="7" name="monthly sales trend for regions"/>
    <pivotTable tabId="7" name="payment method in each region"/>
    <pivotTable tabId="7" name="PV Sales vs profit"/>
    <pivotTable tabId="7" name="region wise profit"/>
    <pivotTable tabId="7" name="top 5 categories"/>
  </pivotTables>
  <data>
    <tabular pivotCacheId="1436715446">
      <items count="12">
        <i x="6" s="1"/>
        <i x="2" s="1"/>
        <i x="8" s="1"/>
        <i x="10" s="1"/>
        <i x="3" s="1"/>
        <i x="1" s="1"/>
        <i x="5" s="1"/>
        <i x="9" s="1"/>
        <i x="11" s="1"/>
        <i x="7" s="1"/>
        <i x="0"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7" name="country monthly sales trend for country"/>
    <pivotTable tabId="9" name="tot order ids"/>
    <pivotTable tabId="9" name="tot profit"/>
    <pivotTable tabId="9" name="tot profit margin"/>
    <pivotTable tabId="9" name="tot quantity"/>
    <pivotTable tabId="9" name="tot sales"/>
    <pivotTable tabId="7" name="country Avg of ShippingDays country"/>
    <pivotTable tabId="7" name="country discount vs profit in country"/>
    <pivotTable tabId="7" name="country PaymentMethod in each country"/>
    <pivotTable tabId="7" name="country profit margin percentage country"/>
    <pivotTable tabId="7" name="country wise profit"/>
    <pivotTable tabId="7" name="city shipping days"/>
    <pivotTable tabId="7" name="city profit margin"/>
    <pivotTable tabId="7" name="city city wise profit"/>
    <pivotTable tabId="7" name="city avg shipping days"/>
    <pivotTable tabId="7" name="city payements in cities"/>
    <pivotTable tabId="7" name="city category wise quantity"/>
    <pivotTable tabId="7" name="city channel wise category"/>
    <pivotTable tabId="7" name="monthly sales trend for regions"/>
    <pivotTable tabId="7" name="payment method in each region"/>
    <pivotTable tabId="7" name="PV Sales vs profit"/>
    <pivotTable tabId="7" name="region wise profit"/>
    <pivotTable tabId="7" name="top 5 categories"/>
    <pivotTable tabId="11" name="yoy growth"/>
  </pivotTables>
  <data>
    <tabular pivotCacheId="1436715446">
      <items count="7">
        <i x="4" s="1"/>
        <i x="1" s="1"/>
        <i x="0" s="1"/>
        <i x="6" s="1"/>
        <i x="5" s="1"/>
        <i x="3"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City1" sourceName="City">
  <pivotTables>
    <pivotTable tabId="7" name="city category wise quantity"/>
    <pivotTable tabId="9" name="tot order ids"/>
    <pivotTable tabId="9" name="tot profit"/>
    <pivotTable tabId="9" name="tot profit margin"/>
    <pivotTable tabId="9" name="tot quantity"/>
    <pivotTable tabId="9" name="tot sales"/>
    <pivotTable tabId="7" name="city avg shipping days"/>
    <pivotTable tabId="7" name="city channel wise category"/>
    <pivotTable tabId="7" name="city city wise profit"/>
    <pivotTable tabId="7" name="city payements in cities"/>
    <pivotTable tabId="7" name="city profit margin"/>
    <pivotTable tabId="7" name="city shipping days"/>
    <pivotTable tabId="7" name="country Avg of ShippingDays country"/>
    <pivotTable tabId="7" name="country discount vs profit in country"/>
    <pivotTable tabId="7" name="country monthly sales trend for country"/>
    <pivotTable tabId="7" name="country PaymentMethod in each country"/>
    <pivotTable tabId="7" name="country profit margin percentage country"/>
    <pivotTable tabId="7" name="country wise profit"/>
    <pivotTable tabId="7" name="monthly sales trend for regions"/>
    <pivotTable tabId="7" name="payment method in each region"/>
    <pivotTable tabId="7" name="PV Sales vs profit"/>
    <pivotTable tabId="7" name="region wise profit"/>
    <pivotTable tabId="7" name="top 5 categories"/>
    <pivotTable tabId="11" name="yoy growth"/>
  </pivotTables>
  <data>
    <tabular pivotCacheId="1436715446">
      <items count="8">
        <i x="5" s="1"/>
        <i x="2" s="1"/>
        <i x="6" s="1"/>
        <i x="1" s="1"/>
        <i x="0" s="1"/>
        <i x="4" s="1"/>
        <i x="7" s="1"/>
        <i x="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ProductName" sourceName="ProductName">
  <pivotTables>
    <pivotTable tabId="7" name="city category wise quantity"/>
    <pivotTable tabId="9" name="tot order ids"/>
    <pivotTable tabId="9" name="tot profit"/>
    <pivotTable tabId="9" name="tot profit margin"/>
    <pivotTable tabId="9" name="tot quantity"/>
    <pivotTable tabId="9" name="tot sales"/>
    <pivotTable tabId="7" name="city avg shipping days"/>
    <pivotTable tabId="7" name="city channel wise category"/>
    <pivotTable tabId="7" name="city city wise profit"/>
    <pivotTable tabId="7" name="city payements in cities"/>
    <pivotTable tabId="7" name="city profit margin"/>
    <pivotTable tabId="7" name="city shipping days"/>
    <pivotTable tabId="7" name="Average of ShippingDays region"/>
    <pivotTable tabId="7" name="country Avg of ShippingDays country"/>
    <pivotTable tabId="7" name="country discount vs profit in country"/>
    <pivotTable tabId="7" name="country monthly sales trend for country"/>
    <pivotTable tabId="7" name="country PaymentMethod in each country"/>
    <pivotTable tabId="7" name="country profit margin percentage country"/>
    <pivotTable tabId="7" name="country wise profit"/>
    <pivotTable tabId="7" name="monthly sales trend for regions"/>
    <pivotTable tabId="7" name="payment method in each region"/>
    <pivotTable tabId="7" name="PV Sales vs profit"/>
    <pivotTable tabId="7" name="region wise profit"/>
    <pivotTable tabId="7" name="top 5 categories"/>
    <pivotTable tabId="11" name="yoy growth"/>
  </pivotTables>
  <data>
    <tabular pivotCacheId="1436715446">
      <items count="9">
        <i x="8" s="1"/>
        <i x="6" s="1"/>
        <i x="7" s="1"/>
        <i x="3" s="1"/>
        <i x="1" s="1"/>
        <i x="2" s="1"/>
        <i x="0" s="1"/>
        <i x="5" s="1"/>
        <i x="4"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mc:Ignorable="x" name="Slicer_Quantity" sourceName="Quantity">
  <pivotTables>
    <pivotTable tabId="7" name="city category wise quantity"/>
    <pivotTable tabId="9" name="tot order ids"/>
    <pivotTable tabId="9" name="tot profit"/>
    <pivotTable tabId="9" name="tot profit margin"/>
    <pivotTable tabId="9" name="tot quantity"/>
    <pivotTable tabId="9" name="tot sales"/>
    <pivotTable tabId="7" name="city avg shipping days"/>
    <pivotTable tabId="7" name="city channel wise category"/>
    <pivotTable tabId="7" name="city city wise profit"/>
    <pivotTable tabId="7" name="city payements in cities"/>
    <pivotTable tabId="7" name="city profit margin"/>
    <pivotTable tabId="7" name="city shipping days"/>
    <pivotTable tabId="7" name="Average of ShippingDays region"/>
    <pivotTable tabId="7" name="country Avg of ShippingDays country"/>
    <pivotTable tabId="7" name="country discount vs profit in country"/>
    <pivotTable tabId="7" name="country monthly sales trend for country"/>
    <pivotTable tabId="7" name="country PaymentMethod in each country"/>
    <pivotTable tabId="7" name="country profit margin percentage country"/>
    <pivotTable tabId="7" name="country wise profit"/>
    <pivotTable tabId="7" name="monthly sales trend for regions"/>
    <pivotTable tabId="7" name="payment method in each region"/>
    <pivotTable tabId="7" name="PV Sales vs profit"/>
    <pivotTable tabId="7" name="region wise profit"/>
    <pivotTable tabId="7" name="top 5 categories"/>
    <pivotTable tabId="11" name="yoy growth"/>
  </pivotTables>
  <data>
    <tabular pivotCacheId="1436715446">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2" cache="Slicer_Year" caption="Year" style="p" rowHeight="234950"/>
  <slicer name="Region 2" cache="Slicer_Region1" caption="Region" style="p" rowHeight="234950"/>
  <slicer name="ProductCategory 2" cache="Slicer_ProductCategory1" caption="ProductCategory" style="p" rowHeight="234950"/>
  <slicer name="Channel 2" cache="Slicer_Channel1" caption="Channel" style="p" rowHeight="234950"/>
  <slicer name="month 1" cache="Slicer_month" caption="Month" startItem="3" style="p"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Year 7" cache="Slicer_Year" caption="Year" style="p" rowHeight="234950"/>
  <slicer name="ProductCategory 7" cache="Slicer_ProductCategory1" caption="ProductCategory" style="p" rowHeight="234950"/>
  <slicer name="Channel 7" cache="Slicer_Channel1" caption="Channel" style="p" rowHeight="234950"/>
  <slicer name="month 6" cache="Slicer_month" caption="Month" style="p" rowHeight="234950"/>
  <slicer name="Country 1" cache="Slicer_Country" caption="Country" style="p"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Year 6" cache="Slicer_Year" caption="Year" style="p" rowHeight="234950"/>
  <slicer name="ProductCategory 6" cache="Slicer_ProductCategory1" caption="ProductCategory" style="p" rowHeight="234950"/>
  <slicer name="Channel 6" cache="Slicer_Channel1" caption="Channel" style="p" rowHeight="234950"/>
  <slicer name="City 2" cache="Slicer_City1" caption="City" style="p" rowHeight="234950"/>
  <slicer name="ProductName 1" cache="Slicer_ProductName" caption="ProductName" style="p" rowHeight="234950"/>
  <slicer name="Quantity 1" cache="Slicer_Quantity" caption="Quantity" style="p" rowHeight="234950"/>
</slicers>
</file>

<file path=xl/slicers/slicer4.xml><?xml version="1.0" encoding="utf-8"?>
<slicers xmlns="http://schemas.microsoft.com/office/spreadsheetml/2009/9/main" xmlns:mc="http://schemas.openxmlformats.org/markup-compatibility/2006" xmlns:x="http://schemas.openxmlformats.org/spreadsheetml/2006/main" mc:Ignorable="x">
  <slicer name="Year 1" cache="Slicer_Year" caption="Year" rowHeight="234950"/>
  <slicer name="Year 5" cache="Slicer_Year" caption="Year" style="p" rowHeight="234950"/>
  <slicer name="Year 4" cache="Slicer_Year" caption="Year" style="p" rowHeight="234950"/>
  <slicer name="Region 1" cache="Slicer_Region1" caption="Region" rowHeight="234950"/>
  <slicer name="ProductCategory 1" cache="Slicer_ProductCategory1" caption="ProductCategory" rowHeight="234950"/>
  <slicer name="ProductCategory 5" cache="Slicer_ProductCategory1" caption="ProductCategory" style="p" rowHeight="234950"/>
  <slicer name="ProductCategory 4" cache="Slicer_ProductCategory1" caption="ProductCategory" style="p" rowHeight="234950"/>
  <slicer name="Channel 1" cache="Slicer_Channel1" caption="Channel" rowHeight="234950"/>
  <slicer name="Channel 5" cache="Slicer_Channel1" caption="Channel" style="p" rowHeight="234950"/>
  <slicer name="Channel 4" cache="Slicer_Channel1" caption="Channel" style="p" rowHeight="234950"/>
  <slicer name="month" cache="Slicer_month" caption="month" rowHeight="234950"/>
  <slicer name="month 4" cache="Slicer_month" caption="Month" style="p" rowHeight="234950"/>
  <slicer name="Country" cache="Slicer_Country" caption="Country" rowHeight="234950"/>
  <slicer name="City 1" cache="Slicer_City1" caption="City" rowHeight="234950"/>
  <slicer name="City" cache="Slicer_City1" caption="City" rowHeight="234950"/>
  <slicer name="ProductName" cache="Slicer_ProductName" caption="ProductName" rowHeight="234950"/>
  <slicer name="Quantity" cache="Slicer_Quantity" caption="Quantit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drawing" Target="../drawings/drawing4.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rinterSettings" Target="../printerSettings/printerSettings4.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microsoft.com/office/2007/relationships/slicer" Target="../slicers/slicer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22.xml"/><Relationship Id="rId7" Type="http://schemas.openxmlformats.org/officeDocument/2006/relationships/drawing" Target="../drawings/drawing6.xml"/><Relationship Id="rId2" Type="http://schemas.openxmlformats.org/officeDocument/2006/relationships/pivotTable" Target="../pivotTables/pivotTable21.xml"/><Relationship Id="rId1" Type="http://schemas.openxmlformats.org/officeDocument/2006/relationships/pivotTable" Target="../pivotTables/pivotTable20.xml"/><Relationship Id="rId6" Type="http://schemas.openxmlformats.org/officeDocument/2006/relationships/printerSettings" Target="../printerSettings/printerSettings6.bin"/><Relationship Id="rId5" Type="http://schemas.openxmlformats.org/officeDocument/2006/relationships/pivotTable" Target="../pivotTables/pivotTable24.xml"/><Relationship Id="rId4" Type="http://schemas.openxmlformats.org/officeDocument/2006/relationships/pivotTable" Target="../pivotTables/pivotTable23.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2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21" zoomScale="74" zoomScaleNormal="65" workbookViewId="0">
      <selection activeCell="T43" sqref="T43"/>
    </sheetView>
  </sheetViews>
  <sheetFormatPr defaultRowHeight="14.4" x14ac:dyDescent="0.3"/>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22" zoomScale="73" zoomScaleNormal="73" workbookViewId="0">
      <selection activeCell="G43" sqref="G43"/>
    </sheetView>
  </sheetViews>
  <sheetFormatPr defaultRowHeight="14.4" x14ac:dyDescent="0.3"/>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abSelected="1" topLeftCell="H12" zoomScale="75" zoomScaleNormal="85" workbookViewId="0">
      <selection activeCell="V43" sqref="V43"/>
    </sheetView>
  </sheetViews>
  <sheetFormatPr defaultRowHeight="14.4" x14ac:dyDescent="0.3"/>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30"/>
  <sheetViews>
    <sheetView topLeftCell="AO218" zoomScale="104" zoomScaleNormal="73" workbookViewId="0">
      <selection activeCell="C23" sqref="C23"/>
    </sheetView>
  </sheetViews>
  <sheetFormatPr defaultRowHeight="14.4" x14ac:dyDescent="0.3"/>
  <cols>
    <col min="1" max="1" width="18" customWidth="1"/>
    <col min="2" max="3" width="16.6640625" customWidth="1"/>
    <col min="4" max="4" width="9.5546875" customWidth="1"/>
    <col min="5" max="5" width="15" customWidth="1"/>
    <col min="6" max="6" width="17.5546875" customWidth="1"/>
    <col min="7" max="7" width="15" customWidth="1"/>
    <col min="8" max="8" width="11.109375" customWidth="1"/>
    <col min="9" max="9" width="16" customWidth="1"/>
    <col min="10" max="10" width="15.77734375" customWidth="1"/>
    <col min="11" max="11" width="4.77734375" customWidth="1"/>
    <col min="12" max="12" width="7.109375" customWidth="1"/>
    <col min="13" max="13" width="18" customWidth="1"/>
    <col min="14" max="15" width="16.6640625" customWidth="1"/>
    <col min="16" max="16" width="18" customWidth="1"/>
    <col min="17" max="17" width="16.6640625" customWidth="1"/>
    <col min="18" max="18" width="22.109375" customWidth="1"/>
    <col min="19" max="24" width="13" customWidth="1"/>
    <col min="25" max="25" width="15" customWidth="1"/>
    <col min="26" max="26" width="5.21875" customWidth="1"/>
    <col min="27" max="27" width="4.109375" customWidth="1"/>
    <col min="28" max="35" width="5.21875" customWidth="1"/>
    <col min="36" max="36" width="21.5546875" customWidth="1"/>
    <col min="37" max="37" width="18" customWidth="1"/>
    <col min="38" max="38" width="20.88671875" customWidth="1"/>
    <col min="39" max="39" width="22.109375" customWidth="1"/>
    <col min="40" max="40" width="7.44140625" customWidth="1"/>
    <col min="41" max="41" width="8.109375" customWidth="1"/>
    <col min="42" max="42" width="10" customWidth="1"/>
    <col min="43" max="43" width="10.44140625" customWidth="1"/>
    <col min="44" max="44" width="12" customWidth="1"/>
    <col min="45" max="45" width="7.44140625" customWidth="1"/>
    <col min="46" max="46" width="10.109375" customWidth="1"/>
    <col min="47" max="47" width="15" customWidth="1"/>
    <col min="48" max="55" width="9.109375" customWidth="1"/>
    <col min="56" max="68" width="10.5546875" customWidth="1"/>
    <col min="69" max="69" width="9.109375" customWidth="1"/>
    <col min="70" max="71" width="10.5546875" customWidth="1"/>
    <col min="72" max="72" width="9.109375" customWidth="1"/>
    <col min="73" max="75" width="10.5546875" customWidth="1"/>
    <col min="76" max="76" width="7" customWidth="1"/>
    <col min="77" max="78" width="10.5546875" customWidth="1"/>
    <col min="79" max="79" width="9.109375" customWidth="1"/>
    <col min="80" max="94" width="10.5546875" customWidth="1"/>
    <col min="95" max="95" width="9.109375" customWidth="1"/>
    <col min="96" max="102" width="10.5546875" customWidth="1"/>
    <col min="103" max="103" width="9.109375" customWidth="1"/>
    <col min="104" max="107" width="10.5546875" customWidth="1"/>
    <col min="108" max="108" width="9.109375" customWidth="1"/>
    <col min="109" max="126" width="10.5546875" customWidth="1"/>
    <col min="127" max="127" width="9.109375" customWidth="1"/>
    <col min="128" max="132" width="10.5546875" customWidth="1"/>
    <col min="133" max="133" width="9.109375" customWidth="1"/>
    <col min="134" max="139" width="10.5546875" customWidth="1"/>
    <col min="140" max="140" width="9.109375" customWidth="1"/>
    <col min="141" max="144" width="10.5546875" customWidth="1"/>
    <col min="145" max="145" width="9.109375" customWidth="1"/>
    <col min="146" max="148" width="10.5546875" customWidth="1"/>
    <col min="149" max="149" width="9.109375" customWidth="1"/>
    <col min="150" max="154" width="10.5546875" customWidth="1"/>
    <col min="155" max="155" width="9.109375" customWidth="1"/>
    <col min="156" max="156" width="10.5546875" customWidth="1"/>
    <col min="157" max="157" width="9.109375" customWidth="1"/>
    <col min="158" max="161" width="10.5546875" customWidth="1"/>
    <col min="162" max="162" width="9.109375" customWidth="1"/>
    <col min="163" max="180" width="10.5546875" customWidth="1"/>
    <col min="181" max="181" width="9.109375" customWidth="1"/>
    <col min="182" max="194" width="10.5546875" customWidth="1"/>
    <col min="195" max="195" width="9.109375" customWidth="1"/>
    <col min="196" max="196" width="10.5546875" customWidth="1"/>
    <col min="197" max="197" width="9.109375" customWidth="1"/>
    <col min="198" max="211" width="10.5546875" customWidth="1"/>
    <col min="212" max="213" width="9.109375" customWidth="1"/>
    <col min="214" max="221" width="10.5546875" customWidth="1"/>
    <col min="222" max="222" width="9.109375" customWidth="1"/>
    <col min="223" max="236" width="10.5546875" customWidth="1"/>
    <col min="237" max="237" width="9.109375" customWidth="1"/>
    <col min="238" max="250" width="10.5546875" customWidth="1"/>
    <col min="251" max="251" width="9.109375" customWidth="1"/>
    <col min="252" max="252" width="10.5546875" customWidth="1"/>
    <col min="253" max="253" width="9.109375" customWidth="1"/>
    <col min="254" max="259" width="10.5546875" customWidth="1"/>
    <col min="260" max="260" width="9.109375" customWidth="1"/>
    <col min="261" max="266" width="10.5546875" customWidth="1"/>
    <col min="267" max="267" width="9.109375" customWidth="1"/>
    <col min="268" max="270" width="10.5546875" customWidth="1"/>
    <col min="271" max="271" width="9.109375" customWidth="1"/>
    <col min="272" max="272" width="10.5546875" customWidth="1"/>
    <col min="273" max="308" width="11.88671875" customWidth="1"/>
    <col min="309" max="309" width="10.5546875" customWidth="1"/>
    <col min="310" max="313" width="11.88671875" customWidth="1"/>
    <col min="314" max="314" width="10.5546875" customWidth="1"/>
    <col min="315" max="315" width="11.88671875" customWidth="1"/>
    <col min="316" max="316" width="10.5546875" customWidth="1"/>
    <col min="317" max="317" width="7.6640625" customWidth="1"/>
    <col min="318" max="319" width="11.88671875" customWidth="1"/>
    <col min="320" max="320" width="7.6640625" customWidth="1"/>
    <col min="321" max="359" width="11.88671875" customWidth="1"/>
    <col min="360" max="360" width="10.5546875" customWidth="1"/>
    <col min="361" max="366" width="11.88671875" customWidth="1"/>
    <col min="367" max="367" width="10.5546875" customWidth="1"/>
    <col min="368" max="382" width="11.88671875" customWidth="1"/>
    <col min="383" max="383" width="10.5546875" customWidth="1"/>
    <col min="384" max="389" width="11.88671875" customWidth="1"/>
    <col min="390" max="390" width="10.5546875" customWidth="1"/>
    <col min="391" max="399" width="11.88671875" customWidth="1"/>
    <col min="400" max="400" width="10.5546875" customWidth="1"/>
    <col min="401" max="415" width="11.88671875" customWidth="1"/>
    <col min="416" max="416" width="10.5546875" customWidth="1"/>
    <col min="417" max="424" width="11.88671875" customWidth="1"/>
    <col min="425" max="425" width="10.5546875" customWidth="1"/>
    <col min="426" max="465" width="11.88671875" customWidth="1"/>
    <col min="466" max="466" width="10.5546875" customWidth="1"/>
    <col min="467" max="474" width="11.88671875" customWidth="1"/>
    <col min="475" max="476" width="10.5546875" customWidth="1"/>
    <col min="477" max="492" width="11.88671875" customWidth="1"/>
    <col min="493" max="493" width="7.6640625" customWidth="1"/>
    <col min="494" max="501" width="11.88671875" customWidth="1"/>
    <col min="502" max="502" width="10.5546875" customWidth="1"/>
    <col min="503" max="505" width="11.88671875" customWidth="1"/>
    <col min="506" max="506" width="10.5546875" customWidth="1"/>
    <col min="507" max="512" width="11.88671875" customWidth="1"/>
    <col min="513" max="514" width="10.5546875" customWidth="1"/>
    <col min="515" max="521" width="11.88671875" customWidth="1"/>
    <col min="522" max="522" width="10.5546875" customWidth="1"/>
    <col min="523" max="544" width="11.88671875" customWidth="1"/>
    <col min="545" max="545" width="10.5546875" customWidth="1"/>
    <col min="546" max="557" width="11.88671875" customWidth="1"/>
    <col min="558" max="558" width="10.5546875" customWidth="1"/>
    <col min="559" max="561" width="11.88671875" customWidth="1"/>
    <col min="562" max="562" width="10.5546875" customWidth="1"/>
    <col min="563" max="573" width="11.88671875" customWidth="1"/>
    <col min="574" max="574" width="10.5546875" customWidth="1"/>
    <col min="575" max="575" width="11.88671875" customWidth="1"/>
    <col min="576" max="576" width="16.44140625" customWidth="1"/>
    <col min="577" max="997" width="8" customWidth="1"/>
    <col min="998" max="998" width="10.77734375" bestFit="1" customWidth="1"/>
  </cols>
  <sheetData>
    <row r="1" spans="1:39" x14ac:dyDescent="0.3">
      <c r="A1" s="1" t="s">
        <v>2572</v>
      </c>
      <c r="B1" t="s">
        <v>2574</v>
      </c>
      <c r="C1" t="s">
        <v>2575</v>
      </c>
      <c r="X1" t="s">
        <v>2609</v>
      </c>
    </row>
    <row r="2" spans="1:39" x14ac:dyDescent="0.3">
      <c r="A2" s="2" t="s">
        <v>2589</v>
      </c>
      <c r="B2" s="10">
        <v>130235.7</v>
      </c>
      <c r="C2" s="10">
        <v>30775.80999999999</v>
      </c>
    </row>
    <row r="3" spans="1:39" x14ac:dyDescent="0.3">
      <c r="A3" s="2" t="s">
        <v>2584</v>
      </c>
      <c r="B3" s="10">
        <v>123386.54999999999</v>
      </c>
      <c r="C3" s="10">
        <v>26446.85999999999</v>
      </c>
      <c r="P3" s="1" t="s">
        <v>2572</v>
      </c>
      <c r="Q3" t="s">
        <v>2608</v>
      </c>
      <c r="R3" t="s">
        <v>2575</v>
      </c>
      <c r="AK3" s="1" t="s">
        <v>2572</v>
      </c>
      <c r="AL3" t="s">
        <v>2575</v>
      </c>
      <c r="AM3" t="s">
        <v>2574</v>
      </c>
    </row>
    <row r="4" spans="1:39" x14ac:dyDescent="0.3">
      <c r="A4" s="2" t="s">
        <v>2587</v>
      </c>
      <c r="B4" s="10">
        <v>109967.59</v>
      </c>
      <c r="C4" s="10">
        <v>26292.469999999994</v>
      </c>
      <c r="P4" s="2" t="s">
        <v>58</v>
      </c>
      <c r="Q4" s="14">
        <v>0.15679389312977107</v>
      </c>
      <c r="R4" s="18">
        <v>40819.830000000016</v>
      </c>
      <c r="AK4" s="2">
        <v>1</v>
      </c>
      <c r="AL4" s="18">
        <v>35516.229999999996</v>
      </c>
      <c r="AM4" s="3">
        <v>148867.96999999994</v>
      </c>
    </row>
    <row r="5" spans="1:39" x14ac:dyDescent="0.3">
      <c r="A5" s="2" t="s">
        <v>2581</v>
      </c>
      <c r="B5" s="10">
        <v>122940.36999999998</v>
      </c>
      <c r="C5" s="10">
        <v>29191.89000000001</v>
      </c>
      <c r="N5" s="3"/>
      <c r="P5" s="2" t="s">
        <v>37</v>
      </c>
      <c r="Q5" s="14">
        <v>0.14290322580645151</v>
      </c>
      <c r="R5" s="18">
        <v>52572.970000000016</v>
      </c>
      <c r="AK5" s="2">
        <v>2</v>
      </c>
      <c r="AL5" s="18">
        <v>33028.94</v>
      </c>
      <c r="AM5" s="3">
        <v>140781.32000000007</v>
      </c>
    </row>
    <row r="6" spans="1:39" x14ac:dyDescent="0.3">
      <c r="A6" s="2" t="s">
        <v>2583</v>
      </c>
      <c r="B6" s="10">
        <v>126507.20000000001</v>
      </c>
      <c r="C6" s="10">
        <v>28306.76999999999</v>
      </c>
      <c r="P6" s="2" t="s">
        <v>19</v>
      </c>
      <c r="Q6" s="14">
        <v>0.15537313432835823</v>
      </c>
      <c r="R6" s="18">
        <v>47662.869999999995</v>
      </c>
      <c r="AK6" s="2">
        <v>3</v>
      </c>
      <c r="AL6" s="18">
        <v>34342.74</v>
      </c>
      <c r="AM6" s="3">
        <v>156495.54</v>
      </c>
    </row>
    <row r="7" spans="1:39" x14ac:dyDescent="0.3">
      <c r="A7" s="2" t="s">
        <v>2585</v>
      </c>
      <c r="B7" s="10">
        <v>130764.56999999996</v>
      </c>
      <c r="C7" s="10">
        <v>28542.190000000002</v>
      </c>
      <c r="P7" s="2" t="s">
        <v>71</v>
      </c>
      <c r="Q7" s="14">
        <v>0.14340277777777788</v>
      </c>
      <c r="R7" s="18">
        <v>53046.860000000008</v>
      </c>
      <c r="AK7" s="2">
        <v>4</v>
      </c>
      <c r="AL7" s="18">
        <v>32504.460000000003</v>
      </c>
      <c r="AM7" s="3">
        <v>148691.53000000003</v>
      </c>
    </row>
    <row r="8" spans="1:39" x14ac:dyDescent="0.3">
      <c r="A8" s="2" t="s">
        <v>2586</v>
      </c>
      <c r="B8" s="10">
        <v>101473.74</v>
      </c>
      <c r="C8" s="10">
        <v>25104.22</v>
      </c>
      <c r="N8" s="3"/>
      <c r="P8" s="2" t="s">
        <v>65</v>
      </c>
      <c r="Q8" s="14">
        <v>0.14950704225352118</v>
      </c>
      <c r="R8" s="18">
        <v>52824.610000000015</v>
      </c>
      <c r="AK8" s="2">
        <v>5</v>
      </c>
      <c r="AL8" s="18">
        <v>35683.350000000013</v>
      </c>
      <c r="AM8" s="3">
        <v>167319.15</v>
      </c>
    </row>
    <row r="9" spans="1:39" x14ac:dyDescent="0.3">
      <c r="A9" s="2" t="s">
        <v>2580</v>
      </c>
      <c r="B9" s="10">
        <v>144159.16000000003</v>
      </c>
      <c r="C9" s="10">
        <v>32803.589999999997</v>
      </c>
      <c r="P9" s="2" t="s">
        <v>51</v>
      </c>
      <c r="Q9" s="14">
        <v>0.13737931034482762</v>
      </c>
      <c r="R9" s="18">
        <v>47362.180000000015</v>
      </c>
      <c r="AK9" s="2">
        <v>6</v>
      </c>
      <c r="AL9" s="18">
        <v>40261.389999999992</v>
      </c>
      <c r="AM9" s="3">
        <v>169754.38000000003</v>
      </c>
    </row>
    <row r="10" spans="1:39" x14ac:dyDescent="0.3">
      <c r="A10" s="2" t="s">
        <v>2590</v>
      </c>
      <c r="B10" s="10">
        <v>134848.82</v>
      </c>
      <c r="C10" s="10">
        <v>30069.350000000002</v>
      </c>
      <c r="P10" s="2" t="s">
        <v>45</v>
      </c>
      <c r="Q10" s="14">
        <v>0.1483892617449665</v>
      </c>
      <c r="R10" s="18">
        <v>50713.350000000013</v>
      </c>
      <c r="AK10" s="2">
        <v>7</v>
      </c>
      <c r="AL10" s="18">
        <v>34873.509999999995</v>
      </c>
      <c r="AM10" s="3">
        <v>157259.28000000003</v>
      </c>
    </row>
    <row r="11" spans="1:39" x14ac:dyDescent="0.3">
      <c r="A11" s="2" t="s">
        <v>2591</v>
      </c>
      <c r="B11" s="10">
        <v>131816.47999999998</v>
      </c>
      <c r="C11" s="10">
        <v>26467.579999999998</v>
      </c>
      <c r="N11" s="3"/>
      <c r="P11" s="2" t="s">
        <v>2573</v>
      </c>
      <c r="Q11" s="14">
        <v>0.14742000000000011</v>
      </c>
      <c r="R11" s="18">
        <v>345002.67000000022</v>
      </c>
      <c r="AK11" s="2">
        <v>8</v>
      </c>
      <c r="AL11" s="18">
        <v>32713.349999999991</v>
      </c>
      <c r="AM11" s="3">
        <v>143036.89999999991</v>
      </c>
    </row>
    <row r="12" spans="1:39" x14ac:dyDescent="0.3">
      <c r="A12" s="2" t="s">
        <v>2582</v>
      </c>
      <c r="B12" s="10">
        <v>108358.24</v>
      </c>
      <c r="C12" s="10">
        <v>25108.149999999998</v>
      </c>
      <c r="AK12" s="2">
        <v>9</v>
      </c>
      <c r="AL12" s="18">
        <v>29612.079999999994</v>
      </c>
      <c r="AM12" s="3">
        <v>129274.95999999996</v>
      </c>
    </row>
    <row r="13" spans="1:39" x14ac:dyDescent="0.3">
      <c r="A13" s="2" t="s">
        <v>2588</v>
      </c>
      <c r="B13" s="10">
        <v>162994.06000000003</v>
      </c>
      <c r="C13" s="10">
        <v>35893.79</v>
      </c>
      <c r="AK13" s="2">
        <v>10</v>
      </c>
      <c r="AL13" s="18">
        <v>36466.620000000003</v>
      </c>
      <c r="AM13" s="3">
        <v>165971.44999999998</v>
      </c>
    </row>
    <row r="14" spans="1:39" x14ac:dyDescent="0.3">
      <c r="A14" s="2" t="s">
        <v>2573</v>
      </c>
      <c r="B14" s="3">
        <v>1527452.48</v>
      </c>
      <c r="C14" s="3">
        <v>345002.67</v>
      </c>
      <c r="N14" s="3"/>
      <c r="AK14" s="2" t="s">
        <v>2573</v>
      </c>
      <c r="AL14" s="18">
        <v>345002.67</v>
      </c>
      <c r="AM14" s="3">
        <v>1527452.48</v>
      </c>
    </row>
    <row r="15" spans="1:39" x14ac:dyDescent="0.3">
      <c r="A15" s="2"/>
      <c r="B15" s="5"/>
    </row>
    <row r="17" spans="1:14" x14ac:dyDescent="0.3">
      <c r="N17" s="3"/>
    </row>
    <row r="18" spans="1:14" x14ac:dyDescent="0.3">
      <c r="A18" s="2"/>
      <c r="B18" s="3"/>
      <c r="H18" t="s">
        <v>2604</v>
      </c>
    </row>
    <row r="19" spans="1:14" x14ac:dyDescent="0.3">
      <c r="A19" s="2"/>
      <c r="B19" s="3"/>
    </row>
    <row r="20" spans="1:14" x14ac:dyDescent="0.3">
      <c r="A20" s="2"/>
      <c r="B20" s="3"/>
    </row>
    <row r="21" spans="1:14" x14ac:dyDescent="0.3">
      <c r="A21" s="2"/>
      <c r="B21" s="3"/>
    </row>
    <row r="22" spans="1:14" x14ac:dyDescent="0.3">
      <c r="A22" s="2"/>
      <c r="B22" s="3"/>
    </row>
    <row r="23" spans="1:14" x14ac:dyDescent="0.3">
      <c r="A23" s="2"/>
      <c r="B23" s="3"/>
    </row>
    <row r="24" spans="1:14" x14ac:dyDescent="0.3">
      <c r="A24" s="2"/>
      <c r="B24" s="3"/>
    </row>
    <row r="25" spans="1:14" x14ac:dyDescent="0.3">
      <c r="A25" s="2"/>
      <c r="B25" s="3"/>
    </row>
    <row r="26" spans="1:14" x14ac:dyDescent="0.3">
      <c r="A26" s="2"/>
      <c r="B26" s="3"/>
    </row>
    <row r="27" spans="1:14" x14ac:dyDescent="0.3">
      <c r="A27" s="2"/>
      <c r="B27" s="3"/>
    </row>
    <row r="28" spans="1:14" x14ac:dyDescent="0.3">
      <c r="A28" s="2"/>
      <c r="B28" s="3"/>
    </row>
    <row r="34" spans="1:41" x14ac:dyDescent="0.3">
      <c r="I34" t="s">
        <v>2603</v>
      </c>
      <c r="AK34" s="1" t="s">
        <v>2572</v>
      </c>
      <c r="AL34" t="s">
        <v>2575</v>
      </c>
    </row>
    <row r="35" spans="1:41" x14ac:dyDescent="0.3">
      <c r="AK35" s="2" t="s">
        <v>59</v>
      </c>
      <c r="AL35" s="3">
        <v>52279.249999999993</v>
      </c>
      <c r="AN35" t="s">
        <v>5</v>
      </c>
      <c r="AO35" t="s">
        <v>2575</v>
      </c>
    </row>
    <row r="36" spans="1:41" x14ac:dyDescent="0.3">
      <c r="A36" s="1" t="s">
        <v>2572</v>
      </c>
      <c r="B36" t="s">
        <v>2575</v>
      </c>
      <c r="D36" t="s">
        <v>2594</v>
      </c>
      <c r="E36" t="str">
        <f t="shared" ref="E36:E42" si="0">B36</f>
        <v>Sum of Profit</v>
      </c>
      <c r="P36" s="1" t="s">
        <v>2572</v>
      </c>
      <c r="Q36" t="s">
        <v>2575</v>
      </c>
      <c r="S36" t="s">
        <v>2594</v>
      </c>
      <c r="T36" t="s">
        <v>2575</v>
      </c>
      <c r="AK36" s="2" t="s">
        <v>38</v>
      </c>
      <c r="AL36" s="3">
        <v>42636.410000000018</v>
      </c>
      <c r="AN36" t="str">
        <f>AK35</f>
        <v>Berlin</v>
      </c>
      <c r="AO36">
        <f>AL35</f>
        <v>52279.249999999993</v>
      </c>
    </row>
    <row r="37" spans="1:41" x14ac:dyDescent="0.3">
      <c r="A37" s="2" t="s">
        <v>36</v>
      </c>
      <c r="B37" s="3">
        <v>76451.47</v>
      </c>
      <c r="D37" t="str">
        <f t="shared" ref="D37:D42" si="1">A37</f>
        <v>Africa</v>
      </c>
      <c r="E37" s="10">
        <f t="shared" si="0"/>
        <v>76451.47</v>
      </c>
      <c r="P37" s="2" t="s">
        <v>58</v>
      </c>
      <c r="Q37" s="3">
        <v>40819.830000000016</v>
      </c>
      <c r="S37" t="str">
        <f>P37</f>
        <v>Canada</v>
      </c>
      <c r="T37">
        <f>Q37</f>
        <v>40819.830000000016</v>
      </c>
      <c r="AK37" s="2" t="s">
        <v>106</v>
      </c>
      <c r="AL37" s="3">
        <v>44006.129999999976</v>
      </c>
      <c r="AN37" t="str">
        <f t="shared" ref="AN37:AN44" si="2">AK36</f>
        <v>Delhi</v>
      </c>
      <c r="AO37">
        <f t="shared" ref="AO37:AO44" si="3">AL36</f>
        <v>42636.410000000018</v>
      </c>
    </row>
    <row r="38" spans="1:41" x14ac:dyDescent="0.3">
      <c r="A38" s="2" t="s">
        <v>18</v>
      </c>
      <c r="B38" s="3">
        <v>65013.900000000009</v>
      </c>
      <c r="D38" t="str">
        <f t="shared" si="1"/>
        <v>Asia</v>
      </c>
      <c r="E38" s="10">
        <f t="shared" si="0"/>
        <v>65013.900000000009</v>
      </c>
      <c r="P38" s="2" t="s">
        <v>37</v>
      </c>
      <c r="Q38" s="3">
        <v>52572.970000000016</v>
      </c>
      <c r="S38" t="str">
        <f t="shared" ref="S38:S43" si="4">P38</f>
        <v>France</v>
      </c>
      <c r="T38">
        <f t="shared" ref="T38:T44" si="5">Q38</f>
        <v>52572.970000000016</v>
      </c>
      <c r="AK38" s="2" t="s">
        <v>28</v>
      </c>
      <c r="AL38" s="3">
        <v>40252.230000000018</v>
      </c>
      <c r="AN38" t="str">
        <f t="shared" si="2"/>
        <v>Dubai</v>
      </c>
      <c r="AO38">
        <f t="shared" si="3"/>
        <v>44006.129999999976</v>
      </c>
    </row>
    <row r="39" spans="1:41" x14ac:dyDescent="0.3">
      <c r="A39" s="2" t="s">
        <v>64</v>
      </c>
      <c r="B39" s="3">
        <v>73788.890000000014</v>
      </c>
      <c r="D39" t="str">
        <f t="shared" si="1"/>
        <v>Europe</v>
      </c>
      <c r="E39" s="10">
        <f t="shared" si="0"/>
        <v>73788.890000000014</v>
      </c>
      <c r="P39" s="2" t="s">
        <v>19</v>
      </c>
      <c r="Q39" s="3">
        <v>47662.869999999995</v>
      </c>
      <c r="S39" t="str">
        <f t="shared" si="4"/>
        <v>Germany</v>
      </c>
      <c r="T39">
        <f t="shared" si="5"/>
        <v>47662.869999999995</v>
      </c>
      <c r="AK39" s="2" t="s">
        <v>20</v>
      </c>
      <c r="AL39" s="3">
        <v>35762.630000000005</v>
      </c>
      <c r="AN39" t="str">
        <f t="shared" si="2"/>
        <v>London</v>
      </c>
      <c r="AO39">
        <f t="shared" si="3"/>
        <v>40252.230000000018</v>
      </c>
    </row>
    <row r="40" spans="1:41" x14ac:dyDescent="0.3">
      <c r="A40" s="2" t="s">
        <v>44</v>
      </c>
      <c r="B40" s="3">
        <v>67834.580000000016</v>
      </c>
      <c r="D40" t="str">
        <f t="shared" si="1"/>
        <v>Middle East</v>
      </c>
      <c r="E40" s="10">
        <f t="shared" si="0"/>
        <v>67834.580000000016</v>
      </c>
      <c r="P40" s="2" t="s">
        <v>71</v>
      </c>
      <c r="Q40" s="3">
        <v>53046.860000000008</v>
      </c>
      <c r="S40" t="str">
        <f t="shared" si="4"/>
        <v>India</v>
      </c>
      <c r="T40">
        <f t="shared" si="5"/>
        <v>53046.860000000008</v>
      </c>
      <c r="AK40" s="2" t="s">
        <v>52</v>
      </c>
      <c r="AL40" s="3">
        <v>44440.62000000001</v>
      </c>
      <c r="AN40" t="str">
        <f t="shared" si="2"/>
        <v>Mumbai</v>
      </c>
      <c r="AO40">
        <f t="shared" si="3"/>
        <v>35762.630000000005</v>
      </c>
    </row>
    <row r="41" spans="1:41" x14ac:dyDescent="0.3">
      <c r="A41" s="2" t="s">
        <v>102</v>
      </c>
      <c r="B41" s="3">
        <v>61913.830000000031</v>
      </c>
      <c r="D41" t="str">
        <f t="shared" si="1"/>
        <v>North America</v>
      </c>
      <c r="E41" s="10">
        <f t="shared" si="0"/>
        <v>61913.830000000031</v>
      </c>
      <c r="P41" s="2" t="s">
        <v>65</v>
      </c>
      <c r="Q41" s="3">
        <v>52824.610000000015</v>
      </c>
      <c r="S41" t="str">
        <f t="shared" si="4"/>
        <v>UAE</v>
      </c>
      <c r="T41">
        <f t="shared" si="5"/>
        <v>52824.610000000015</v>
      </c>
      <c r="AK41" s="2" t="s">
        <v>116</v>
      </c>
      <c r="AL41" s="3">
        <v>42194.169999999991</v>
      </c>
      <c r="AN41" t="str">
        <f t="shared" si="2"/>
        <v>New York</v>
      </c>
      <c r="AO41">
        <f t="shared" si="3"/>
        <v>44440.62000000001</v>
      </c>
    </row>
    <row r="42" spans="1:41" x14ac:dyDescent="0.3">
      <c r="A42" s="2" t="s">
        <v>2573</v>
      </c>
      <c r="B42" s="3">
        <v>345002.67000000004</v>
      </c>
      <c r="D42" t="str">
        <f t="shared" si="1"/>
        <v>Grand Total</v>
      </c>
      <c r="E42" s="10">
        <f t="shared" si="0"/>
        <v>345002.67000000004</v>
      </c>
      <c r="P42" s="2" t="s">
        <v>51</v>
      </c>
      <c r="Q42" s="3">
        <v>47362.180000000015</v>
      </c>
      <c r="S42" t="str">
        <f t="shared" si="4"/>
        <v>UK</v>
      </c>
      <c r="T42">
        <f t="shared" si="5"/>
        <v>47362.180000000015</v>
      </c>
      <c r="AK42" s="2" t="s">
        <v>46</v>
      </c>
      <c r="AL42" s="3">
        <v>43431.229999999996</v>
      </c>
      <c r="AN42" t="str">
        <f t="shared" si="2"/>
        <v>Paris</v>
      </c>
      <c r="AO42">
        <f t="shared" si="3"/>
        <v>42194.169999999991</v>
      </c>
    </row>
    <row r="43" spans="1:41" x14ac:dyDescent="0.3">
      <c r="P43" s="2" t="s">
        <v>45</v>
      </c>
      <c r="Q43" s="3">
        <v>50713.350000000013</v>
      </c>
      <c r="S43" t="str">
        <f t="shared" si="4"/>
        <v>USA</v>
      </c>
      <c r="T43">
        <f t="shared" si="5"/>
        <v>50713.350000000013</v>
      </c>
      <c r="AK43" s="2" t="s">
        <v>2573</v>
      </c>
      <c r="AL43" s="3">
        <v>345002.67</v>
      </c>
      <c r="AN43" t="str">
        <f t="shared" si="2"/>
        <v>Toronto</v>
      </c>
      <c r="AO43">
        <f t="shared" si="3"/>
        <v>43431.229999999996</v>
      </c>
    </row>
    <row r="44" spans="1:41" x14ac:dyDescent="0.3">
      <c r="P44" s="2" t="s">
        <v>2573</v>
      </c>
      <c r="Q44" s="3">
        <v>345002.6700000001</v>
      </c>
      <c r="S44" t="str">
        <f>P44</f>
        <v>Grand Total</v>
      </c>
      <c r="T44">
        <f t="shared" si="5"/>
        <v>345002.6700000001</v>
      </c>
      <c r="AN44" t="str">
        <f t="shared" si="2"/>
        <v>Grand Total</v>
      </c>
      <c r="AO44">
        <f t="shared" si="3"/>
        <v>345002.67</v>
      </c>
    </row>
    <row r="49" spans="1:38" x14ac:dyDescent="0.3">
      <c r="A49" s="2"/>
      <c r="B49" s="5"/>
    </row>
    <row r="50" spans="1:38" x14ac:dyDescent="0.3">
      <c r="A50" s="2"/>
      <c r="B50" s="5"/>
    </row>
    <row r="51" spans="1:38" x14ac:dyDescent="0.3">
      <c r="A51" s="2"/>
      <c r="B51" s="5"/>
    </row>
    <row r="52" spans="1:38" x14ac:dyDescent="0.3">
      <c r="A52" s="2"/>
      <c r="B52" s="5"/>
    </row>
    <row r="53" spans="1:38" x14ac:dyDescent="0.3">
      <c r="A53" s="2"/>
      <c r="B53" s="5"/>
    </row>
    <row r="54" spans="1:38" x14ac:dyDescent="0.3">
      <c r="A54" s="2"/>
      <c r="B54" s="5"/>
    </row>
    <row r="62" spans="1:38" x14ac:dyDescent="0.3">
      <c r="R62" t="s">
        <v>2609</v>
      </c>
    </row>
    <row r="64" spans="1:38" x14ac:dyDescent="0.3">
      <c r="AK64" s="1" t="s">
        <v>2572</v>
      </c>
      <c r="AL64" t="s">
        <v>2610</v>
      </c>
    </row>
    <row r="65" spans="1:38" x14ac:dyDescent="0.3">
      <c r="AK65" s="2" t="s">
        <v>46</v>
      </c>
      <c r="AL65" s="5">
        <v>0.21907463035292654</v>
      </c>
    </row>
    <row r="66" spans="1:38" x14ac:dyDescent="0.3">
      <c r="AK66" s="2" t="s">
        <v>38</v>
      </c>
      <c r="AL66" s="5">
        <v>0.22087476465324929</v>
      </c>
    </row>
    <row r="67" spans="1:38" x14ac:dyDescent="0.3">
      <c r="A67" s="1" t="s">
        <v>2572</v>
      </c>
      <c r="B67" t="s">
        <v>2574</v>
      </c>
      <c r="AK67" s="2" t="s">
        <v>28</v>
      </c>
      <c r="AL67" s="5">
        <v>0.22174487739867846</v>
      </c>
    </row>
    <row r="68" spans="1:38" x14ac:dyDescent="0.3">
      <c r="A68" s="2" t="s">
        <v>67</v>
      </c>
      <c r="B68" s="3">
        <v>170893.97999999998</v>
      </c>
      <c r="M68" s="1" t="s">
        <v>2572</v>
      </c>
      <c r="N68" t="s">
        <v>2575</v>
      </c>
      <c r="O68" t="s">
        <v>2574</v>
      </c>
      <c r="P68" t="s">
        <v>2610</v>
      </c>
      <c r="AK68" s="2" t="s">
        <v>52</v>
      </c>
      <c r="AL68" s="5">
        <v>0.22294047562312344</v>
      </c>
    </row>
    <row r="69" spans="1:38" x14ac:dyDescent="0.3">
      <c r="A69" s="2" t="s">
        <v>72</v>
      </c>
      <c r="B69" s="3">
        <v>177853.4</v>
      </c>
      <c r="M69" s="2" t="s">
        <v>58</v>
      </c>
      <c r="N69" s="3">
        <v>40819.830000000016</v>
      </c>
      <c r="O69" s="3">
        <v>193402.8599999999</v>
      </c>
      <c r="P69" s="5">
        <v>0.21106114976789919</v>
      </c>
      <c r="AK69" s="2" t="s">
        <v>106</v>
      </c>
      <c r="AL69" s="5">
        <v>0.22642043855439994</v>
      </c>
    </row>
    <row r="70" spans="1:38" x14ac:dyDescent="0.3">
      <c r="A70" s="2" t="s">
        <v>82</v>
      </c>
      <c r="B70" s="3">
        <v>184577.72999999992</v>
      </c>
      <c r="M70" s="2" t="s">
        <v>37</v>
      </c>
      <c r="N70" s="3">
        <v>52572.970000000016</v>
      </c>
      <c r="O70" s="3">
        <v>226322.48000000016</v>
      </c>
      <c r="P70" s="5">
        <v>0.23229230255872055</v>
      </c>
      <c r="AK70" s="2" t="s">
        <v>20</v>
      </c>
      <c r="AL70" s="5">
        <v>0.23058873821914247</v>
      </c>
    </row>
    <row r="71" spans="1:38" x14ac:dyDescent="0.3">
      <c r="A71" s="2" t="s">
        <v>53</v>
      </c>
      <c r="B71" s="3">
        <v>184945.26999999996</v>
      </c>
      <c r="M71" s="2" t="s">
        <v>19</v>
      </c>
      <c r="N71" s="3">
        <v>47662.869999999995</v>
      </c>
      <c r="O71" s="3">
        <v>205504.77999999991</v>
      </c>
      <c r="P71" s="5">
        <v>0.23193071226859061</v>
      </c>
      <c r="AK71" s="2" t="s">
        <v>59</v>
      </c>
      <c r="AL71" s="5">
        <v>0.23079414632664749</v>
      </c>
    </row>
    <row r="72" spans="1:38" x14ac:dyDescent="0.3">
      <c r="A72" s="2" t="s">
        <v>22</v>
      </c>
      <c r="B72" s="3">
        <v>190391.05</v>
      </c>
      <c r="M72" s="2" t="s">
        <v>71</v>
      </c>
      <c r="N72" s="3">
        <v>53046.860000000008</v>
      </c>
      <c r="O72" s="3">
        <v>235176.30000000005</v>
      </c>
      <c r="P72" s="5">
        <v>0.22556209958231335</v>
      </c>
      <c r="AK72" s="2" t="s">
        <v>116</v>
      </c>
      <c r="AL72" s="5">
        <v>0.23527648751250843</v>
      </c>
    </row>
    <row r="73" spans="1:38" x14ac:dyDescent="0.3">
      <c r="A73" s="2" t="s">
        <v>2573</v>
      </c>
      <c r="B73" s="3">
        <v>908661.42999999993</v>
      </c>
      <c r="M73" s="2" t="s">
        <v>65</v>
      </c>
      <c r="N73" s="3">
        <v>52824.610000000015</v>
      </c>
      <c r="O73" s="3">
        <v>221818.89</v>
      </c>
      <c r="P73" s="5">
        <v>0.23814297330583528</v>
      </c>
      <c r="AK73" s="2" t="s">
        <v>2573</v>
      </c>
      <c r="AL73" s="5">
        <v>0.22586802176654311</v>
      </c>
    </row>
    <row r="74" spans="1:38" x14ac:dyDescent="0.3">
      <c r="M74" s="2" t="s">
        <v>51</v>
      </c>
      <c r="N74" s="3">
        <v>47362.180000000015</v>
      </c>
      <c r="O74" s="3">
        <v>217450.78999999995</v>
      </c>
      <c r="P74" s="5">
        <v>0.21780642875567399</v>
      </c>
    </row>
    <row r="75" spans="1:38" x14ac:dyDescent="0.3">
      <c r="M75" s="2" t="s">
        <v>45</v>
      </c>
      <c r="N75" s="3">
        <v>50713.350000000013</v>
      </c>
      <c r="O75" s="3">
        <v>227776.38000000003</v>
      </c>
      <c r="P75" s="5">
        <v>0.22264534189190296</v>
      </c>
    </row>
    <row r="76" spans="1:38" x14ac:dyDescent="0.3">
      <c r="M76" s="2" t="s">
        <v>2573</v>
      </c>
      <c r="N76" s="3">
        <v>345002.6700000001</v>
      </c>
      <c r="O76" s="3">
        <v>1527452.4800000002</v>
      </c>
      <c r="P76" s="5">
        <v>0.22586802176654305</v>
      </c>
    </row>
    <row r="79" spans="1:38" x14ac:dyDescent="0.3">
      <c r="E79" t="s">
        <v>2605</v>
      </c>
    </row>
    <row r="100" spans="1:39" x14ac:dyDescent="0.3">
      <c r="A100" s="1" t="s">
        <v>2572</v>
      </c>
      <c r="B100" t="s">
        <v>2602</v>
      </c>
    </row>
    <row r="101" spans="1:39" x14ac:dyDescent="0.3">
      <c r="A101" s="2" t="s">
        <v>36</v>
      </c>
      <c r="B101" s="14">
        <v>5.5051546391752577</v>
      </c>
      <c r="Q101" s="1" t="s">
        <v>2572</v>
      </c>
      <c r="R101" t="s">
        <v>2602</v>
      </c>
      <c r="AK101" s="1" t="s">
        <v>2572</v>
      </c>
      <c r="AL101" t="s">
        <v>2602</v>
      </c>
      <c r="AM101" t="s">
        <v>2574</v>
      </c>
    </row>
    <row r="102" spans="1:39" x14ac:dyDescent="0.3">
      <c r="A102" s="2" t="s">
        <v>18</v>
      </c>
      <c r="B102" s="14">
        <v>5.557788944723618</v>
      </c>
      <c r="Q102" s="2" t="s">
        <v>58</v>
      </c>
      <c r="R102" s="14">
        <v>5.2824427480916034</v>
      </c>
      <c r="AK102" s="2" t="s">
        <v>59</v>
      </c>
      <c r="AL102" s="14">
        <v>5.577464788732394</v>
      </c>
      <c r="AM102" s="14">
        <v>226518.95999999993</v>
      </c>
    </row>
    <row r="103" spans="1:39" x14ac:dyDescent="0.3">
      <c r="A103" s="2" t="s">
        <v>64</v>
      </c>
      <c r="B103" s="14">
        <v>5.7932692307692308</v>
      </c>
      <c r="Q103" s="2" t="s">
        <v>37</v>
      </c>
      <c r="R103" s="14">
        <v>5.612903225806452</v>
      </c>
      <c r="AK103" s="2" t="s">
        <v>38</v>
      </c>
      <c r="AL103" s="14">
        <v>5.6461538461538465</v>
      </c>
      <c r="AM103" s="14">
        <v>193034.32000000004</v>
      </c>
    </row>
    <row r="104" spans="1:39" x14ac:dyDescent="0.3">
      <c r="A104" s="2" t="s">
        <v>44</v>
      </c>
      <c r="B104" s="14">
        <v>5.5273631840796016</v>
      </c>
      <c r="Q104" s="2" t="s">
        <v>19</v>
      </c>
      <c r="R104" s="14">
        <v>5.1194029850746272</v>
      </c>
      <c r="AK104" s="2" t="s">
        <v>106</v>
      </c>
      <c r="AL104" s="14">
        <v>5.4545454545454541</v>
      </c>
      <c r="AM104" s="14">
        <v>194355.81999999983</v>
      </c>
    </row>
    <row r="105" spans="1:39" x14ac:dyDescent="0.3">
      <c r="A105" s="2" t="s">
        <v>102</v>
      </c>
      <c r="B105" s="14">
        <v>5.5151515151515156</v>
      </c>
      <c r="Q105" s="2" t="s">
        <v>71</v>
      </c>
      <c r="R105" s="14">
        <v>5.8680555555555554</v>
      </c>
      <c r="AK105" s="2" t="s">
        <v>28</v>
      </c>
      <c r="AL105" s="14">
        <v>5.3613445378151257</v>
      </c>
      <c r="AM105" s="14">
        <v>181524.96000000002</v>
      </c>
    </row>
    <row r="106" spans="1:39" x14ac:dyDescent="0.3">
      <c r="A106" s="2" t="s">
        <v>2573</v>
      </c>
      <c r="B106" s="14">
        <v>5.5819999999999999</v>
      </c>
      <c r="Q106" s="2" t="s">
        <v>65</v>
      </c>
      <c r="R106" s="14">
        <v>5.711267605633803</v>
      </c>
      <c r="AK106" s="2" t="s">
        <v>20</v>
      </c>
      <c r="AL106" s="14">
        <v>5.5135135135135132</v>
      </c>
      <c r="AM106" s="14">
        <v>155092.70000000004</v>
      </c>
    </row>
    <row r="107" spans="1:39" x14ac:dyDescent="0.3">
      <c r="Q107" s="2" t="s">
        <v>51</v>
      </c>
      <c r="R107" s="14">
        <v>5.6758620689655173</v>
      </c>
      <c r="AK107" s="2" t="s">
        <v>52</v>
      </c>
      <c r="AL107" s="14">
        <v>5.9701492537313436</v>
      </c>
      <c r="AM107" s="14">
        <v>199338.50000000009</v>
      </c>
    </row>
    <row r="108" spans="1:39" x14ac:dyDescent="0.3">
      <c r="Q108" s="2" t="s">
        <v>45</v>
      </c>
      <c r="R108" s="14">
        <v>5.7382550335570466</v>
      </c>
      <c r="AK108" s="2" t="s">
        <v>116</v>
      </c>
      <c r="AL108" s="14">
        <v>5.3739130434782609</v>
      </c>
      <c r="AM108" s="14">
        <v>179338.65999999997</v>
      </c>
    </row>
    <row r="109" spans="1:39" x14ac:dyDescent="0.3">
      <c r="Q109" s="2" t="s">
        <v>2573</v>
      </c>
      <c r="R109" s="14">
        <v>5.5819999999999999</v>
      </c>
      <c r="AK109" s="2" t="s">
        <v>46</v>
      </c>
      <c r="AL109" s="14">
        <v>5.7094017094017095</v>
      </c>
      <c r="AM109" s="14">
        <v>198248.56000000008</v>
      </c>
    </row>
    <row r="110" spans="1:39" x14ac:dyDescent="0.3">
      <c r="AK110" s="2" t="s">
        <v>2573</v>
      </c>
      <c r="AL110" s="14">
        <v>5.5819999999999999</v>
      </c>
      <c r="AM110" s="14">
        <v>1527452.4799999981</v>
      </c>
    </row>
    <row r="116" spans="2:6" x14ac:dyDescent="0.3">
      <c r="F116" t="s">
        <v>2606</v>
      </c>
    </row>
    <row r="125" spans="2:6" x14ac:dyDescent="0.3">
      <c r="B125" s="2"/>
      <c r="C125" s="14"/>
    </row>
    <row r="126" spans="2:6" x14ac:dyDescent="0.3">
      <c r="B126" s="2"/>
      <c r="C126" s="14"/>
    </row>
    <row r="127" spans="2:6" x14ac:dyDescent="0.3">
      <c r="B127" s="2"/>
      <c r="C127" s="14"/>
    </row>
    <row r="148" spans="1:47" x14ac:dyDescent="0.3">
      <c r="AL148" s="1" t="s">
        <v>2577</v>
      </c>
      <c r="AM148" s="1" t="s">
        <v>2601</v>
      </c>
    </row>
    <row r="149" spans="1:47" x14ac:dyDescent="0.3">
      <c r="AL149" s="1" t="s">
        <v>2572</v>
      </c>
      <c r="AM149" t="s">
        <v>59</v>
      </c>
      <c r="AN149" t="s">
        <v>38</v>
      </c>
      <c r="AO149" t="s">
        <v>106</v>
      </c>
      <c r="AP149" t="s">
        <v>28</v>
      </c>
      <c r="AQ149" t="s">
        <v>20</v>
      </c>
      <c r="AR149" t="s">
        <v>52</v>
      </c>
      <c r="AS149" t="s">
        <v>116</v>
      </c>
      <c r="AT149" t="s">
        <v>46</v>
      </c>
      <c r="AU149" t="s">
        <v>2573</v>
      </c>
    </row>
    <row r="150" spans="1:47" x14ac:dyDescent="0.3">
      <c r="A150" s="1" t="s">
        <v>2577</v>
      </c>
      <c r="B150" s="1" t="s">
        <v>2601</v>
      </c>
      <c r="P150" s="1" t="s">
        <v>2572</v>
      </c>
      <c r="Q150" t="s">
        <v>2577</v>
      </c>
      <c r="AL150" s="2" t="s">
        <v>86</v>
      </c>
      <c r="AM150" s="3">
        <v>24</v>
      </c>
      <c r="AN150" s="3">
        <v>15</v>
      </c>
      <c r="AO150" s="3">
        <v>34</v>
      </c>
      <c r="AP150" s="3">
        <v>18</v>
      </c>
      <c r="AQ150" s="3">
        <v>19</v>
      </c>
      <c r="AR150" s="3">
        <v>28</v>
      </c>
      <c r="AS150" s="3">
        <v>23</v>
      </c>
      <c r="AT150" s="3">
        <v>23</v>
      </c>
      <c r="AU150" s="3">
        <v>184</v>
      </c>
    </row>
    <row r="151" spans="1:47" x14ac:dyDescent="0.3">
      <c r="A151" s="1" t="s">
        <v>2572</v>
      </c>
      <c r="B151" t="s">
        <v>36</v>
      </c>
      <c r="C151" t="s">
        <v>18</v>
      </c>
      <c r="D151" t="s">
        <v>64</v>
      </c>
      <c r="E151" t="s">
        <v>44</v>
      </c>
      <c r="F151" t="s">
        <v>102</v>
      </c>
      <c r="G151" t="s">
        <v>2573</v>
      </c>
      <c r="P151" s="2" t="s">
        <v>86</v>
      </c>
      <c r="Q151" s="3">
        <v>184</v>
      </c>
      <c r="AL151" s="2" t="s">
        <v>24</v>
      </c>
      <c r="AM151" s="3">
        <v>33</v>
      </c>
      <c r="AN151" s="3">
        <v>34</v>
      </c>
      <c r="AO151" s="3">
        <v>31</v>
      </c>
      <c r="AP151" s="3">
        <v>21</v>
      </c>
      <c r="AQ151" s="3">
        <v>20</v>
      </c>
      <c r="AR151" s="3">
        <v>27</v>
      </c>
      <c r="AS151" s="3">
        <v>26</v>
      </c>
      <c r="AT151" s="3">
        <v>21</v>
      </c>
      <c r="AU151" s="3">
        <v>213</v>
      </c>
    </row>
    <row r="152" spans="1:47" x14ac:dyDescent="0.3">
      <c r="A152" s="2" t="s">
        <v>86</v>
      </c>
      <c r="B152" s="3">
        <v>43</v>
      </c>
      <c r="C152" s="3">
        <v>35</v>
      </c>
      <c r="D152" s="3">
        <v>37</v>
      </c>
      <c r="E152" s="3">
        <v>35</v>
      </c>
      <c r="F152" s="3">
        <v>34</v>
      </c>
      <c r="G152" s="3">
        <v>184</v>
      </c>
      <c r="P152" s="2" t="s">
        <v>24</v>
      </c>
      <c r="Q152" s="3">
        <v>213</v>
      </c>
      <c r="AL152" s="2" t="s">
        <v>32</v>
      </c>
      <c r="AM152" s="3">
        <v>25</v>
      </c>
      <c r="AN152" s="3">
        <v>19</v>
      </c>
      <c r="AO152" s="3">
        <v>25</v>
      </c>
      <c r="AP152" s="3">
        <v>28</v>
      </c>
      <c r="AQ152" s="3">
        <v>28</v>
      </c>
      <c r="AR152" s="3">
        <v>19</v>
      </c>
      <c r="AS152" s="3">
        <v>35</v>
      </c>
      <c r="AT152" s="3">
        <v>27</v>
      </c>
      <c r="AU152" s="3">
        <v>206</v>
      </c>
    </row>
    <row r="153" spans="1:47" x14ac:dyDescent="0.3">
      <c r="A153" s="2" t="s">
        <v>24</v>
      </c>
      <c r="B153" s="3">
        <v>40</v>
      </c>
      <c r="C153" s="3">
        <v>36</v>
      </c>
      <c r="D153" s="3">
        <v>47</v>
      </c>
      <c r="E153" s="3">
        <v>46</v>
      </c>
      <c r="F153" s="3">
        <v>44</v>
      </c>
      <c r="G153" s="3">
        <v>213</v>
      </c>
      <c r="P153" s="2" t="s">
        <v>32</v>
      </c>
      <c r="Q153" s="3">
        <v>206</v>
      </c>
      <c r="AL153" s="2" t="s">
        <v>40</v>
      </c>
      <c r="AM153" s="3">
        <v>27</v>
      </c>
      <c r="AN153" s="3">
        <v>29</v>
      </c>
      <c r="AO153" s="3">
        <v>17</v>
      </c>
      <c r="AP153" s="3">
        <v>24</v>
      </c>
      <c r="AQ153" s="3">
        <v>24</v>
      </c>
      <c r="AR153" s="3">
        <v>28</v>
      </c>
      <c r="AS153" s="3">
        <v>16</v>
      </c>
      <c r="AT153" s="3">
        <v>23</v>
      </c>
      <c r="AU153" s="3">
        <v>188</v>
      </c>
    </row>
    <row r="154" spans="1:47" x14ac:dyDescent="0.3">
      <c r="A154" s="2" t="s">
        <v>32</v>
      </c>
      <c r="B154" s="3">
        <v>37</v>
      </c>
      <c r="C154" s="3">
        <v>42</v>
      </c>
      <c r="D154" s="3">
        <v>41</v>
      </c>
      <c r="E154" s="3">
        <v>38</v>
      </c>
      <c r="F154" s="3">
        <v>48</v>
      </c>
      <c r="G154" s="3">
        <v>206</v>
      </c>
      <c r="P154" s="2" t="s">
        <v>40</v>
      </c>
      <c r="Q154" s="3">
        <v>188</v>
      </c>
      <c r="AL154" s="2" t="s">
        <v>77</v>
      </c>
      <c r="AM154" s="3">
        <v>33</v>
      </c>
      <c r="AN154" s="3">
        <v>33</v>
      </c>
      <c r="AO154" s="3">
        <v>25</v>
      </c>
      <c r="AP154" s="3">
        <v>28</v>
      </c>
      <c r="AQ154" s="3">
        <v>20</v>
      </c>
      <c r="AR154" s="3">
        <v>32</v>
      </c>
      <c r="AS154" s="3">
        <v>15</v>
      </c>
      <c r="AT154" s="3">
        <v>23</v>
      </c>
      <c r="AU154" s="3">
        <v>209</v>
      </c>
    </row>
    <row r="155" spans="1:47" x14ac:dyDescent="0.3">
      <c r="A155" s="2" t="s">
        <v>40</v>
      </c>
      <c r="B155" s="3">
        <v>38</v>
      </c>
      <c r="C155" s="3">
        <v>40</v>
      </c>
      <c r="D155" s="3">
        <v>41</v>
      </c>
      <c r="E155" s="3">
        <v>34</v>
      </c>
      <c r="F155" s="3">
        <v>35</v>
      </c>
      <c r="G155" s="3">
        <v>188</v>
      </c>
      <c r="P155" s="2" t="s">
        <v>77</v>
      </c>
      <c r="Q155" s="3">
        <v>209</v>
      </c>
      <c r="AL155" s="2" t="s">
        <v>2573</v>
      </c>
      <c r="AM155" s="3">
        <v>142</v>
      </c>
      <c r="AN155" s="3">
        <v>130</v>
      </c>
      <c r="AO155" s="3">
        <v>132</v>
      </c>
      <c r="AP155" s="3">
        <v>119</v>
      </c>
      <c r="AQ155" s="3">
        <v>111</v>
      </c>
      <c r="AR155" s="3">
        <v>134</v>
      </c>
      <c r="AS155" s="3">
        <v>115</v>
      </c>
      <c r="AT155" s="3">
        <v>117</v>
      </c>
      <c r="AU155" s="3">
        <v>1000</v>
      </c>
    </row>
    <row r="156" spans="1:47" x14ac:dyDescent="0.3">
      <c r="A156" s="2" t="s">
        <v>77</v>
      </c>
      <c r="B156" s="3">
        <v>36</v>
      </c>
      <c r="C156" s="3">
        <v>46</v>
      </c>
      <c r="D156" s="3">
        <v>42</v>
      </c>
      <c r="E156" s="3">
        <v>48</v>
      </c>
      <c r="F156" s="3">
        <v>37</v>
      </c>
      <c r="G156" s="3">
        <v>209</v>
      </c>
      <c r="P156" s="2" t="s">
        <v>2573</v>
      </c>
      <c r="Q156" s="3">
        <v>1000</v>
      </c>
    </row>
    <row r="157" spans="1:47" x14ac:dyDescent="0.3">
      <c r="A157" s="2" t="s">
        <v>2573</v>
      </c>
      <c r="B157" s="3">
        <v>194</v>
      </c>
      <c r="C157" s="3">
        <v>199</v>
      </c>
      <c r="D157" s="3">
        <v>208</v>
      </c>
      <c r="E157" s="3">
        <v>201</v>
      </c>
      <c r="F157" s="3">
        <v>198</v>
      </c>
      <c r="G157" s="3">
        <v>1000</v>
      </c>
    </row>
    <row r="167" spans="10:10" x14ac:dyDescent="0.3">
      <c r="J167" t="s">
        <v>2607</v>
      </c>
    </row>
    <row r="200" spans="1:43" x14ac:dyDescent="0.3">
      <c r="A200" s="1" t="s">
        <v>2574</v>
      </c>
      <c r="B200" s="1" t="s">
        <v>2601</v>
      </c>
    </row>
    <row r="201" spans="1:43" x14ac:dyDescent="0.3">
      <c r="A201" s="1" t="s">
        <v>2572</v>
      </c>
      <c r="B201" t="s">
        <v>36</v>
      </c>
      <c r="C201" t="s">
        <v>18</v>
      </c>
      <c r="D201" t="s">
        <v>64</v>
      </c>
      <c r="E201" t="s">
        <v>44</v>
      </c>
      <c r="F201" t="s">
        <v>102</v>
      </c>
      <c r="G201" t="s">
        <v>2573</v>
      </c>
      <c r="Q201" s="1" t="s">
        <v>2574</v>
      </c>
      <c r="R201" s="1" t="s">
        <v>2601</v>
      </c>
    </row>
    <row r="202" spans="1:43" x14ac:dyDescent="0.3">
      <c r="A202" s="2">
        <v>2024</v>
      </c>
      <c r="B202" s="3">
        <v>190549.33</v>
      </c>
      <c r="C202" s="3">
        <v>147158.81</v>
      </c>
      <c r="D202" s="3">
        <v>170117.06000000003</v>
      </c>
      <c r="E202" s="3">
        <v>157096.49000000002</v>
      </c>
      <c r="F202" s="3">
        <v>164022.71</v>
      </c>
      <c r="G202" s="3">
        <v>828944.39999999991</v>
      </c>
      <c r="Q202" s="1" t="s">
        <v>2572</v>
      </c>
      <c r="R202" t="s">
        <v>58</v>
      </c>
      <c r="S202" t="s">
        <v>37</v>
      </c>
      <c r="T202" t="s">
        <v>19</v>
      </c>
      <c r="U202" t="s">
        <v>71</v>
      </c>
      <c r="V202" t="s">
        <v>65</v>
      </c>
      <c r="W202" t="s">
        <v>51</v>
      </c>
      <c r="X202" t="s">
        <v>45</v>
      </c>
      <c r="Y202" t="s">
        <v>2573</v>
      </c>
      <c r="AP202" s="1" t="s">
        <v>2572</v>
      </c>
      <c r="AQ202" t="s">
        <v>2576</v>
      </c>
    </row>
    <row r="203" spans="1:43" x14ac:dyDescent="0.3">
      <c r="A203" s="4" t="s">
        <v>2589</v>
      </c>
      <c r="B203" s="3">
        <v>17583.88</v>
      </c>
      <c r="C203" s="3">
        <v>6479.7900000000009</v>
      </c>
      <c r="D203" s="3">
        <v>11241.150000000001</v>
      </c>
      <c r="E203" s="3">
        <v>15096.66</v>
      </c>
      <c r="F203" s="3">
        <v>18978.730000000003</v>
      </c>
      <c r="G203" s="3">
        <v>69380.210000000021</v>
      </c>
      <c r="Q203" s="2">
        <v>2024</v>
      </c>
      <c r="R203" s="3">
        <v>88843.03</v>
      </c>
      <c r="S203" s="3">
        <v>129792.20999999998</v>
      </c>
      <c r="T203" s="3">
        <v>115919.16999999998</v>
      </c>
      <c r="U203" s="3">
        <v>126391.68000000001</v>
      </c>
      <c r="V203" s="3">
        <v>125686.93000000001</v>
      </c>
      <c r="W203" s="3">
        <v>119087.45</v>
      </c>
      <c r="X203" s="3">
        <v>123223.93000000001</v>
      </c>
      <c r="Y203" s="3">
        <v>828944.39999999979</v>
      </c>
      <c r="AP203" s="2" t="s">
        <v>29</v>
      </c>
      <c r="AQ203" s="3">
        <v>586</v>
      </c>
    </row>
    <row r="204" spans="1:43" x14ac:dyDescent="0.3">
      <c r="A204" s="4" t="s">
        <v>2584</v>
      </c>
      <c r="B204" s="3">
        <v>19182.03</v>
      </c>
      <c r="C204" s="3">
        <v>12515.84</v>
      </c>
      <c r="D204" s="3">
        <v>20341.11</v>
      </c>
      <c r="E204" s="3">
        <v>8251.08</v>
      </c>
      <c r="F204" s="3">
        <v>10743.28</v>
      </c>
      <c r="G204" s="3">
        <v>71033.34</v>
      </c>
      <c r="Q204" s="4" t="s">
        <v>2589</v>
      </c>
      <c r="R204" s="3">
        <v>17664.509999999998</v>
      </c>
      <c r="S204" s="3">
        <v>5446.78</v>
      </c>
      <c r="T204" s="3">
        <v>8991.17</v>
      </c>
      <c r="U204" s="3">
        <v>12315.46</v>
      </c>
      <c r="V204" s="3">
        <v>16043.12</v>
      </c>
      <c r="W204" s="3">
        <v>6045.31</v>
      </c>
      <c r="X204" s="3">
        <v>2873.86</v>
      </c>
      <c r="Y204" s="3">
        <v>69380.210000000006</v>
      </c>
      <c r="AP204" s="2" t="s">
        <v>47</v>
      </c>
      <c r="AQ204" s="3">
        <v>560</v>
      </c>
    </row>
    <row r="205" spans="1:43" x14ac:dyDescent="0.3">
      <c r="A205" s="4" t="s">
        <v>2587</v>
      </c>
      <c r="B205" s="3">
        <v>13833.910000000002</v>
      </c>
      <c r="C205" s="3">
        <v>13388.24</v>
      </c>
      <c r="D205" s="3">
        <v>11317.989999999998</v>
      </c>
      <c r="E205" s="3">
        <v>17172.759999999998</v>
      </c>
      <c r="F205" s="3">
        <v>10759.85</v>
      </c>
      <c r="G205" s="3">
        <v>66472.75</v>
      </c>
      <c r="Q205" s="4" t="s">
        <v>2584</v>
      </c>
      <c r="R205" s="3">
        <v>19672.16</v>
      </c>
      <c r="S205" s="3">
        <v>13369.720000000001</v>
      </c>
      <c r="T205" s="3">
        <v>12463.64</v>
      </c>
      <c r="U205" s="3">
        <v>510.47</v>
      </c>
      <c r="V205" s="3">
        <v>5685.6799999999994</v>
      </c>
      <c r="W205" s="3">
        <v>10359.68</v>
      </c>
      <c r="X205" s="3">
        <v>8971.989999999998</v>
      </c>
      <c r="Y205" s="3">
        <v>71033.34</v>
      </c>
      <c r="AP205" s="2" t="s">
        <v>66</v>
      </c>
      <c r="AQ205" s="3">
        <v>644</v>
      </c>
    </row>
    <row r="206" spans="1:43" x14ac:dyDescent="0.3">
      <c r="A206" s="4" t="s">
        <v>2581</v>
      </c>
      <c r="B206" s="3">
        <v>25065.620000000003</v>
      </c>
      <c r="C206" s="3">
        <v>2202.09</v>
      </c>
      <c r="D206" s="3">
        <v>9060.14</v>
      </c>
      <c r="E206" s="3">
        <v>9183.6400000000012</v>
      </c>
      <c r="F206" s="3">
        <v>14044.49</v>
      </c>
      <c r="G206" s="3">
        <v>59555.98</v>
      </c>
      <c r="Q206" s="4" t="s">
        <v>2587</v>
      </c>
      <c r="R206" s="3">
        <v>546.72</v>
      </c>
      <c r="S206" s="3">
        <v>9560.23</v>
      </c>
      <c r="T206" s="3">
        <v>10280.59</v>
      </c>
      <c r="U206" s="3">
        <v>7691.1500000000005</v>
      </c>
      <c r="V206" s="3">
        <v>7302.2199999999993</v>
      </c>
      <c r="W206" s="3">
        <v>12781.67</v>
      </c>
      <c r="X206" s="3">
        <v>18310.170000000002</v>
      </c>
      <c r="Y206" s="3">
        <v>66472.75</v>
      </c>
      <c r="AP206" s="2" t="s">
        <v>21</v>
      </c>
      <c r="AQ206" s="3">
        <v>576</v>
      </c>
    </row>
    <row r="207" spans="1:43" x14ac:dyDescent="0.3">
      <c r="A207" s="4" t="s">
        <v>2583</v>
      </c>
      <c r="B207" s="3">
        <v>10973.46</v>
      </c>
      <c r="C207" s="3">
        <v>15445.04</v>
      </c>
      <c r="D207" s="3">
        <v>14461.18</v>
      </c>
      <c r="E207" s="3">
        <v>12194.14</v>
      </c>
      <c r="F207" s="3">
        <v>16262.570000000002</v>
      </c>
      <c r="G207" s="3">
        <v>69336.39</v>
      </c>
      <c r="Q207" s="4" t="s">
        <v>2581</v>
      </c>
      <c r="R207" s="3">
        <v>7862.33</v>
      </c>
      <c r="S207" s="3">
        <v>13262.359999999999</v>
      </c>
      <c r="T207" s="3">
        <v>10306.700000000001</v>
      </c>
      <c r="U207" s="3">
        <v>8598.99</v>
      </c>
      <c r="V207" s="3">
        <v>7836.99</v>
      </c>
      <c r="W207" s="3">
        <v>942.31</v>
      </c>
      <c r="X207" s="3">
        <v>10746.300000000001</v>
      </c>
      <c r="Y207" s="3">
        <v>59555.979999999996</v>
      </c>
      <c r="AP207" s="2" t="s">
        <v>81</v>
      </c>
      <c r="AQ207" s="3">
        <v>597</v>
      </c>
    </row>
    <row r="208" spans="1:43" x14ac:dyDescent="0.3">
      <c r="A208" s="4" t="s">
        <v>2585</v>
      </c>
      <c r="B208" s="3">
        <v>17889.98</v>
      </c>
      <c r="C208" s="3">
        <v>11875.73</v>
      </c>
      <c r="D208" s="3">
        <v>2812.6099999999997</v>
      </c>
      <c r="E208" s="3">
        <v>9718.7999999999993</v>
      </c>
      <c r="F208" s="3">
        <v>23623.350000000002</v>
      </c>
      <c r="G208" s="3">
        <v>65920.47</v>
      </c>
      <c r="Q208" s="4" t="s">
        <v>2583</v>
      </c>
      <c r="R208" s="3">
        <v>2918.62</v>
      </c>
      <c r="S208" s="3">
        <v>9145.89</v>
      </c>
      <c r="T208" s="3">
        <v>12127.889999999998</v>
      </c>
      <c r="U208" s="3">
        <v>9643.8900000000012</v>
      </c>
      <c r="V208" s="3">
        <v>9473.619999999999</v>
      </c>
      <c r="W208" s="3">
        <v>14076.449999999999</v>
      </c>
      <c r="X208" s="3">
        <v>11950.03</v>
      </c>
      <c r="Y208" s="3">
        <v>69336.389999999985</v>
      </c>
      <c r="AP208" s="2" t="s">
        <v>2573</v>
      </c>
      <c r="AQ208" s="3">
        <v>2963</v>
      </c>
    </row>
    <row r="209" spans="1:46" x14ac:dyDescent="0.3">
      <c r="A209" s="4" t="s">
        <v>2586</v>
      </c>
      <c r="B209" s="3">
        <v>15617.419999999998</v>
      </c>
      <c r="C209" s="3">
        <v>9118.4700000000012</v>
      </c>
      <c r="D209" s="3">
        <v>14656.61</v>
      </c>
      <c r="E209" s="3">
        <v>8087.52</v>
      </c>
      <c r="F209" s="3">
        <v>9212.9700000000012</v>
      </c>
      <c r="G209" s="3">
        <v>56692.990000000005</v>
      </c>
      <c r="Q209" s="4" t="s">
        <v>2585</v>
      </c>
      <c r="R209" s="3">
        <v>909.02</v>
      </c>
      <c r="S209" s="3">
        <v>11779.81</v>
      </c>
      <c r="T209" s="3">
        <v>4273.08</v>
      </c>
      <c r="U209" s="3">
        <v>11985.72</v>
      </c>
      <c r="V209" s="3">
        <v>14259.95</v>
      </c>
      <c r="W209" s="3">
        <v>3438.5400000000004</v>
      </c>
      <c r="X209" s="3">
        <v>19274.349999999999</v>
      </c>
      <c r="Y209" s="3">
        <v>65920.47</v>
      </c>
    </row>
    <row r="210" spans="1:46" x14ac:dyDescent="0.3">
      <c r="A210" s="4" t="s">
        <v>2580</v>
      </c>
      <c r="B210" s="3">
        <v>12965.63</v>
      </c>
      <c r="C210" s="3">
        <v>19527.059999999998</v>
      </c>
      <c r="D210" s="3">
        <v>15172.440000000002</v>
      </c>
      <c r="E210" s="3">
        <v>8905.4399999999987</v>
      </c>
      <c r="F210" s="3">
        <v>18619.169999999998</v>
      </c>
      <c r="G210" s="3">
        <v>75189.739999999991</v>
      </c>
      <c r="Q210" s="4" t="s">
        <v>2586</v>
      </c>
      <c r="R210" s="3">
        <v>6761.12</v>
      </c>
      <c r="S210" s="3">
        <v>14050.029999999999</v>
      </c>
      <c r="T210" s="3">
        <v>2758.97</v>
      </c>
      <c r="U210" s="3">
        <v>7256.4599999999991</v>
      </c>
      <c r="V210" s="3">
        <v>5413.0999999999995</v>
      </c>
      <c r="W210" s="3">
        <v>7500.29</v>
      </c>
      <c r="X210" s="3">
        <v>12953.02</v>
      </c>
      <c r="Y210" s="3">
        <v>56692.990000000005</v>
      </c>
    </row>
    <row r="211" spans="1:46" x14ac:dyDescent="0.3">
      <c r="A211" s="4" t="s">
        <v>2590</v>
      </c>
      <c r="B211" s="3">
        <v>14790.21</v>
      </c>
      <c r="C211" s="3">
        <v>25357.67</v>
      </c>
      <c r="D211" s="3">
        <v>22854.06</v>
      </c>
      <c r="E211" s="3">
        <v>9336.66</v>
      </c>
      <c r="F211" s="3">
        <v>19287.240000000002</v>
      </c>
      <c r="G211" s="3">
        <v>91625.840000000011</v>
      </c>
      <c r="Q211" s="4" t="s">
        <v>2580</v>
      </c>
      <c r="R211" s="3">
        <v>4669.41</v>
      </c>
      <c r="S211" s="3">
        <v>16019.579999999998</v>
      </c>
      <c r="T211" s="3">
        <v>8289.33</v>
      </c>
      <c r="U211" s="3">
        <v>18645.03</v>
      </c>
      <c r="V211" s="3">
        <v>11777.750000000002</v>
      </c>
      <c r="W211" s="3">
        <v>8348.43</v>
      </c>
      <c r="X211" s="3">
        <v>7440.21</v>
      </c>
      <c r="Y211" s="3">
        <v>75189.740000000005</v>
      </c>
    </row>
    <row r="212" spans="1:46" x14ac:dyDescent="0.3">
      <c r="A212" s="4" t="s">
        <v>2591</v>
      </c>
      <c r="B212" s="3">
        <v>21130.27</v>
      </c>
      <c r="C212" s="3">
        <v>12287.880000000001</v>
      </c>
      <c r="D212" s="3">
        <v>12284.189999999997</v>
      </c>
      <c r="E212" s="3">
        <v>15163.430000000002</v>
      </c>
      <c r="F212" s="3">
        <v>2340.4899999999998</v>
      </c>
      <c r="G212" s="3">
        <v>63206.259999999995</v>
      </c>
      <c r="Q212" s="4" t="s">
        <v>2590</v>
      </c>
      <c r="R212" s="3">
        <v>9763.25</v>
      </c>
      <c r="S212" s="3">
        <v>7779.7300000000005</v>
      </c>
      <c r="T212" s="3">
        <v>12094.53</v>
      </c>
      <c r="U212" s="3">
        <v>9055.2100000000009</v>
      </c>
      <c r="V212" s="3">
        <v>16030.04</v>
      </c>
      <c r="W212" s="3">
        <v>22640.33</v>
      </c>
      <c r="X212" s="3">
        <v>14262.75</v>
      </c>
      <c r="Y212" s="3">
        <v>91625.84</v>
      </c>
    </row>
    <row r="213" spans="1:46" x14ac:dyDescent="0.3">
      <c r="A213" s="4" t="s">
        <v>2582</v>
      </c>
      <c r="B213" s="3">
        <v>4588.72</v>
      </c>
      <c r="C213" s="3">
        <v>12393.599999999999</v>
      </c>
      <c r="D213" s="3">
        <v>9436.23</v>
      </c>
      <c r="E213" s="3">
        <v>13026.900000000001</v>
      </c>
      <c r="F213" s="3">
        <v>12847.65</v>
      </c>
      <c r="G213" s="3">
        <v>52293.1</v>
      </c>
      <c r="Q213" s="4" t="s">
        <v>2591</v>
      </c>
      <c r="R213" s="3">
        <v>4172</v>
      </c>
      <c r="S213" s="3">
        <v>5463.2899999999991</v>
      </c>
      <c r="T213" s="3">
        <v>5719.43</v>
      </c>
      <c r="U213" s="3">
        <v>16309.52</v>
      </c>
      <c r="V213" s="3">
        <v>18106.22</v>
      </c>
      <c r="W213" s="3">
        <v>8490.9499999999989</v>
      </c>
      <c r="X213" s="3">
        <v>4944.8500000000004</v>
      </c>
      <c r="Y213" s="3">
        <v>63206.259999999995</v>
      </c>
    </row>
    <row r="214" spans="1:46" x14ac:dyDescent="0.3">
      <c r="A214" s="4" t="s">
        <v>2588</v>
      </c>
      <c r="B214" s="3">
        <v>16928.2</v>
      </c>
      <c r="C214" s="3">
        <v>6567.4</v>
      </c>
      <c r="D214" s="3">
        <v>26479.35</v>
      </c>
      <c r="E214" s="3">
        <v>30959.460000000003</v>
      </c>
      <c r="F214" s="3">
        <v>7302.92</v>
      </c>
      <c r="G214" s="3">
        <v>88237.33</v>
      </c>
      <c r="Q214" s="4" t="s">
        <v>2582</v>
      </c>
      <c r="R214" s="3">
        <v>2492.2400000000002</v>
      </c>
      <c r="S214" s="3">
        <v>5080.0599999999995</v>
      </c>
      <c r="T214" s="3">
        <v>11567.099999999999</v>
      </c>
      <c r="U214" s="3">
        <v>2990.2</v>
      </c>
      <c r="V214" s="3">
        <v>11246.74</v>
      </c>
      <c r="W214" s="3">
        <v>11660.730000000001</v>
      </c>
      <c r="X214" s="3">
        <v>7256.0300000000007</v>
      </c>
      <c r="Y214" s="3">
        <v>52293.1</v>
      </c>
    </row>
    <row r="215" spans="1:46" x14ac:dyDescent="0.3">
      <c r="A215" s="2">
        <v>2025</v>
      </c>
      <c r="B215" s="3">
        <v>144428.48000000004</v>
      </c>
      <c r="C215" s="3">
        <v>138582.85</v>
      </c>
      <c r="D215" s="3">
        <v>158304.58000000002</v>
      </c>
      <c r="E215" s="3">
        <v>139671.06</v>
      </c>
      <c r="F215" s="3">
        <v>117521.10999999999</v>
      </c>
      <c r="G215" s="3">
        <v>698508.08</v>
      </c>
      <c r="Q215" s="4" t="s">
        <v>2588</v>
      </c>
      <c r="R215" s="3">
        <v>11411.65</v>
      </c>
      <c r="S215" s="3">
        <v>18834.73</v>
      </c>
      <c r="T215" s="3">
        <v>17046.739999999998</v>
      </c>
      <c r="U215" s="3">
        <v>21389.58</v>
      </c>
      <c r="V215" s="3">
        <v>2511.5</v>
      </c>
      <c r="W215" s="3">
        <v>12802.76</v>
      </c>
      <c r="X215" s="3">
        <v>4240.37</v>
      </c>
      <c r="Y215" s="3">
        <v>88237.329999999987</v>
      </c>
    </row>
    <row r="216" spans="1:46" x14ac:dyDescent="0.3">
      <c r="A216" s="4" t="s">
        <v>2589</v>
      </c>
      <c r="B216" s="3">
        <v>11038.33</v>
      </c>
      <c r="C216" s="3">
        <v>13539.899999999998</v>
      </c>
      <c r="D216" s="3">
        <v>14075.449999999999</v>
      </c>
      <c r="E216" s="3">
        <v>13669.909999999998</v>
      </c>
      <c r="F216" s="3">
        <v>8531.9</v>
      </c>
      <c r="G216" s="3">
        <v>60855.489999999991</v>
      </c>
      <c r="Q216" s="2">
        <v>2025</v>
      </c>
      <c r="R216" s="3">
        <v>104559.83</v>
      </c>
      <c r="S216" s="3">
        <v>96530.27</v>
      </c>
      <c r="T216" s="3">
        <v>89585.61</v>
      </c>
      <c r="U216" s="3">
        <v>108784.62000000002</v>
      </c>
      <c r="V216" s="3">
        <v>96131.96</v>
      </c>
      <c r="W216" s="3">
        <v>98363.340000000011</v>
      </c>
      <c r="X216" s="3">
        <v>104552.45</v>
      </c>
      <c r="Y216" s="3">
        <v>698508.08</v>
      </c>
    </row>
    <row r="217" spans="1:46" x14ac:dyDescent="0.3">
      <c r="A217" s="4" t="s">
        <v>2584</v>
      </c>
      <c r="B217" s="3">
        <v>5743</v>
      </c>
      <c r="C217" s="3">
        <v>9237</v>
      </c>
      <c r="D217" s="3">
        <v>11198.609999999999</v>
      </c>
      <c r="E217" s="3">
        <v>16675.48</v>
      </c>
      <c r="F217" s="3">
        <v>9499.119999999999</v>
      </c>
      <c r="G217" s="3">
        <v>52353.209999999992</v>
      </c>
      <c r="Q217" s="4" t="s">
        <v>2589</v>
      </c>
      <c r="R217" s="3">
        <v>6891.4100000000008</v>
      </c>
      <c r="S217" s="3">
        <v>4042.88</v>
      </c>
      <c r="T217" s="3">
        <v>7847.18</v>
      </c>
      <c r="U217" s="3">
        <v>10774.25</v>
      </c>
      <c r="V217" s="3">
        <v>11246.77</v>
      </c>
      <c r="W217" s="3">
        <v>11725.619999999999</v>
      </c>
      <c r="X217" s="3">
        <v>8327.380000000001</v>
      </c>
      <c r="Y217" s="3">
        <v>60855.490000000005</v>
      </c>
    </row>
    <row r="218" spans="1:46" x14ac:dyDescent="0.3">
      <c r="A218" s="4" t="s">
        <v>2587</v>
      </c>
      <c r="B218" s="3">
        <v>5465.78</v>
      </c>
      <c r="C218" s="3">
        <v>10944.7</v>
      </c>
      <c r="D218" s="3">
        <v>12630.6</v>
      </c>
      <c r="E218" s="3">
        <v>7056.7400000000007</v>
      </c>
      <c r="F218" s="3">
        <v>7397.0199999999986</v>
      </c>
      <c r="G218" s="3">
        <v>43494.84</v>
      </c>
      <c r="Q218" s="4" t="s">
        <v>2584</v>
      </c>
      <c r="R218" s="3">
        <v>9556.369999999999</v>
      </c>
      <c r="S218" s="3">
        <v>3785.0200000000004</v>
      </c>
      <c r="T218" s="3">
        <v>16318.65</v>
      </c>
      <c r="U218" s="3">
        <v>9118.4200000000019</v>
      </c>
      <c r="V218" s="3">
        <v>3234.4900000000002</v>
      </c>
      <c r="W218" s="3">
        <v>3322.55</v>
      </c>
      <c r="X218" s="3">
        <v>7017.71</v>
      </c>
      <c r="Y218" s="3">
        <v>52353.210000000006</v>
      </c>
    </row>
    <row r="219" spans="1:46" x14ac:dyDescent="0.3">
      <c r="A219" s="4" t="s">
        <v>2581</v>
      </c>
      <c r="B219" s="3">
        <v>5998.63</v>
      </c>
      <c r="C219" s="3">
        <v>9202.489999999998</v>
      </c>
      <c r="D219" s="3">
        <v>10882.38</v>
      </c>
      <c r="E219" s="3">
        <v>19062.829999999998</v>
      </c>
      <c r="F219" s="3">
        <v>18238.059999999998</v>
      </c>
      <c r="G219" s="3">
        <v>63384.39</v>
      </c>
      <c r="Q219" s="4" t="s">
        <v>2587</v>
      </c>
      <c r="R219" s="3">
        <v>1486.28</v>
      </c>
      <c r="S219" s="3">
        <v>5486.0199999999995</v>
      </c>
      <c r="T219" s="3">
        <v>5337.01</v>
      </c>
      <c r="U219" s="3">
        <v>6866.29</v>
      </c>
      <c r="V219" s="3">
        <v>5143.63</v>
      </c>
      <c r="W219" s="3">
        <v>10520.009999999998</v>
      </c>
      <c r="X219" s="3">
        <v>8655.5999999999985</v>
      </c>
      <c r="Y219" s="3">
        <v>43494.84</v>
      </c>
    </row>
    <row r="220" spans="1:46" x14ac:dyDescent="0.3">
      <c r="A220" s="4" t="s">
        <v>2583</v>
      </c>
      <c r="B220" s="3">
        <v>9995.25</v>
      </c>
      <c r="C220" s="3">
        <v>12709.54</v>
      </c>
      <c r="D220" s="3">
        <v>8293.7900000000009</v>
      </c>
      <c r="E220" s="3">
        <v>13363.53</v>
      </c>
      <c r="F220" s="3">
        <v>12808.7</v>
      </c>
      <c r="G220" s="3">
        <v>57170.81</v>
      </c>
      <c r="Q220" s="4" t="s">
        <v>2581</v>
      </c>
      <c r="R220" s="3">
        <v>6157.2800000000007</v>
      </c>
      <c r="S220" s="3">
        <v>9175.2899999999991</v>
      </c>
      <c r="T220" s="3">
        <v>4595.1899999999996</v>
      </c>
      <c r="U220" s="3">
        <v>12551.87</v>
      </c>
      <c r="V220" s="3">
        <v>9217.5499999999993</v>
      </c>
      <c r="W220" s="3">
        <v>2399.69</v>
      </c>
      <c r="X220" s="3">
        <v>19287.519999999997</v>
      </c>
      <c r="Y220" s="3">
        <v>63384.389999999992</v>
      </c>
      <c r="AP220" s="1" t="s">
        <v>2574</v>
      </c>
      <c r="AQ220" s="1" t="s">
        <v>2601</v>
      </c>
    </row>
    <row r="221" spans="1:46" x14ac:dyDescent="0.3">
      <c r="A221" s="4" t="s">
        <v>2585</v>
      </c>
      <c r="B221" s="3">
        <v>17071.669999999998</v>
      </c>
      <c r="C221" s="3">
        <v>9583.5500000000011</v>
      </c>
      <c r="D221" s="3">
        <v>17170.78</v>
      </c>
      <c r="E221" s="3">
        <v>12740.09</v>
      </c>
      <c r="F221" s="3">
        <v>8278.01</v>
      </c>
      <c r="G221" s="3">
        <v>64844.1</v>
      </c>
      <c r="Q221" s="4" t="s">
        <v>2583</v>
      </c>
      <c r="R221" s="3">
        <v>10473.369999999999</v>
      </c>
      <c r="S221" s="3">
        <v>7079.2400000000007</v>
      </c>
      <c r="T221" s="3">
        <v>9412.6899999999987</v>
      </c>
      <c r="U221" s="3">
        <v>9885.6899999999987</v>
      </c>
      <c r="V221" s="3">
        <v>9377.9500000000007</v>
      </c>
      <c r="W221" s="3">
        <v>4869.42</v>
      </c>
      <c r="X221" s="3">
        <v>6072.45</v>
      </c>
      <c r="Y221" s="3">
        <v>57170.81</v>
      </c>
      <c r="AP221" s="1" t="s">
        <v>2572</v>
      </c>
      <c r="AQ221" t="s">
        <v>23</v>
      </c>
      <c r="AR221" t="s">
        <v>31</v>
      </c>
      <c r="AS221" t="s">
        <v>54</v>
      </c>
      <c r="AT221" t="s">
        <v>2573</v>
      </c>
    </row>
    <row r="222" spans="1:46" x14ac:dyDescent="0.3">
      <c r="A222" s="4" t="s">
        <v>2586</v>
      </c>
      <c r="B222" s="3">
        <v>17661.39</v>
      </c>
      <c r="C222" s="3">
        <v>12881.429999999998</v>
      </c>
      <c r="D222" s="3">
        <v>8828.0400000000009</v>
      </c>
      <c r="E222" s="3">
        <v>4765.8900000000003</v>
      </c>
      <c r="F222" s="3">
        <v>644</v>
      </c>
      <c r="G222" s="3">
        <v>44780.75</v>
      </c>
      <c r="Q222" s="4" t="s">
        <v>2585</v>
      </c>
      <c r="R222" s="3">
        <v>6425.01</v>
      </c>
      <c r="S222" s="3">
        <v>13014.91</v>
      </c>
      <c r="T222" s="3">
        <v>8495.32</v>
      </c>
      <c r="U222" s="3">
        <v>9254.52</v>
      </c>
      <c r="V222" s="3">
        <v>6803.61</v>
      </c>
      <c r="W222" s="3">
        <v>11679.29</v>
      </c>
      <c r="X222" s="3">
        <v>9171.4399999999987</v>
      </c>
      <c r="Y222" s="3">
        <v>64844.099999999991</v>
      </c>
      <c r="AP222" s="2" t="s">
        <v>59</v>
      </c>
      <c r="AQ222" s="3">
        <v>63615.07</v>
      </c>
      <c r="AR222" s="3">
        <v>74265.440000000002</v>
      </c>
      <c r="AS222" s="3">
        <v>88638.450000000012</v>
      </c>
      <c r="AT222" s="3">
        <v>226518.96000000002</v>
      </c>
    </row>
    <row r="223" spans="1:46" x14ac:dyDescent="0.3">
      <c r="A223" s="4" t="s">
        <v>2580</v>
      </c>
      <c r="B223" s="3">
        <v>6305.09</v>
      </c>
      <c r="C223" s="3">
        <v>18159.150000000001</v>
      </c>
      <c r="D223" s="3">
        <v>24567.19</v>
      </c>
      <c r="E223" s="3">
        <v>6542.67</v>
      </c>
      <c r="F223" s="3">
        <v>13395.319999999996</v>
      </c>
      <c r="G223" s="3">
        <v>68969.42</v>
      </c>
      <c r="Q223" s="4" t="s">
        <v>2586</v>
      </c>
      <c r="R223" s="3">
        <v>9675.2999999999993</v>
      </c>
      <c r="S223" s="3">
        <v>13445.039999999999</v>
      </c>
      <c r="T223" s="3">
        <v>2441.38</v>
      </c>
      <c r="U223" s="3">
        <v>5862.1399999999994</v>
      </c>
      <c r="V223" s="3">
        <v>8146.92</v>
      </c>
      <c r="W223" s="3">
        <v>2759.83</v>
      </c>
      <c r="X223" s="3">
        <v>2450.1400000000003</v>
      </c>
      <c r="Y223" s="3">
        <v>44780.75</v>
      </c>
      <c r="AP223" s="2" t="s">
        <v>38</v>
      </c>
      <c r="AQ223" s="3">
        <v>60935.810000000012</v>
      </c>
      <c r="AR223" s="3">
        <v>77098.199999999983</v>
      </c>
      <c r="AS223" s="3">
        <v>55000.31</v>
      </c>
      <c r="AT223" s="3">
        <v>193034.32</v>
      </c>
    </row>
    <row r="224" spans="1:46" x14ac:dyDescent="0.3">
      <c r="A224" s="4" t="s">
        <v>2590</v>
      </c>
      <c r="B224" s="3">
        <v>10795.650000000001</v>
      </c>
      <c r="C224" s="3">
        <v>13149.66</v>
      </c>
      <c r="D224" s="3">
        <v>4961.16</v>
      </c>
      <c r="E224" s="3">
        <v>6013.85</v>
      </c>
      <c r="F224" s="3">
        <v>8302.66</v>
      </c>
      <c r="G224" s="3">
        <v>43222.979999999996</v>
      </c>
      <c r="Q224" s="4" t="s">
        <v>2580</v>
      </c>
      <c r="R224" s="3">
        <v>10933.140000000001</v>
      </c>
      <c r="S224" s="3">
        <v>10421.69</v>
      </c>
      <c r="T224" s="3">
        <v>5053.24</v>
      </c>
      <c r="U224" s="3">
        <v>7628.3799999999992</v>
      </c>
      <c r="V224" s="3">
        <v>16202.969999999998</v>
      </c>
      <c r="W224" s="3">
        <v>9673.4</v>
      </c>
      <c r="X224" s="3">
        <v>9056.5999999999985</v>
      </c>
      <c r="Y224" s="3">
        <v>68969.42</v>
      </c>
      <c r="AP224" s="2" t="s">
        <v>106</v>
      </c>
      <c r="AQ224" s="3">
        <v>61893.329999999987</v>
      </c>
      <c r="AR224" s="3">
        <v>56431.879999999983</v>
      </c>
      <c r="AS224" s="3">
        <v>76030.61</v>
      </c>
      <c r="AT224" s="3">
        <v>194355.81999999995</v>
      </c>
    </row>
    <row r="225" spans="1:46" x14ac:dyDescent="0.3">
      <c r="A225" s="4" t="s">
        <v>2591</v>
      </c>
      <c r="B225" s="3">
        <v>12921.82</v>
      </c>
      <c r="C225" s="3">
        <v>13758.15</v>
      </c>
      <c r="D225" s="3">
        <v>21824.35</v>
      </c>
      <c r="E225" s="3">
        <v>8643.17</v>
      </c>
      <c r="F225" s="3">
        <v>11462.730000000001</v>
      </c>
      <c r="G225" s="3">
        <v>68610.22</v>
      </c>
      <c r="Q225" s="4" t="s">
        <v>2590</v>
      </c>
      <c r="R225" s="3">
        <v>14914.36</v>
      </c>
      <c r="S225" s="3">
        <v>1051.1600000000001</v>
      </c>
      <c r="T225" s="3">
        <v>8615.26</v>
      </c>
      <c r="U225" s="3">
        <v>3728.46</v>
      </c>
      <c r="V225" s="3">
        <v>8047.3</v>
      </c>
      <c r="W225" s="3">
        <v>5415.32</v>
      </c>
      <c r="X225" s="3">
        <v>1451.12</v>
      </c>
      <c r="Y225" s="3">
        <v>43222.98</v>
      </c>
      <c r="AP225" s="2" t="s">
        <v>28</v>
      </c>
      <c r="AQ225" s="3">
        <v>54627.619999999988</v>
      </c>
      <c r="AR225" s="3">
        <v>73792.220000000016</v>
      </c>
      <c r="AS225" s="3">
        <v>53105.120000000003</v>
      </c>
      <c r="AT225" s="3">
        <v>181524.96</v>
      </c>
    </row>
    <row r="226" spans="1:46" x14ac:dyDescent="0.3">
      <c r="A226" s="4" t="s">
        <v>2582</v>
      </c>
      <c r="B226" s="3">
        <v>23297.54</v>
      </c>
      <c r="C226" s="3">
        <v>5495.6799999999994</v>
      </c>
      <c r="D226" s="3">
        <v>9849.7000000000007</v>
      </c>
      <c r="E226" s="3">
        <v>7911.2100000000009</v>
      </c>
      <c r="F226" s="3">
        <v>9511.01</v>
      </c>
      <c r="G226" s="3">
        <v>56065.14</v>
      </c>
      <c r="Q226" s="4" t="s">
        <v>2591</v>
      </c>
      <c r="R226" s="3">
        <v>9745.2199999999993</v>
      </c>
      <c r="S226" s="3">
        <v>11148.28</v>
      </c>
      <c r="T226" s="3">
        <v>3976.59</v>
      </c>
      <c r="U226" s="3">
        <v>15808.189999999999</v>
      </c>
      <c r="V226" s="3">
        <v>2371.7799999999997</v>
      </c>
      <c r="W226" s="3">
        <v>13040.250000000002</v>
      </c>
      <c r="X226" s="3">
        <v>12519.91</v>
      </c>
      <c r="Y226" s="3">
        <v>68610.22</v>
      </c>
      <c r="AP226" s="2" t="s">
        <v>20</v>
      </c>
      <c r="AQ226" s="3">
        <v>57788.73000000001</v>
      </c>
      <c r="AR226" s="3">
        <v>48518.720000000008</v>
      </c>
      <c r="AS226" s="3">
        <v>48785.250000000015</v>
      </c>
      <c r="AT226" s="3">
        <v>155092.70000000001</v>
      </c>
    </row>
    <row r="227" spans="1:46" x14ac:dyDescent="0.3">
      <c r="A227" s="4" t="s">
        <v>2588</v>
      </c>
      <c r="B227" s="3">
        <v>18134.330000000002</v>
      </c>
      <c r="C227" s="3">
        <v>9921.6000000000022</v>
      </c>
      <c r="D227" s="3">
        <v>14022.529999999999</v>
      </c>
      <c r="E227" s="3">
        <v>23225.69</v>
      </c>
      <c r="F227" s="3">
        <v>9452.58</v>
      </c>
      <c r="G227" s="3">
        <v>74756.73000000001</v>
      </c>
      <c r="Q227" s="4" t="s">
        <v>2582</v>
      </c>
      <c r="R227" s="3">
        <v>14513.85</v>
      </c>
      <c r="S227" s="3">
        <v>9538.8000000000011</v>
      </c>
      <c r="T227" s="3">
        <v>4644.49</v>
      </c>
      <c r="U227" s="3">
        <v>2571.0300000000002</v>
      </c>
      <c r="V227" s="3">
        <v>9063</v>
      </c>
      <c r="W227" s="3">
        <v>8114.0499999999993</v>
      </c>
      <c r="X227" s="3">
        <v>7619.92</v>
      </c>
      <c r="Y227" s="3">
        <v>56065.14</v>
      </c>
      <c r="AP227" s="2" t="s">
        <v>52</v>
      </c>
      <c r="AQ227" s="3">
        <v>69944.209999999992</v>
      </c>
      <c r="AR227" s="3">
        <v>65272.479999999981</v>
      </c>
      <c r="AS227" s="3">
        <v>64121.81</v>
      </c>
      <c r="AT227" s="3">
        <v>199338.49999999997</v>
      </c>
    </row>
    <row r="228" spans="1:46" x14ac:dyDescent="0.3">
      <c r="A228" s="2" t="s">
        <v>2573</v>
      </c>
      <c r="B228" s="3">
        <v>334977.81000000006</v>
      </c>
      <c r="C228" s="3">
        <v>285741.65999999997</v>
      </c>
      <c r="D228" s="3">
        <v>328421.64</v>
      </c>
      <c r="E228" s="3">
        <v>296767.55000000005</v>
      </c>
      <c r="F228" s="3">
        <v>281543.82</v>
      </c>
      <c r="G228" s="3">
        <v>1527452.4799999997</v>
      </c>
      <c r="Q228" s="4" t="s">
        <v>2588</v>
      </c>
      <c r="R228" s="3">
        <v>3788.24</v>
      </c>
      <c r="S228" s="3">
        <v>8341.94</v>
      </c>
      <c r="T228" s="3">
        <v>12848.61</v>
      </c>
      <c r="U228" s="3">
        <v>14735.380000000001</v>
      </c>
      <c r="V228" s="3">
        <v>7275.9900000000007</v>
      </c>
      <c r="W228" s="3">
        <v>14843.91</v>
      </c>
      <c r="X228" s="3">
        <v>12922.66</v>
      </c>
      <c r="Y228" s="3">
        <v>74756.73</v>
      </c>
      <c r="AP228" s="2" t="s">
        <v>116</v>
      </c>
      <c r="AQ228" s="3">
        <v>58714.47</v>
      </c>
      <c r="AR228" s="3">
        <v>59224.199999999983</v>
      </c>
      <c r="AS228" s="3">
        <v>61399.990000000005</v>
      </c>
      <c r="AT228" s="3">
        <v>179338.65999999997</v>
      </c>
    </row>
    <row r="229" spans="1:46" x14ac:dyDescent="0.3">
      <c r="Q229" s="2" t="s">
        <v>2573</v>
      </c>
      <c r="R229" s="3">
        <v>193402.86</v>
      </c>
      <c r="S229" s="3">
        <v>226322.47999999995</v>
      </c>
      <c r="T229" s="3">
        <v>205504.77999999997</v>
      </c>
      <c r="U229" s="3">
        <v>235176.3</v>
      </c>
      <c r="V229" s="3">
        <v>221818.88999999998</v>
      </c>
      <c r="W229" s="3">
        <v>217450.79</v>
      </c>
      <c r="X229" s="3">
        <v>227776.38000000003</v>
      </c>
      <c r="Y229" s="3">
        <v>1527452.4799999995</v>
      </c>
      <c r="AP229" s="2" t="s">
        <v>46</v>
      </c>
      <c r="AQ229" s="3">
        <v>85647.889999999985</v>
      </c>
      <c r="AR229" s="3">
        <v>45887.900000000009</v>
      </c>
      <c r="AS229" s="3">
        <v>66712.769999999975</v>
      </c>
      <c r="AT229" s="3">
        <v>198248.55999999994</v>
      </c>
    </row>
    <row r="230" spans="1:46" x14ac:dyDescent="0.3">
      <c r="AP230" s="2" t="s">
        <v>2573</v>
      </c>
      <c r="AQ230" s="3">
        <v>513167.13</v>
      </c>
      <c r="AR230" s="3">
        <v>500491.04000000004</v>
      </c>
      <c r="AS230" s="3">
        <v>513794.30999999994</v>
      </c>
      <c r="AT230" s="3">
        <v>1527452.48</v>
      </c>
    </row>
  </sheetData>
  <pageMargins left="0.7" right="0.7" top="0.75" bottom="0.75" header="0.3" footer="0.3"/>
  <pageSetup orientation="portrait" r:id="rId20"/>
  <drawing r:id="rId21"/>
  <extLst>
    <ext xmlns:x14="http://schemas.microsoft.com/office/spreadsheetml/2009/9/main" uri="{A8765BA9-456A-4dab-B4F3-ACF838C121DE}">
      <x14:slicerList>
        <x14:slicer r:id="rId2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T1001"/>
  <sheetViews>
    <sheetView workbookViewId="0"/>
  </sheetViews>
  <sheetFormatPr defaultRowHeight="14.4" x14ac:dyDescent="0.3"/>
  <cols>
    <col min="1" max="1" width="29.77734375" customWidth="1"/>
    <col min="3" max="3" width="15.21875" customWidth="1"/>
    <col min="4" max="5" width="18.77734375" customWidth="1"/>
    <col min="6" max="6" width="15.33203125" customWidth="1"/>
    <col min="7" max="7" width="17.5546875" customWidth="1"/>
    <col min="8" max="8" width="17.109375" customWidth="1"/>
    <col min="9" max="9" width="13.88671875" customWidth="1"/>
    <col min="10" max="10" width="15.33203125" customWidth="1"/>
    <col min="11" max="11" width="19.5546875" customWidth="1"/>
    <col min="12" max="12" width="13" customWidth="1"/>
    <col min="13" max="13" width="12.33203125" customWidth="1"/>
    <col min="14" max="14" width="14" customWidth="1"/>
    <col min="15" max="15" width="16" customWidth="1"/>
    <col min="16" max="16" width="12.5546875" customWidth="1"/>
    <col min="17" max="17" width="15.6640625" customWidth="1"/>
    <col min="18" max="18" width="13.6640625" customWidth="1"/>
  </cols>
  <sheetData>
    <row r="1" spans="2:20" s="6" customFormat="1" x14ac:dyDescent="0.3">
      <c r="B1" s="9" t="s">
        <v>2592</v>
      </c>
      <c r="C1" s="8" t="s">
        <v>0</v>
      </c>
      <c r="D1" s="8" t="s">
        <v>1</v>
      </c>
      <c r="E1" s="8" t="s">
        <v>2593</v>
      </c>
      <c r="F1" s="8" t="s">
        <v>2</v>
      </c>
      <c r="G1" s="8" t="s">
        <v>3</v>
      </c>
      <c r="H1" s="8" t="s">
        <v>4</v>
      </c>
      <c r="I1" s="8" t="s">
        <v>5</v>
      </c>
      <c r="J1" s="8" t="s">
        <v>6</v>
      </c>
      <c r="K1" s="8" t="s">
        <v>7</v>
      </c>
      <c r="L1" s="8" t="s">
        <v>8</v>
      </c>
      <c r="M1" s="8" t="s">
        <v>9</v>
      </c>
      <c r="N1" s="8" t="s">
        <v>10</v>
      </c>
      <c r="O1" s="8" t="s">
        <v>11</v>
      </c>
      <c r="P1" s="8" t="s">
        <v>12</v>
      </c>
      <c r="Q1" s="8" t="s">
        <v>13</v>
      </c>
      <c r="R1" s="8" t="s">
        <v>14</v>
      </c>
      <c r="S1" s="8" t="s">
        <v>2578</v>
      </c>
      <c r="T1" s="8" t="s">
        <v>2579</v>
      </c>
    </row>
    <row r="2" spans="2:20" x14ac:dyDescent="0.3">
      <c r="B2" s="7">
        <v>1</v>
      </c>
      <c r="C2" s="7" t="s">
        <v>15</v>
      </c>
      <c r="D2" s="7" t="s">
        <v>16</v>
      </c>
      <c r="E2" s="7" t="str">
        <f>TEXT(D2,"mmm")</f>
        <v>Nov</v>
      </c>
      <c r="F2" s="7" t="s">
        <v>17</v>
      </c>
      <c r="G2" s="7" t="s">
        <v>18</v>
      </c>
      <c r="H2" s="7" t="s">
        <v>19</v>
      </c>
      <c r="I2" s="7" t="s">
        <v>20</v>
      </c>
      <c r="J2" s="7" t="s">
        <v>21</v>
      </c>
      <c r="K2" s="7" t="s">
        <v>22</v>
      </c>
      <c r="L2" s="7">
        <v>435.18</v>
      </c>
      <c r="M2" s="7">
        <v>5</v>
      </c>
      <c r="N2" s="7">
        <v>0.21</v>
      </c>
      <c r="O2" s="7">
        <v>146.93</v>
      </c>
      <c r="P2" s="7" t="s">
        <v>23</v>
      </c>
      <c r="Q2" s="7" t="s">
        <v>24</v>
      </c>
      <c r="R2" s="7">
        <v>9</v>
      </c>
      <c r="S2" s="7">
        <f>YEAR(D2)</f>
        <v>2024</v>
      </c>
      <c r="T2" s="7" t="str">
        <f>TEXT(D2,"mmm")</f>
        <v>Nov</v>
      </c>
    </row>
    <row r="3" spans="2:20" x14ac:dyDescent="0.3">
      <c r="B3" s="7">
        <v>2</v>
      </c>
      <c r="C3" s="7" t="s">
        <v>25</v>
      </c>
      <c r="D3" s="7" t="s">
        <v>26</v>
      </c>
      <c r="E3" s="7" t="str">
        <f t="shared" ref="E3:E66" si="0">TEXT(D3,"mmm")</f>
        <v>Jun</v>
      </c>
      <c r="F3" s="7" t="s">
        <v>27</v>
      </c>
      <c r="G3" s="7" t="s">
        <v>18</v>
      </c>
      <c r="H3" s="7" t="s">
        <v>19</v>
      </c>
      <c r="I3" s="7" t="s">
        <v>28</v>
      </c>
      <c r="J3" s="7" t="s">
        <v>29</v>
      </c>
      <c r="K3" s="7" t="s">
        <v>30</v>
      </c>
      <c r="L3" s="7">
        <v>958.75</v>
      </c>
      <c r="M3" s="7">
        <v>1</v>
      </c>
      <c r="N3" s="7">
        <v>0.24</v>
      </c>
      <c r="O3" s="7">
        <v>117.66</v>
      </c>
      <c r="P3" s="7" t="s">
        <v>31</v>
      </c>
      <c r="Q3" s="7" t="s">
        <v>32</v>
      </c>
      <c r="R3" s="7">
        <v>4</v>
      </c>
      <c r="S3" s="7">
        <f t="shared" ref="S3:S66" si="1">YEAR(D3)</f>
        <v>2024</v>
      </c>
      <c r="T3" s="7" t="str">
        <f t="shared" ref="T3:T66" si="2">TEXT(D3,"mmm")</f>
        <v>Jun</v>
      </c>
    </row>
    <row r="4" spans="2:20" x14ac:dyDescent="0.3">
      <c r="B4" s="7">
        <v>3</v>
      </c>
      <c r="C4" s="7" t="s">
        <v>33</v>
      </c>
      <c r="D4" s="7" t="s">
        <v>34</v>
      </c>
      <c r="E4" s="7" t="str">
        <f t="shared" si="0"/>
        <v>Nov</v>
      </c>
      <c r="F4" s="7" t="s">
        <v>35</v>
      </c>
      <c r="G4" s="7" t="s">
        <v>36</v>
      </c>
      <c r="H4" s="7" t="s">
        <v>37</v>
      </c>
      <c r="I4" s="7" t="s">
        <v>38</v>
      </c>
      <c r="J4" s="7" t="s">
        <v>21</v>
      </c>
      <c r="K4" s="7" t="s">
        <v>39</v>
      </c>
      <c r="L4" s="7">
        <v>4582.78</v>
      </c>
      <c r="M4" s="7">
        <v>5</v>
      </c>
      <c r="N4" s="7">
        <v>0.1</v>
      </c>
      <c r="O4" s="7">
        <v>1588.84</v>
      </c>
      <c r="P4" s="7" t="s">
        <v>31</v>
      </c>
      <c r="Q4" s="7" t="s">
        <v>40</v>
      </c>
      <c r="R4" s="7">
        <v>5</v>
      </c>
      <c r="S4" s="7">
        <f t="shared" si="1"/>
        <v>2025</v>
      </c>
      <c r="T4" s="7" t="str">
        <f t="shared" si="2"/>
        <v>Nov</v>
      </c>
    </row>
    <row r="5" spans="2:20" x14ac:dyDescent="0.3">
      <c r="B5" s="7">
        <v>4</v>
      </c>
      <c r="C5" s="7" t="s">
        <v>41</v>
      </c>
      <c r="D5" s="7" t="s">
        <v>42</v>
      </c>
      <c r="E5" s="7" t="str">
        <f t="shared" si="0"/>
        <v>Feb</v>
      </c>
      <c r="F5" s="7" t="s">
        <v>43</v>
      </c>
      <c r="G5" s="7" t="s">
        <v>44</v>
      </c>
      <c r="H5" s="7" t="s">
        <v>45</v>
      </c>
      <c r="I5" s="7" t="s">
        <v>46</v>
      </c>
      <c r="J5" s="7" t="s">
        <v>47</v>
      </c>
      <c r="K5" s="7" t="s">
        <v>30</v>
      </c>
      <c r="L5" s="7">
        <v>3771.2</v>
      </c>
      <c r="M5" s="7">
        <v>4</v>
      </c>
      <c r="N5" s="7">
        <v>0.13</v>
      </c>
      <c r="O5" s="7">
        <v>1044.58</v>
      </c>
      <c r="P5" s="7" t="s">
        <v>23</v>
      </c>
      <c r="Q5" s="7" t="s">
        <v>32</v>
      </c>
      <c r="R5" s="7">
        <v>10</v>
      </c>
      <c r="S5" s="7">
        <f t="shared" si="1"/>
        <v>2024</v>
      </c>
      <c r="T5" s="7" t="str">
        <f t="shared" si="2"/>
        <v>Feb</v>
      </c>
    </row>
    <row r="6" spans="2:20" x14ac:dyDescent="0.3">
      <c r="B6" s="7">
        <v>5</v>
      </c>
      <c r="C6" s="7" t="s">
        <v>48</v>
      </c>
      <c r="D6" s="7" t="s">
        <v>49</v>
      </c>
      <c r="E6" s="7" t="str">
        <f t="shared" si="0"/>
        <v>May</v>
      </c>
      <c r="F6" s="7" t="s">
        <v>50</v>
      </c>
      <c r="G6" s="7" t="s">
        <v>36</v>
      </c>
      <c r="H6" s="7" t="s">
        <v>51</v>
      </c>
      <c r="I6" s="7" t="s">
        <v>52</v>
      </c>
      <c r="J6" s="7" t="s">
        <v>47</v>
      </c>
      <c r="K6" s="7" t="s">
        <v>53</v>
      </c>
      <c r="L6" s="7">
        <v>1588.48</v>
      </c>
      <c r="M6" s="7">
        <v>5</v>
      </c>
      <c r="N6" s="7">
        <v>0.19</v>
      </c>
      <c r="O6" s="7">
        <v>198.67</v>
      </c>
      <c r="P6" s="7" t="s">
        <v>54</v>
      </c>
      <c r="Q6" s="7" t="s">
        <v>32</v>
      </c>
      <c r="R6" s="7">
        <v>7</v>
      </c>
      <c r="S6" s="7">
        <f t="shared" si="1"/>
        <v>2024</v>
      </c>
      <c r="T6" s="7" t="str">
        <f t="shared" si="2"/>
        <v>May</v>
      </c>
    </row>
    <row r="7" spans="2:20" x14ac:dyDescent="0.3">
      <c r="B7" s="7">
        <v>6</v>
      </c>
      <c r="C7" s="7" t="s">
        <v>55</v>
      </c>
      <c r="D7" s="7" t="s">
        <v>56</v>
      </c>
      <c r="E7" s="7" t="str">
        <f t="shared" si="0"/>
        <v>Dec</v>
      </c>
      <c r="F7" s="7" t="s">
        <v>57</v>
      </c>
      <c r="G7" s="7" t="s">
        <v>18</v>
      </c>
      <c r="H7" s="7" t="s">
        <v>58</v>
      </c>
      <c r="I7" s="7" t="s">
        <v>59</v>
      </c>
      <c r="J7" s="7" t="s">
        <v>47</v>
      </c>
      <c r="K7" s="7" t="s">
        <v>60</v>
      </c>
      <c r="L7" s="7">
        <v>1002.02</v>
      </c>
      <c r="M7" s="7">
        <v>3</v>
      </c>
      <c r="N7" s="7">
        <v>0.03</v>
      </c>
      <c r="O7" s="7">
        <v>137.16999999999999</v>
      </c>
      <c r="P7" s="7" t="s">
        <v>54</v>
      </c>
      <c r="Q7" s="7" t="s">
        <v>32</v>
      </c>
      <c r="R7" s="7">
        <v>6</v>
      </c>
      <c r="S7" s="7">
        <f t="shared" si="1"/>
        <v>2024</v>
      </c>
      <c r="T7" s="7" t="str">
        <f t="shared" si="2"/>
        <v>Dec</v>
      </c>
    </row>
    <row r="8" spans="2:20" x14ac:dyDescent="0.3">
      <c r="B8" s="7">
        <v>7</v>
      </c>
      <c r="C8" s="7" t="s">
        <v>61</v>
      </c>
      <c r="D8" s="7" t="s">
        <v>62</v>
      </c>
      <c r="E8" s="7" t="str">
        <f t="shared" si="0"/>
        <v>Jul</v>
      </c>
      <c r="F8" s="7" t="s">
        <v>63</v>
      </c>
      <c r="G8" s="7" t="s">
        <v>64</v>
      </c>
      <c r="H8" s="7" t="s">
        <v>65</v>
      </c>
      <c r="I8" s="7" t="s">
        <v>46</v>
      </c>
      <c r="J8" s="7" t="s">
        <v>66</v>
      </c>
      <c r="K8" s="7" t="s">
        <v>67</v>
      </c>
      <c r="L8" s="7">
        <v>1581.8</v>
      </c>
      <c r="M8" s="7">
        <v>3</v>
      </c>
      <c r="N8" s="7">
        <v>0.25</v>
      </c>
      <c r="O8" s="7">
        <v>527.13</v>
      </c>
      <c r="P8" s="7" t="s">
        <v>23</v>
      </c>
      <c r="Q8" s="7" t="s">
        <v>24</v>
      </c>
      <c r="R8" s="7">
        <v>1</v>
      </c>
      <c r="S8" s="7">
        <f t="shared" si="1"/>
        <v>2024</v>
      </c>
      <c r="T8" s="7" t="str">
        <f t="shared" si="2"/>
        <v>Jul</v>
      </c>
    </row>
    <row r="9" spans="2:20" x14ac:dyDescent="0.3">
      <c r="B9" s="7">
        <v>8</v>
      </c>
      <c r="C9" s="7" t="s">
        <v>68</v>
      </c>
      <c r="D9" s="7" t="s">
        <v>69</v>
      </c>
      <c r="E9" s="7" t="str">
        <f t="shared" si="0"/>
        <v>Jan</v>
      </c>
      <c r="F9" s="7" t="s">
        <v>70</v>
      </c>
      <c r="G9" s="7" t="s">
        <v>44</v>
      </c>
      <c r="H9" s="7" t="s">
        <v>71</v>
      </c>
      <c r="I9" s="7" t="s">
        <v>59</v>
      </c>
      <c r="J9" s="7" t="s">
        <v>29</v>
      </c>
      <c r="K9" s="7" t="s">
        <v>72</v>
      </c>
      <c r="L9" s="7">
        <v>1939.59</v>
      </c>
      <c r="M9" s="7">
        <v>2</v>
      </c>
      <c r="N9" s="7">
        <v>0.03</v>
      </c>
      <c r="O9" s="7">
        <v>635.15</v>
      </c>
      <c r="P9" s="7" t="s">
        <v>54</v>
      </c>
      <c r="Q9" s="7" t="s">
        <v>32</v>
      </c>
      <c r="R9" s="7">
        <v>9</v>
      </c>
      <c r="S9" s="7">
        <f t="shared" si="1"/>
        <v>2024</v>
      </c>
      <c r="T9" s="7" t="str">
        <f t="shared" si="2"/>
        <v>Jan</v>
      </c>
    </row>
    <row r="10" spans="2:20" x14ac:dyDescent="0.3">
      <c r="B10" s="7">
        <v>9</v>
      </c>
      <c r="C10" s="7" t="s">
        <v>73</v>
      </c>
      <c r="D10" s="7" t="s">
        <v>74</v>
      </c>
      <c r="E10" s="7" t="str">
        <f t="shared" si="0"/>
        <v>Oct</v>
      </c>
      <c r="F10" s="7" t="s">
        <v>75</v>
      </c>
      <c r="G10" s="7" t="s">
        <v>36</v>
      </c>
      <c r="H10" s="7" t="s">
        <v>45</v>
      </c>
      <c r="I10" s="7" t="s">
        <v>59</v>
      </c>
      <c r="J10" s="7" t="s">
        <v>66</v>
      </c>
      <c r="K10" s="7" t="s">
        <v>76</v>
      </c>
      <c r="L10" s="7">
        <v>701.36</v>
      </c>
      <c r="M10" s="7">
        <v>2</v>
      </c>
      <c r="N10" s="7">
        <v>0.28000000000000003</v>
      </c>
      <c r="O10" s="7">
        <v>73.38</v>
      </c>
      <c r="P10" s="7" t="s">
        <v>31</v>
      </c>
      <c r="Q10" s="7" t="s">
        <v>77</v>
      </c>
      <c r="R10" s="7">
        <v>6</v>
      </c>
      <c r="S10" s="7">
        <f t="shared" si="1"/>
        <v>2024</v>
      </c>
      <c r="T10" s="7" t="str">
        <f t="shared" si="2"/>
        <v>Oct</v>
      </c>
    </row>
    <row r="11" spans="2:20" x14ac:dyDescent="0.3">
      <c r="B11" s="7">
        <v>10</v>
      </c>
      <c r="C11" s="7" t="s">
        <v>78</v>
      </c>
      <c r="D11" s="7" t="s">
        <v>79</v>
      </c>
      <c r="E11" s="7" t="str">
        <f t="shared" si="0"/>
        <v>Mar</v>
      </c>
      <c r="F11" s="7" t="s">
        <v>80</v>
      </c>
      <c r="G11" s="7" t="s">
        <v>44</v>
      </c>
      <c r="H11" s="7" t="s">
        <v>45</v>
      </c>
      <c r="I11" s="7" t="s">
        <v>52</v>
      </c>
      <c r="J11" s="7" t="s">
        <v>81</v>
      </c>
      <c r="K11" s="7" t="s">
        <v>82</v>
      </c>
      <c r="L11" s="7">
        <v>2752.5</v>
      </c>
      <c r="M11" s="7">
        <v>4</v>
      </c>
      <c r="N11" s="7">
        <v>0.06</v>
      </c>
      <c r="O11" s="7">
        <v>379.55</v>
      </c>
      <c r="P11" s="7" t="s">
        <v>54</v>
      </c>
      <c r="Q11" s="7" t="s">
        <v>24</v>
      </c>
      <c r="R11" s="7">
        <v>8</v>
      </c>
      <c r="S11" s="7">
        <f t="shared" si="1"/>
        <v>2024</v>
      </c>
      <c r="T11" s="7" t="str">
        <f t="shared" si="2"/>
        <v>Mar</v>
      </c>
    </row>
    <row r="12" spans="2:20" x14ac:dyDescent="0.3">
      <c r="B12" s="7">
        <v>11</v>
      </c>
      <c r="C12" s="7" t="s">
        <v>83</v>
      </c>
      <c r="D12" s="7" t="s">
        <v>84</v>
      </c>
      <c r="E12" s="7" t="str">
        <f t="shared" si="0"/>
        <v>Jul</v>
      </c>
      <c r="F12" s="7" t="s">
        <v>85</v>
      </c>
      <c r="G12" s="7" t="s">
        <v>64</v>
      </c>
      <c r="H12" s="7" t="s">
        <v>37</v>
      </c>
      <c r="I12" s="7" t="s">
        <v>38</v>
      </c>
      <c r="J12" s="7" t="s">
        <v>47</v>
      </c>
      <c r="K12" s="7" t="s">
        <v>82</v>
      </c>
      <c r="L12" s="7">
        <v>2861.09</v>
      </c>
      <c r="M12" s="7">
        <v>5</v>
      </c>
      <c r="N12" s="7">
        <v>0.28999999999999998</v>
      </c>
      <c r="O12" s="7">
        <v>816.79</v>
      </c>
      <c r="P12" s="7" t="s">
        <v>54</v>
      </c>
      <c r="Q12" s="7" t="s">
        <v>86</v>
      </c>
      <c r="R12" s="7">
        <v>10</v>
      </c>
      <c r="S12" s="7">
        <f t="shared" si="1"/>
        <v>2024</v>
      </c>
      <c r="T12" s="7" t="str">
        <f t="shared" si="2"/>
        <v>Jul</v>
      </c>
    </row>
    <row r="13" spans="2:20" x14ac:dyDescent="0.3">
      <c r="B13" s="7">
        <v>12</v>
      </c>
      <c r="C13" s="7" t="s">
        <v>87</v>
      </c>
      <c r="D13" s="7" t="s">
        <v>88</v>
      </c>
      <c r="E13" s="7" t="str">
        <f t="shared" si="0"/>
        <v>Aug</v>
      </c>
      <c r="F13" s="7" t="s">
        <v>89</v>
      </c>
      <c r="G13" s="7" t="s">
        <v>18</v>
      </c>
      <c r="H13" s="7" t="s">
        <v>19</v>
      </c>
      <c r="I13" s="7" t="s">
        <v>59</v>
      </c>
      <c r="J13" s="7" t="s">
        <v>66</v>
      </c>
      <c r="K13" s="7" t="s">
        <v>53</v>
      </c>
      <c r="L13" s="7">
        <v>1805.24</v>
      </c>
      <c r="M13" s="7">
        <v>2</v>
      </c>
      <c r="N13" s="7">
        <v>0.05</v>
      </c>
      <c r="O13" s="7">
        <v>199.7</v>
      </c>
      <c r="P13" s="7" t="s">
        <v>54</v>
      </c>
      <c r="Q13" s="7" t="s">
        <v>32</v>
      </c>
      <c r="R13" s="7">
        <v>9</v>
      </c>
      <c r="S13" s="7">
        <f t="shared" si="1"/>
        <v>2024</v>
      </c>
      <c r="T13" s="7" t="str">
        <f t="shared" si="2"/>
        <v>Aug</v>
      </c>
    </row>
    <row r="14" spans="2:20" x14ac:dyDescent="0.3">
      <c r="B14" s="7">
        <v>13</v>
      </c>
      <c r="C14" s="7" t="s">
        <v>90</v>
      </c>
      <c r="D14" s="7" t="s">
        <v>91</v>
      </c>
      <c r="E14" s="7" t="str">
        <f t="shared" si="0"/>
        <v>May</v>
      </c>
      <c r="F14" s="7" t="s">
        <v>92</v>
      </c>
      <c r="G14" s="7" t="s">
        <v>18</v>
      </c>
      <c r="H14" s="7" t="s">
        <v>71</v>
      </c>
      <c r="I14" s="7" t="s">
        <v>46</v>
      </c>
      <c r="J14" s="7" t="s">
        <v>81</v>
      </c>
      <c r="K14" s="7" t="s">
        <v>67</v>
      </c>
      <c r="L14" s="7">
        <v>1159.8499999999999</v>
      </c>
      <c r="M14" s="7">
        <v>4</v>
      </c>
      <c r="N14" s="7">
        <v>0.11</v>
      </c>
      <c r="O14" s="7">
        <v>197.73</v>
      </c>
      <c r="P14" s="7" t="s">
        <v>31</v>
      </c>
      <c r="Q14" s="7" t="s">
        <v>40</v>
      </c>
      <c r="R14" s="7">
        <v>8</v>
      </c>
      <c r="S14" s="7">
        <f t="shared" si="1"/>
        <v>2025</v>
      </c>
      <c r="T14" s="7" t="str">
        <f t="shared" si="2"/>
        <v>May</v>
      </c>
    </row>
    <row r="15" spans="2:20" x14ac:dyDescent="0.3">
      <c r="B15" s="7">
        <v>14</v>
      </c>
      <c r="C15" s="7" t="s">
        <v>93</v>
      </c>
      <c r="D15" s="7" t="s">
        <v>94</v>
      </c>
      <c r="E15" s="7" t="str">
        <f t="shared" si="0"/>
        <v>Jan</v>
      </c>
      <c r="F15" s="7" t="s">
        <v>95</v>
      </c>
      <c r="G15" s="7" t="s">
        <v>18</v>
      </c>
      <c r="H15" s="7" t="s">
        <v>37</v>
      </c>
      <c r="I15" s="7" t="s">
        <v>46</v>
      </c>
      <c r="J15" s="7" t="s">
        <v>66</v>
      </c>
      <c r="K15" s="7" t="s">
        <v>82</v>
      </c>
      <c r="L15" s="7">
        <v>184.5</v>
      </c>
      <c r="M15" s="7">
        <v>1</v>
      </c>
      <c r="N15" s="7">
        <v>0.24</v>
      </c>
      <c r="O15" s="7">
        <v>28.47</v>
      </c>
      <c r="P15" s="7" t="s">
        <v>23</v>
      </c>
      <c r="Q15" s="7" t="s">
        <v>86</v>
      </c>
      <c r="R15" s="7">
        <v>4</v>
      </c>
      <c r="S15" s="7">
        <f t="shared" si="1"/>
        <v>2025</v>
      </c>
      <c r="T15" s="7" t="str">
        <f t="shared" si="2"/>
        <v>Jan</v>
      </c>
    </row>
    <row r="16" spans="2:20" x14ac:dyDescent="0.3">
      <c r="B16" s="7">
        <v>15</v>
      </c>
      <c r="C16" s="7" t="s">
        <v>96</v>
      </c>
      <c r="D16" s="7" t="s">
        <v>97</v>
      </c>
      <c r="E16" s="7" t="str">
        <f t="shared" si="0"/>
        <v>Jun</v>
      </c>
      <c r="F16" s="7" t="s">
        <v>98</v>
      </c>
      <c r="G16" s="7" t="s">
        <v>44</v>
      </c>
      <c r="H16" s="7" t="s">
        <v>71</v>
      </c>
      <c r="I16" s="7" t="s">
        <v>38</v>
      </c>
      <c r="J16" s="7" t="s">
        <v>29</v>
      </c>
      <c r="K16" s="7" t="s">
        <v>72</v>
      </c>
      <c r="L16" s="7">
        <v>1915.53</v>
      </c>
      <c r="M16" s="7">
        <v>5</v>
      </c>
      <c r="N16" s="7">
        <v>0.26</v>
      </c>
      <c r="O16" s="7">
        <v>339.55</v>
      </c>
      <c r="P16" s="7" t="s">
        <v>31</v>
      </c>
      <c r="Q16" s="7" t="s">
        <v>24</v>
      </c>
      <c r="R16" s="7">
        <v>2</v>
      </c>
      <c r="S16" s="7">
        <f t="shared" si="1"/>
        <v>2025</v>
      </c>
      <c r="T16" s="7" t="str">
        <f t="shared" si="2"/>
        <v>Jun</v>
      </c>
    </row>
    <row r="17" spans="2:20" x14ac:dyDescent="0.3">
      <c r="B17" s="7">
        <v>16</v>
      </c>
      <c r="C17" s="7" t="s">
        <v>99</v>
      </c>
      <c r="D17" s="7" t="s">
        <v>100</v>
      </c>
      <c r="E17" s="7" t="str">
        <f t="shared" si="0"/>
        <v>Nov</v>
      </c>
      <c r="F17" s="7" t="s">
        <v>101</v>
      </c>
      <c r="G17" s="7" t="s">
        <v>102</v>
      </c>
      <c r="H17" s="7" t="s">
        <v>45</v>
      </c>
      <c r="I17" s="7" t="s">
        <v>28</v>
      </c>
      <c r="J17" s="7" t="s">
        <v>66</v>
      </c>
      <c r="K17" s="7" t="s">
        <v>60</v>
      </c>
      <c r="L17" s="7">
        <v>766.04</v>
      </c>
      <c r="M17" s="7">
        <v>1</v>
      </c>
      <c r="N17" s="7">
        <v>0.17</v>
      </c>
      <c r="O17" s="7">
        <v>147.77000000000001</v>
      </c>
      <c r="P17" s="7" t="s">
        <v>23</v>
      </c>
      <c r="Q17" s="7" t="s">
        <v>77</v>
      </c>
      <c r="R17" s="7">
        <v>9</v>
      </c>
      <c r="S17" s="7">
        <f t="shared" si="1"/>
        <v>2024</v>
      </c>
      <c r="T17" s="7" t="str">
        <f t="shared" si="2"/>
        <v>Nov</v>
      </c>
    </row>
    <row r="18" spans="2:20" x14ac:dyDescent="0.3">
      <c r="B18" s="7">
        <v>17</v>
      </c>
      <c r="C18" s="7" t="s">
        <v>103</v>
      </c>
      <c r="D18" s="7" t="s">
        <v>104</v>
      </c>
      <c r="E18" s="7" t="str">
        <f t="shared" si="0"/>
        <v>Jun</v>
      </c>
      <c r="F18" s="7" t="s">
        <v>105</v>
      </c>
      <c r="G18" s="7" t="s">
        <v>36</v>
      </c>
      <c r="H18" s="7" t="s">
        <v>37</v>
      </c>
      <c r="I18" s="7" t="s">
        <v>106</v>
      </c>
      <c r="J18" s="7" t="s">
        <v>66</v>
      </c>
      <c r="K18" s="7" t="s">
        <v>30</v>
      </c>
      <c r="L18" s="7">
        <v>1979.86</v>
      </c>
      <c r="M18" s="7">
        <v>2</v>
      </c>
      <c r="N18" s="7">
        <v>0.2</v>
      </c>
      <c r="O18" s="7">
        <v>540.21</v>
      </c>
      <c r="P18" s="7" t="s">
        <v>31</v>
      </c>
      <c r="Q18" s="7" t="s">
        <v>24</v>
      </c>
      <c r="R18" s="7">
        <v>3</v>
      </c>
      <c r="S18" s="7">
        <f t="shared" si="1"/>
        <v>2024</v>
      </c>
      <c r="T18" s="7" t="str">
        <f t="shared" si="2"/>
        <v>Jun</v>
      </c>
    </row>
    <row r="19" spans="2:20" x14ac:dyDescent="0.3">
      <c r="B19" s="7">
        <v>18</v>
      </c>
      <c r="C19" s="7" t="s">
        <v>107</v>
      </c>
      <c r="D19" s="7" t="s">
        <v>108</v>
      </c>
      <c r="E19" s="7" t="str">
        <f t="shared" si="0"/>
        <v>May</v>
      </c>
      <c r="F19" s="7" t="s">
        <v>109</v>
      </c>
      <c r="G19" s="7" t="s">
        <v>44</v>
      </c>
      <c r="H19" s="7" t="s">
        <v>65</v>
      </c>
      <c r="I19" s="7" t="s">
        <v>59</v>
      </c>
      <c r="J19" s="7" t="s">
        <v>81</v>
      </c>
      <c r="K19" s="7" t="s">
        <v>60</v>
      </c>
      <c r="L19" s="7">
        <v>2945.11</v>
      </c>
      <c r="M19" s="7">
        <v>4</v>
      </c>
      <c r="N19" s="7">
        <v>0.21</v>
      </c>
      <c r="O19" s="7">
        <v>703.61</v>
      </c>
      <c r="P19" s="7" t="s">
        <v>31</v>
      </c>
      <c r="Q19" s="7" t="s">
        <v>24</v>
      </c>
      <c r="R19" s="7">
        <v>1</v>
      </c>
      <c r="S19" s="7">
        <f t="shared" si="1"/>
        <v>2025</v>
      </c>
      <c r="T19" s="7" t="str">
        <f t="shared" si="2"/>
        <v>May</v>
      </c>
    </row>
    <row r="20" spans="2:20" x14ac:dyDescent="0.3">
      <c r="B20" s="7">
        <v>19</v>
      </c>
      <c r="C20" s="7" t="s">
        <v>110</v>
      </c>
      <c r="D20" s="7" t="s">
        <v>111</v>
      </c>
      <c r="E20" s="7" t="str">
        <f t="shared" si="0"/>
        <v>Apr</v>
      </c>
      <c r="F20" s="7" t="s">
        <v>112</v>
      </c>
      <c r="G20" s="7" t="s">
        <v>102</v>
      </c>
      <c r="H20" s="7" t="s">
        <v>37</v>
      </c>
      <c r="I20" s="7" t="s">
        <v>52</v>
      </c>
      <c r="J20" s="7" t="s">
        <v>81</v>
      </c>
      <c r="K20" s="7" t="s">
        <v>30</v>
      </c>
      <c r="L20" s="7">
        <v>2056.11</v>
      </c>
      <c r="M20" s="7">
        <v>5</v>
      </c>
      <c r="N20" s="7">
        <v>0.04</v>
      </c>
      <c r="O20" s="7">
        <v>257.08</v>
      </c>
      <c r="P20" s="7" t="s">
        <v>31</v>
      </c>
      <c r="Q20" s="7" t="s">
        <v>24</v>
      </c>
      <c r="R20" s="7">
        <v>9</v>
      </c>
      <c r="S20" s="7">
        <f t="shared" si="1"/>
        <v>2025</v>
      </c>
      <c r="T20" s="7" t="str">
        <f t="shared" si="2"/>
        <v>Apr</v>
      </c>
    </row>
    <row r="21" spans="2:20" x14ac:dyDescent="0.3">
      <c r="B21" s="7">
        <v>20</v>
      </c>
      <c r="C21" s="7" t="s">
        <v>113</v>
      </c>
      <c r="D21" s="7" t="s">
        <v>114</v>
      </c>
      <c r="E21" s="7" t="str">
        <f t="shared" si="0"/>
        <v>Jul</v>
      </c>
      <c r="F21" s="7" t="s">
        <v>115</v>
      </c>
      <c r="G21" s="7" t="s">
        <v>36</v>
      </c>
      <c r="H21" s="7" t="s">
        <v>65</v>
      </c>
      <c r="I21" s="7" t="s">
        <v>116</v>
      </c>
      <c r="J21" s="7" t="s">
        <v>66</v>
      </c>
      <c r="K21" s="7" t="s">
        <v>76</v>
      </c>
      <c r="L21" s="7">
        <v>2747.4</v>
      </c>
      <c r="M21" s="7">
        <v>4</v>
      </c>
      <c r="N21" s="7">
        <v>0.09</v>
      </c>
      <c r="O21" s="7">
        <v>561.4</v>
      </c>
      <c r="P21" s="7" t="s">
        <v>23</v>
      </c>
      <c r="Q21" s="7" t="s">
        <v>32</v>
      </c>
      <c r="R21" s="7">
        <v>5</v>
      </c>
      <c r="S21" s="7">
        <f t="shared" si="1"/>
        <v>2025</v>
      </c>
      <c r="T21" s="7" t="str">
        <f t="shared" si="2"/>
        <v>Jul</v>
      </c>
    </row>
    <row r="22" spans="2:20" x14ac:dyDescent="0.3">
      <c r="B22" s="7">
        <v>21</v>
      </c>
      <c r="C22" s="7" t="s">
        <v>117</v>
      </c>
      <c r="D22" s="7" t="s">
        <v>118</v>
      </c>
      <c r="E22" s="7" t="str">
        <f t="shared" si="0"/>
        <v>Mar</v>
      </c>
      <c r="F22" s="7" t="s">
        <v>119</v>
      </c>
      <c r="G22" s="7" t="s">
        <v>102</v>
      </c>
      <c r="H22" s="7" t="s">
        <v>71</v>
      </c>
      <c r="I22" s="7" t="s">
        <v>59</v>
      </c>
      <c r="J22" s="7" t="s">
        <v>29</v>
      </c>
      <c r="K22" s="7" t="s">
        <v>76</v>
      </c>
      <c r="L22" s="7">
        <v>1342.64</v>
      </c>
      <c r="M22" s="7">
        <v>4</v>
      </c>
      <c r="N22" s="7">
        <v>0.13</v>
      </c>
      <c r="O22" s="7">
        <v>409.84</v>
      </c>
      <c r="P22" s="7" t="s">
        <v>54</v>
      </c>
      <c r="Q22" s="7" t="s">
        <v>24</v>
      </c>
      <c r="R22" s="7">
        <v>1</v>
      </c>
      <c r="S22" s="7">
        <f t="shared" si="1"/>
        <v>2024</v>
      </c>
      <c r="T22" s="7" t="str">
        <f t="shared" si="2"/>
        <v>Mar</v>
      </c>
    </row>
    <row r="23" spans="2:20" x14ac:dyDescent="0.3">
      <c r="B23" s="7">
        <v>22</v>
      </c>
      <c r="C23" s="7" t="s">
        <v>120</v>
      </c>
      <c r="D23" s="7" t="s">
        <v>121</v>
      </c>
      <c r="E23" s="7" t="str">
        <f t="shared" si="0"/>
        <v>Feb</v>
      </c>
      <c r="F23" s="7" t="s">
        <v>122</v>
      </c>
      <c r="G23" s="7" t="s">
        <v>18</v>
      </c>
      <c r="H23" s="7" t="s">
        <v>58</v>
      </c>
      <c r="I23" s="7" t="s">
        <v>28</v>
      </c>
      <c r="J23" s="7" t="s">
        <v>81</v>
      </c>
      <c r="K23" s="7" t="s">
        <v>60</v>
      </c>
      <c r="L23" s="7">
        <v>230.12</v>
      </c>
      <c r="M23" s="7">
        <v>1</v>
      </c>
      <c r="N23" s="7">
        <v>0.22</v>
      </c>
      <c r="O23" s="7">
        <v>28.15</v>
      </c>
      <c r="P23" s="7" t="s">
        <v>23</v>
      </c>
      <c r="Q23" s="7" t="s">
        <v>40</v>
      </c>
      <c r="R23" s="7">
        <v>5</v>
      </c>
      <c r="S23" s="7">
        <f t="shared" si="1"/>
        <v>2024</v>
      </c>
      <c r="T23" s="7" t="str">
        <f t="shared" si="2"/>
        <v>Feb</v>
      </c>
    </row>
    <row r="24" spans="2:20" x14ac:dyDescent="0.3">
      <c r="B24" s="7">
        <v>23</v>
      </c>
      <c r="C24" s="7" t="s">
        <v>123</v>
      </c>
      <c r="D24" s="7" t="s">
        <v>124</v>
      </c>
      <c r="E24" s="7" t="str">
        <f t="shared" si="0"/>
        <v>Mar</v>
      </c>
      <c r="F24" s="7" t="s">
        <v>125</v>
      </c>
      <c r="G24" s="7" t="s">
        <v>18</v>
      </c>
      <c r="H24" s="7" t="s">
        <v>51</v>
      </c>
      <c r="I24" s="7" t="s">
        <v>106</v>
      </c>
      <c r="J24" s="7" t="s">
        <v>21</v>
      </c>
      <c r="K24" s="7" t="s">
        <v>60</v>
      </c>
      <c r="L24" s="7">
        <v>965.89</v>
      </c>
      <c r="M24" s="7">
        <v>3</v>
      </c>
      <c r="N24" s="7">
        <v>0.21</v>
      </c>
      <c r="O24" s="7">
        <v>270.56</v>
      </c>
      <c r="P24" s="7" t="s">
        <v>23</v>
      </c>
      <c r="Q24" s="7" t="s">
        <v>40</v>
      </c>
      <c r="R24" s="7">
        <v>10</v>
      </c>
      <c r="S24" s="7">
        <f t="shared" si="1"/>
        <v>2024</v>
      </c>
      <c r="T24" s="7" t="str">
        <f t="shared" si="2"/>
        <v>Mar</v>
      </c>
    </row>
    <row r="25" spans="2:20" x14ac:dyDescent="0.3">
      <c r="B25" s="7">
        <v>24</v>
      </c>
      <c r="C25" s="7" t="s">
        <v>126</v>
      </c>
      <c r="D25" s="7" t="s">
        <v>127</v>
      </c>
      <c r="E25" s="7" t="str">
        <f t="shared" si="0"/>
        <v>Aug</v>
      </c>
      <c r="F25" s="7" t="s">
        <v>128</v>
      </c>
      <c r="G25" s="7" t="s">
        <v>64</v>
      </c>
      <c r="H25" s="7" t="s">
        <v>37</v>
      </c>
      <c r="I25" s="7" t="s">
        <v>59</v>
      </c>
      <c r="J25" s="7" t="s">
        <v>47</v>
      </c>
      <c r="K25" s="7" t="s">
        <v>67</v>
      </c>
      <c r="L25" s="7">
        <v>1245.33</v>
      </c>
      <c r="M25" s="7">
        <v>5</v>
      </c>
      <c r="N25" s="7">
        <v>0.1</v>
      </c>
      <c r="O25" s="7">
        <v>184.49</v>
      </c>
      <c r="P25" s="7" t="s">
        <v>31</v>
      </c>
      <c r="Q25" s="7" t="s">
        <v>86</v>
      </c>
      <c r="R25" s="7">
        <v>4</v>
      </c>
      <c r="S25" s="7">
        <f t="shared" si="1"/>
        <v>2025</v>
      </c>
      <c r="T25" s="7" t="str">
        <f t="shared" si="2"/>
        <v>Aug</v>
      </c>
    </row>
    <row r="26" spans="2:20" x14ac:dyDescent="0.3">
      <c r="B26" s="7">
        <v>25</v>
      </c>
      <c r="C26" s="7" t="s">
        <v>129</v>
      </c>
      <c r="D26" s="7" t="s">
        <v>130</v>
      </c>
      <c r="E26" s="7" t="str">
        <f t="shared" si="0"/>
        <v>Sep</v>
      </c>
      <c r="F26" s="7" t="s">
        <v>131</v>
      </c>
      <c r="G26" s="7" t="s">
        <v>44</v>
      </c>
      <c r="H26" s="7" t="s">
        <v>51</v>
      </c>
      <c r="I26" s="7" t="s">
        <v>52</v>
      </c>
      <c r="J26" s="7" t="s">
        <v>47</v>
      </c>
      <c r="K26" s="7" t="s">
        <v>60</v>
      </c>
      <c r="L26" s="7">
        <v>4264.29</v>
      </c>
      <c r="M26" s="7">
        <v>5</v>
      </c>
      <c r="N26" s="7">
        <v>0.14000000000000001</v>
      </c>
      <c r="O26" s="7">
        <v>1181.82</v>
      </c>
      <c r="P26" s="7" t="s">
        <v>23</v>
      </c>
      <c r="Q26" s="7" t="s">
        <v>32</v>
      </c>
      <c r="R26" s="7">
        <v>4</v>
      </c>
      <c r="S26" s="7">
        <f t="shared" si="1"/>
        <v>2024</v>
      </c>
      <c r="T26" s="7" t="str">
        <f t="shared" si="2"/>
        <v>Sep</v>
      </c>
    </row>
    <row r="27" spans="2:20" x14ac:dyDescent="0.3">
      <c r="B27" s="7">
        <v>26</v>
      </c>
      <c r="C27" s="7" t="s">
        <v>132</v>
      </c>
      <c r="D27" s="7" t="s">
        <v>133</v>
      </c>
      <c r="E27" s="7" t="str">
        <f t="shared" si="0"/>
        <v>Sep</v>
      </c>
      <c r="F27" s="7" t="s">
        <v>134</v>
      </c>
      <c r="G27" s="7" t="s">
        <v>18</v>
      </c>
      <c r="H27" s="7" t="s">
        <v>58</v>
      </c>
      <c r="I27" s="7" t="s">
        <v>38</v>
      </c>
      <c r="J27" s="7" t="s">
        <v>81</v>
      </c>
      <c r="K27" s="7" t="s">
        <v>72</v>
      </c>
      <c r="L27" s="7">
        <v>413.03</v>
      </c>
      <c r="M27" s="7">
        <v>3</v>
      </c>
      <c r="N27" s="7">
        <v>0.1</v>
      </c>
      <c r="O27" s="7">
        <v>144.5</v>
      </c>
      <c r="P27" s="7" t="s">
        <v>23</v>
      </c>
      <c r="Q27" s="7" t="s">
        <v>77</v>
      </c>
      <c r="R27" s="7">
        <v>1</v>
      </c>
      <c r="S27" s="7">
        <f t="shared" si="1"/>
        <v>2025</v>
      </c>
      <c r="T27" s="7" t="str">
        <f t="shared" si="2"/>
        <v>Sep</v>
      </c>
    </row>
    <row r="28" spans="2:20" x14ac:dyDescent="0.3">
      <c r="B28" s="7">
        <v>27</v>
      </c>
      <c r="C28" s="7" t="s">
        <v>135</v>
      </c>
      <c r="D28" s="7" t="s">
        <v>136</v>
      </c>
      <c r="E28" s="7" t="str">
        <f t="shared" si="0"/>
        <v>May</v>
      </c>
      <c r="F28" s="7" t="s">
        <v>137</v>
      </c>
      <c r="G28" s="7" t="s">
        <v>36</v>
      </c>
      <c r="H28" s="7" t="s">
        <v>37</v>
      </c>
      <c r="I28" s="7" t="s">
        <v>106</v>
      </c>
      <c r="J28" s="7" t="s">
        <v>81</v>
      </c>
      <c r="K28" s="7" t="s">
        <v>67</v>
      </c>
      <c r="L28" s="7">
        <v>578.5</v>
      </c>
      <c r="M28" s="7">
        <v>2</v>
      </c>
      <c r="N28" s="7">
        <v>0.11</v>
      </c>
      <c r="O28" s="7">
        <v>110.6</v>
      </c>
      <c r="P28" s="7" t="s">
        <v>23</v>
      </c>
      <c r="Q28" s="7" t="s">
        <v>24</v>
      </c>
      <c r="R28" s="7">
        <v>8</v>
      </c>
      <c r="S28" s="7">
        <f t="shared" si="1"/>
        <v>2024</v>
      </c>
      <c r="T28" s="7" t="str">
        <f t="shared" si="2"/>
        <v>May</v>
      </c>
    </row>
    <row r="29" spans="2:20" x14ac:dyDescent="0.3">
      <c r="B29" s="7">
        <v>28</v>
      </c>
      <c r="C29" s="7" t="s">
        <v>138</v>
      </c>
      <c r="D29" s="7" t="s">
        <v>139</v>
      </c>
      <c r="E29" s="7" t="str">
        <f t="shared" si="0"/>
        <v>Aug</v>
      </c>
      <c r="F29" s="7" t="s">
        <v>140</v>
      </c>
      <c r="G29" s="7" t="s">
        <v>18</v>
      </c>
      <c r="H29" s="7" t="s">
        <v>58</v>
      </c>
      <c r="I29" s="7" t="s">
        <v>38</v>
      </c>
      <c r="J29" s="7" t="s">
        <v>81</v>
      </c>
      <c r="K29" s="7" t="s">
        <v>82</v>
      </c>
      <c r="L29" s="7">
        <v>300.08</v>
      </c>
      <c r="M29" s="7">
        <v>1</v>
      </c>
      <c r="N29" s="7">
        <v>0.16</v>
      </c>
      <c r="O29" s="7">
        <v>81.88</v>
      </c>
      <c r="P29" s="7" t="s">
        <v>54</v>
      </c>
      <c r="Q29" s="7" t="s">
        <v>24</v>
      </c>
      <c r="R29" s="7">
        <v>3</v>
      </c>
      <c r="S29" s="7">
        <f t="shared" si="1"/>
        <v>2025</v>
      </c>
      <c r="T29" s="7" t="str">
        <f t="shared" si="2"/>
        <v>Aug</v>
      </c>
    </row>
    <row r="30" spans="2:20" x14ac:dyDescent="0.3">
      <c r="B30" s="7">
        <v>29</v>
      </c>
      <c r="C30" s="7" t="s">
        <v>141</v>
      </c>
      <c r="D30" s="7" t="s">
        <v>142</v>
      </c>
      <c r="E30" s="7" t="str">
        <f t="shared" si="0"/>
        <v>Jan</v>
      </c>
      <c r="F30" s="7" t="s">
        <v>143</v>
      </c>
      <c r="G30" s="7" t="s">
        <v>36</v>
      </c>
      <c r="H30" s="7" t="s">
        <v>71</v>
      </c>
      <c r="I30" s="7" t="s">
        <v>28</v>
      </c>
      <c r="J30" s="7" t="s">
        <v>21</v>
      </c>
      <c r="K30" s="7" t="s">
        <v>82</v>
      </c>
      <c r="L30" s="7">
        <v>2557.4299999999998</v>
      </c>
      <c r="M30" s="7">
        <v>5</v>
      </c>
      <c r="N30" s="7">
        <v>0.25</v>
      </c>
      <c r="O30" s="7">
        <v>557.41999999999996</v>
      </c>
      <c r="P30" s="7" t="s">
        <v>23</v>
      </c>
      <c r="Q30" s="7" t="s">
        <v>24</v>
      </c>
      <c r="R30" s="7">
        <v>5</v>
      </c>
      <c r="S30" s="7">
        <f t="shared" si="1"/>
        <v>2024</v>
      </c>
      <c r="T30" s="7" t="str">
        <f t="shared" si="2"/>
        <v>Jan</v>
      </c>
    </row>
    <row r="31" spans="2:20" x14ac:dyDescent="0.3">
      <c r="B31" s="7">
        <v>30</v>
      </c>
      <c r="C31" s="7" t="s">
        <v>144</v>
      </c>
      <c r="D31" s="7" t="s">
        <v>145</v>
      </c>
      <c r="E31" s="7" t="str">
        <f t="shared" si="0"/>
        <v>Mar</v>
      </c>
      <c r="F31" s="7" t="s">
        <v>146</v>
      </c>
      <c r="G31" s="7" t="s">
        <v>64</v>
      </c>
      <c r="H31" s="7" t="s">
        <v>51</v>
      </c>
      <c r="I31" s="7" t="s">
        <v>52</v>
      </c>
      <c r="J31" s="7" t="s">
        <v>29</v>
      </c>
      <c r="K31" s="7" t="s">
        <v>22</v>
      </c>
      <c r="L31" s="7">
        <v>770.14</v>
      </c>
      <c r="M31" s="7">
        <v>1</v>
      </c>
      <c r="N31" s="7">
        <v>0.04</v>
      </c>
      <c r="O31" s="7">
        <v>227.81</v>
      </c>
      <c r="P31" s="7" t="s">
        <v>31</v>
      </c>
      <c r="Q31" s="7" t="s">
        <v>40</v>
      </c>
      <c r="R31" s="7">
        <v>6</v>
      </c>
      <c r="S31" s="7">
        <f t="shared" si="1"/>
        <v>2025</v>
      </c>
      <c r="T31" s="7" t="str">
        <f t="shared" si="2"/>
        <v>Mar</v>
      </c>
    </row>
    <row r="32" spans="2:20" x14ac:dyDescent="0.3">
      <c r="B32" s="7">
        <v>31</v>
      </c>
      <c r="C32" s="7" t="s">
        <v>147</v>
      </c>
      <c r="D32" s="7" t="s">
        <v>148</v>
      </c>
      <c r="E32" s="7" t="str">
        <f t="shared" si="0"/>
        <v>Dec</v>
      </c>
      <c r="F32" s="7" t="s">
        <v>149</v>
      </c>
      <c r="G32" s="7" t="s">
        <v>36</v>
      </c>
      <c r="H32" s="7" t="s">
        <v>37</v>
      </c>
      <c r="I32" s="7" t="s">
        <v>116</v>
      </c>
      <c r="J32" s="7" t="s">
        <v>21</v>
      </c>
      <c r="K32" s="7" t="s">
        <v>39</v>
      </c>
      <c r="L32" s="7">
        <v>1865.92</v>
      </c>
      <c r="M32" s="7">
        <v>5</v>
      </c>
      <c r="N32" s="7">
        <v>0.06</v>
      </c>
      <c r="O32" s="7">
        <v>458.84</v>
      </c>
      <c r="P32" s="7" t="s">
        <v>54</v>
      </c>
      <c r="Q32" s="7" t="s">
        <v>32</v>
      </c>
      <c r="R32" s="7">
        <v>7</v>
      </c>
      <c r="S32" s="7">
        <f t="shared" si="1"/>
        <v>2024</v>
      </c>
      <c r="T32" s="7" t="str">
        <f t="shared" si="2"/>
        <v>Dec</v>
      </c>
    </row>
    <row r="33" spans="2:20" x14ac:dyDescent="0.3">
      <c r="B33" s="7">
        <v>32</v>
      </c>
      <c r="C33" s="7" t="s">
        <v>150</v>
      </c>
      <c r="D33" s="7" t="s">
        <v>151</v>
      </c>
      <c r="E33" s="7" t="str">
        <f t="shared" si="0"/>
        <v>Feb</v>
      </c>
      <c r="F33" s="7" t="s">
        <v>152</v>
      </c>
      <c r="G33" s="7" t="s">
        <v>102</v>
      </c>
      <c r="H33" s="7" t="s">
        <v>58</v>
      </c>
      <c r="I33" s="7" t="s">
        <v>28</v>
      </c>
      <c r="J33" s="7" t="s">
        <v>47</v>
      </c>
      <c r="K33" s="7" t="s">
        <v>30</v>
      </c>
      <c r="L33" s="7">
        <v>466.42</v>
      </c>
      <c r="M33" s="7">
        <v>3</v>
      </c>
      <c r="N33" s="7">
        <v>0.1</v>
      </c>
      <c r="O33" s="7">
        <v>84.85</v>
      </c>
      <c r="P33" s="7" t="s">
        <v>23</v>
      </c>
      <c r="Q33" s="7" t="s">
        <v>77</v>
      </c>
      <c r="R33" s="7">
        <v>3</v>
      </c>
      <c r="S33" s="7">
        <f t="shared" si="1"/>
        <v>2025</v>
      </c>
      <c r="T33" s="7" t="str">
        <f t="shared" si="2"/>
        <v>Feb</v>
      </c>
    </row>
    <row r="34" spans="2:20" x14ac:dyDescent="0.3">
      <c r="B34" s="7">
        <v>33</v>
      </c>
      <c r="C34" s="7" t="s">
        <v>153</v>
      </c>
      <c r="D34" s="7" t="s">
        <v>154</v>
      </c>
      <c r="E34" s="7" t="str">
        <f t="shared" si="0"/>
        <v>Apr</v>
      </c>
      <c r="F34" s="7" t="s">
        <v>155</v>
      </c>
      <c r="G34" s="7" t="s">
        <v>102</v>
      </c>
      <c r="H34" s="7" t="s">
        <v>45</v>
      </c>
      <c r="I34" s="7" t="s">
        <v>38</v>
      </c>
      <c r="J34" s="7" t="s">
        <v>66</v>
      </c>
      <c r="K34" s="7" t="s">
        <v>22</v>
      </c>
      <c r="L34" s="7">
        <v>3858.76</v>
      </c>
      <c r="M34" s="7">
        <v>5</v>
      </c>
      <c r="N34" s="7">
        <v>0.28000000000000003</v>
      </c>
      <c r="O34" s="7">
        <v>507.34</v>
      </c>
      <c r="P34" s="7" t="s">
        <v>31</v>
      </c>
      <c r="Q34" s="7" t="s">
        <v>24</v>
      </c>
      <c r="R34" s="7">
        <v>4</v>
      </c>
      <c r="S34" s="7">
        <f t="shared" si="1"/>
        <v>2024</v>
      </c>
      <c r="T34" s="7" t="str">
        <f t="shared" si="2"/>
        <v>Apr</v>
      </c>
    </row>
    <row r="35" spans="2:20" x14ac:dyDescent="0.3">
      <c r="B35" s="7">
        <v>34</v>
      </c>
      <c r="C35" s="7" t="s">
        <v>156</v>
      </c>
      <c r="D35" s="7" t="s">
        <v>157</v>
      </c>
      <c r="E35" s="7" t="str">
        <f t="shared" si="0"/>
        <v>May</v>
      </c>
      <c r="F35" s="7" t="s">
        <v>158</v>
      </c>
      <c r="G35" s="7" t="s">
        <v>44</v>
      </c>
      <c r="H35" s="7" t="s">
        <v>45</v>
      </c>
      <c r="I35" s="7" t="s">
        <v>28</v>
      </c>
      <c r="J35" s="7" t="s">
        <v>66</v>
      </c>
      <c r="K35" s="7" t="s">
        <v>39</v>
      </c>
      <c r="L35" s="7">
        <v>918.04</v>
      </c>
      <c r="M35" s="7">
        <v>5</v>
      </c>
      <c r="N35" s="7">
        <v>0.17</v>
      </c>
      <c r="O35" s="7">
        <v>215.82</v>
      </c>
      <c r="P35" s="7" t="s">
        <v>23</v>
      </c>
      <c r="Q35" s="7" t="s">
        <v>24</v>
      </c>
      <c r="R35" s="7">
        <v>7</v>
      </c>
      <c r="S35" s="7">
        <f t="shared" si="1"/>
        <v>2024</v>
      </c>
      <c r="T35" s="7" t="str">
        <f t="shared" si="2"/>
        <v>May</v>
      </c>
    </row>
    <row r="36" spans="2:20" x14ac:dyDescent="0.3">
      <c r="B36" s="7">
        <v>35</v>
      </c>
      <c r="C36" s="7" t="s">
        <v>159</v>
      </c>
      <c r="D36" s="7" t="s">
        <v>160</v>
      </c>
      <c r="E36" s="7" t="str">
        <f t="shared" si="0"/>
        <v>Aug</v>
      </c>
      <c r="F36" s="7" t="s">
        <v>161</v>
      </c>
      <c r="G36" s="7" t="s">
        <v>64</v>
      </c>
      <c r="H36" s="7" t="s">
        <v>37</v>
      </c>
      <c r="I36" s="7" t="s">
        <v>106</v>
      </c>
      <c r="J36" s="7" t="s">
        <v>66</v>
      </c>
      <c r="K36" s="7" t="s">
        <v>39</v>
      </c>
      <c r="L36" s="7">
        <v>241.42</v>
      </c>
      <c r="M36" s="7">
        <v>1</v>
      </c>
      <c r="N36" s="7">
        <v>0.13</v>
      </c>
      <c r="O36" s="7">
        <v>48.76</v>
      </c>
      <c r="P36" s="7" t="s">
        <v>23</v>
      </c>
      <c r="Q36" s="7" t="s">
        <v>86</v>
      </c>
      <c r="R36" s="7">
        <v>8</v>
      </c>
      <c r="S36" s="7">
        <f t="shared" si="1"/>
        <v>2025</v>
      </c>
      <c r="T36" s="7" t="str">
        <f t="shared" si="2"/>
        <v>Aug</v>
      </c>
    </row>
    <row r="37" spans="2:20" x14ac:dyDescent="0.3">
      <c r="B37" s="7">
        <v>36</v>
      </c>
      <c r="C37" s="7" t="s">
        <v>162</v>
      </c>
      <c r="D37" s="7" t="s">
        <v>163</v>
      </c>
      <c r="E37" s="7" t="str">
        <f t="shared" si="0"/>
        <v>Mar</v>
      </c>
      <c r="F37" s="7" t="s">
        <v>164</v>
      </c>
      <c r="G37" s="7" t="s">
        <v>64</v>
      </c>
      <c r="H37" s="7" t="s">
        <v>51</v>
      </c>
      <c r="I37" s="7" t="s">
        <v>52</v>
      </c>
      <c r="J37" s="7" t="s">
        <v>29</v>
      </c>
      <c r="K37" s="7" t="s">
        <v>22</v>
      </c>
      <c r="L37" s="7">
        <v>851.63</v>
      </c>
      <c r="M37" s="7">
        <v>1</v>
      </c>
      <c r="N37" s="7">
        <v>0.02</v>
      </c>
      <c r="O37" s="7">
        <v>157.74</v>
      </c>
      <c r="P37" s="7" t="s">
        <v>54</v>
      </c>
      <c r="Q37" s="7" t="s">
        <v>32</v>
      </c>
      <c r="R37" s="7">
        <v>2</v>
      </c>
      <c r="S37" s="7">
        <f t="shared" si="1"/>
        <v>2025</v>
      </c>
      <c r="T37" s="7" t="str">
        <f t="shared" si="2"/>
        <v>Mar</v>
      </c>
    </row>
    <row r="38" spans="2:20" x14ac:dyDescent="0.3">
      <c r="B38" s="7">
        <v>37</v>
      </c>
      <c r="C38" s="7" t="s">
        <v>165</v>
      </c>
      <c r="D38" s="7" t="s">
        <v>166</v>
      </c>
      <c r="E38" s="7" t="str">
        <f t="shared" si="0"/>
        <v>Dec</v>
      </c>
      <c r="F38" s="7" t="s">
        <v>167</v>
      </c>
      <c r="G38" s="7" t="s">
        <v>102</v>
      </c>
      <c r="H38" s="7" t="s">
        <v>45</v>
      </c>
      <c r="I38" s="7" t="s">
        <v>46</v>
      </c>
      <c r="J38" s="7" t="s">
        <v>21</v>
      </c>
      <c r="K38" s="7" t="s">
        <v>82</v>
      </c>
      <c r="L38" s="7">
        <v>289.68</v>
      </c>
      <c r="M38" s="7">
        <v>3</v>
      </c>
      <c r="N38" s="7">
        <v>0.06</v>
      </c>
      <c r="O38" s="7">
        <v>92.27</v>
      </c>
      <c r="P38" s="7" t="s">
        <v>54</v>
      </c>
      <c r="Q38" s="7" t="s">
        <v>24</v>
      </c>
      <c r="R38" s="7">
        <v>8</v>
      </c>
      <c r="S38" s="7">
        <f t="shared" si="1"/>
        <v>2025</v>
      </c>
      <c r="T38" s="7" t="str">
        <f t="shared" si="2"/>
        <v>Dec</v>
      </c>
    </row>
    <row r="39" spans="2:20" x14ac:dyDescent="0.3">
      <c r="B39" s="7">
        <v>38</v>
      </c>
      <c r="C39" s="7" t="s">
        <v>168</v>
      </c>
      <c r="D39" s="7" t="s">
        <v>169</v>
      </c>
      <c r="E39" s="7" t="str">
        <f t="shared" si="0"/>
        <v>Jul</v>
      </c>
      <c r="F39" s="7" t="s">
        <v>170</v>
      </c>
      <c r="G39" s="7" t="s">
        <v>64</v>
      </c>
      <c r="H39" s="7" t="s">
        <v>58</v>
      </c>
      <c r="I39" s="7" t="s">
        <v>28</v>
      </c>
      <c r="J39" s="7" t="s">
        <v>81</v>
      </c>
      <c r="K39" s="7" t="s">
        <v>76</v>
      </c>
      <c r="L39" s="7">
        <v>794.6</v>
      </c>
      <c r="M39" s="7">
        <v>5</v>
      </c>
      <c r="N39" s="7">
        <v>0.23</v>
      </c>
      <c r="O39" s="7">
        <v>226.77</v>
      </c>
      <c r="P39" s="7" t="s">
        <v>54</v>
      </c>
      <c r="Q39" s="7" t="s">
        <v>40</v>
      </c>
      <c r="R39" s="7">
        <v>2</v>
      </c>
      <c r="S39" s="7">
        <f t="shared" si="1"/>
        <v>2025</v>
      </c>
      <c r="T39" s="7" t="str">
        <f t="shared" si="2"/>
        <v>Jul</v>
      </c>
    </row>
    <row r="40" spans="2:20" x14ac:dyDescent="0.3">
      <c r="B40" s="7">
        <v>39</v>
      </c>
      <c r="C40" s="7" t="s">
        <v>171</v>
      </c>
      <c r="D40" s="7" t="s">
        <v>172</v>
      </c>
      <c r="E40" s="7" t="str">
        <f t="shared" si="0"/>
        <v>Sep</v>
      </c>
      <c r="F40" s="7" t="s">
        <v>173</v>
      </c>
      <c r="G40" s="7" t="s">
        <v>64</v>
      </c>
      <c r="H40" s="7" t="s">
        <v>51</v>
      </c>
      <c r="I40" s="7" t="s">
        <v>59</v>
      </c>
      <c r="J40" s="7" t="s">
        <v>66</v>
      </c>
      <c r="K40" s="7" t="s">
        <v>30</v>
      </c>
      <c r="L40" s="7">
        <v>27.11</v>
      </c>
      <c r="M40" s="7">
        <v>1</v>
      </c>
      <c r="N40" s="7">
        <v>0.2</v>
      </c>
      <c r="O40" s="7">
        <v>8.1</v>
      </c>
      <c r="P40" s="7" t="s">
        <v>54</v>
      </c>
      <c r="Q40" s="7" t="s">
        <v>32</v>
      </c>
      <c r="R40" s="7">
        <v>4</v>
      </c>
      <c r="S40" s="7">
        <f t="shared" si="1"/>
        <v>2025</v>
      </c>
      <c r="T40" s="7" t="str">
        <f t="shared" si="2"/>
        <v>Sep</v>
      </c>
    </row>
    <row r="41" spans="2:20" x14ac:dyDescent="0.3">
      <c r="B41" s="7">
        <v>40</v>
      </c>
      <c r="C41" s="7" t="s">
        <v>174</v>
      </c>
      <c r="D41" s="7" t="s">
        <v>175</v>
      </c>
      <c r="E41" s="7" t="str">
        <f t="shared" si="0"/>
        <v>Sep</v>
      </c>
      <c r="F41" s="7" t="s">
        <v>176</v>
      </c>
      <c r="G41" s="7" t="s">
        <v>36</v>
      </c>
      <c r="H41" s="7" t="s">
        <v>51</v>
      </c>
      <c r="I41" s="7" t="s">
        <v>28</v>
      </c>
      <c r="J41" s="7" t="s">
        <v>66</v>
      </c>
      <c r="K41" s="7" t="s">
        <v>76</v>
      </c>
      <c r="L41" s="7">
        <v>3550.32</v>
      </c>
      <c r="M41" s="7">
        <v>5</v>
      </c>
      <c r="N41" s="7">
        <v>0.06</v>
      </c>
      <c r="O41" s="7">
        <v>774.02</v>
      </c>
      <c r="P41" s="7" t="s">
        <v>31</v>
      </c>
      <c r="Q41" s="7" t="s">
        <v>77</v>
      </c>
      <c r="R41" s="7">
        <v>9</v>
      </c>
      <c r="S41" s="7">
        <f t="shared" si="1"/>
        <v>2024</v>
      </c>
      <c r="T41" s="7" t="str">
        <f t="shared" si="2"/>
        <v>Sep</v>
      </c>
    </row>
    <row r="42" spans="2:20" x14ac:dyDescent="0.3">
      <c r="B42" s="7">
        <v>41</v>
      </c>
      <c r="C42" s="7" t="s">
        <v>177</v>
      </c>
      <c r="D42" s="7" t="s">
        <v>133</v>
      </c>
      <c r="E42" s="7" t="str">
        <f t="shared" si="0"/>
        <v>Sep</v>
      </c>
      <c r="F42" s="7" t="s">
        <v>178</v>
      </c>
      <c r="G42" s="7" t="s">
        <v>36</v>
      </c>
      <c r="H42" s="7" t="s">
        <v>58</v>
      </c>
      <c r="I42" s="7" t="s">
        <v>28</v>
      </c>
      <c r="J42" s="7" t="s">
        <v>66</v>
      </c>
      <c r="K42" s="7" t="s">
        <v>30</v>
      </c>
      <c r="L42" s="7">
        <v>1889.01</v>
      </c>
      <c r="M42" s="7">
        <v>3</v>
      </c>
      <c r="N42" s="7">
        <v>0</v>
      </c>
      <c r="O42" s="7">
        <v>429.79</v>
      </c>
      <c r="P42" s="7" t="s">
        <v>31</v>
      </c>
      <c r="Q42" s="7" t="s">
        <v>24</v>
      </c>
      <c r="R42" s="7">
        <v>3</v>
      </c>
      <c r="S42" s="7">
        <f t="shared" si="1"/>
        <v>2025</v>
      </c>
      <c r="T42" s="7" t="str">
        <f t="shared" si="2"/>
        <v>Sep</v>
      </c>
    </row>
    <row r="43" spans="2:20" x14ac:dyDescent="0.3">
      <c r="B43" s="7">
        <v>42</v>
      </c>
      <c r="C43" s="7" t="s">
        <v>179</v>
      </c>
      <c r="D43" s="7" t="s">
        <v>180</v>
      </c>
      <c r="E43" s="7" t="str">
        <f t="shared" si="0"/>
        <v>Sep</v>
      </c>
      <c r="F43" s="7" t="s">
        <v>181</v>
      </c>
      <c r="G43" s="7" t="s">
        <v>44</v>
      </c>
      <c r="H43" s="7" t="s">
        <v>51</v>
      </c>
      <c r="I43" s="7" t="s">
        <v>46</v>
      </c>
      <c r="J43" s="7" t="s">
        <v>81</v>
      </c>
      <c r="K43" s="7" t="s">
        <v>76</v>
      </c>
      <c r="L43" s="7">
        <v>997.02</v>
      </c>
      <c r="M43" s="7">
        <v>3</v>
      </c>
      <c r="N43" s="7">
        <v>0.22</v>
      </c>
      <c r="O43" s="7">
        <v>270.8</v>
      </c>
      <c r="P43" s="7" t="s">
        <v>31</v>
      </c>
      <c r="Q43" s="7" t="s">
        <v>24</v>
      </c>
      <c r="R43" s="7">
        <v>6</v>
      </c>
      <c r="S43" s="7">
        <f t="shared" si="1"/>
        <v>2025</v>
      </c>
      <c r="T43" s="7" t="str">
        <f t="shared" si="2"/>
        <v>Sep</v>
      </c>
    </row>
    <row r="44" spans="2:20" x14ac:dyDescent="0.3">
      <c r="B44" s="7">
        <v>43</v>
      </c>
      <c r="C44" s="7" t="s">
        <v>182</v>
      </c>
      <c r="D44" s="7" t="s">
        <v>183</v>
      </c>
      <c r="E44" s="7" t="str">
        <f t="shared" si="0"/>
        <v>Dec</v>
      </c>
      <c r="F44" s="7" t="s">
        <v>184</v>
      </c>
      <c r="G44" s="7" t="s">
        <v>64</v>
      </c>
      <c r="H44" s="7" t="s">
        <v>37</v>
      </c>
      <c r="I44" s="7" t="s">
        <v>59</v>
      </c>
      <c r="J44" s="7" t="s">
        <v>47</v>
      </c>
      <c r="K44" s="7" t="s">
        <v>53</v>
      </c>
      <c r="L44" s="7">
        <v>373.18</v>
      </c>
      <c r="M44" s="7">
        <v>1</v>
      </c>
      <c r="N44" s="7">
        <v>0.08</v>
      </c>
      <c r="O44" s="7">
        <v>55.97</v>
      </c>
      <c r="P44" s="7" t="s">
        <v>54</v>
      </c>
      <c r="Q44" s="7" t="s">
        <v>24</v>
      </c>
      <c r="R44" s="7">
        <v>4</v>
      </c>
      <c r="S44" s="7">
        <f t="shared" si="1"/>
        <v>2024</v>
      </c>
      <c r="T44" s="7" t="str">
        <f t="shared" si="2"/>
        <v>Dec</v>
      </c>
    </row>
    <row r="45" spans="2:20" x14ac:dyDescent="0.3">
      <c r="B45" s="7">
        <v>44</v>
      </c>
      <c r="C45" s="7" t="s">
        <v>185</v>
      </c>
      <c r="D45" s="7" t="s">
        <v>186</v>
      </c>
      <c r="E45" s="7" t="str">
        <f t="shared" si="0"/>
        <v>Nov</v>
      </c>
      <c r="F45" s="7" t="s">
        <v>187</v>
      </c>
      <c r="G45" s="7" t="s">
        <v>36</v>
      </c>
      <c r="H45" s="7" t="s">
        <v>45</v>
      </c>
      <c r="I45" s="7" t="s">
        <v>116</v>
      </c>
      <c r="J45" s="7" t="s">
        <v>47</v>
      </c>
      <c r="K45" s="7" t="s">
        <v>82</v>
      </c>
      <c r="L45" s="7">
        <v>494.11</v>
      </c>
      <c r="M45" s="7">
        <v>5</v>
      </c>
      <c r="N45" s="7">
        <v>0.26</v>
      </c>
      <c r="O45" s="7">
        <v>126.51</v>
      </c>
      <c r="P45" s="7" t="s">
        <v>54</v>
      </c>
      <c r="Q45" s="7" t="s">
        <v>24</v>
      </c>
      <c r="R45" s="7">
        <v>7</v>
      </c>
      <c r="S45" s="7">
        <f t="shared" si="1"/>
        <v>2024</v>
      </c>
      <c r="T45" s="7" t="str">
        <f t="shared" si="2"/>
        <v>Nov</v>
      </c>
    </row>
    <row r="46" spans="2:20" x14ac:dyDescent="0.3">
      <c r="B46" s="7">
        <v>45</v>
      </c>
      <c r="C46" s="7" t="s">
        <v>188</v>
      </c>
      <c r="D46" s="7" t="s">
        <v>189</v>
      </c>
      <c r="E46" s="7" t="str">
        <f t="shared" si="0"/>
        <v>May</v>
      </c>
      <c r="F46" s="7" t="s">
        <v>190</v>
      </c>
      <c r="G46" s="7" t="s">
        <v>18</v>
      </c>
      <c r="H46" s="7" t="s">
        <v>37</v>
      </c>
      <c r="I46" s="7" t="s">
        <v>106</v>
      </c>
      <c r="J46" s="7" t="s">
        <v>47</v>
      </c>
      <c r="K46" s="7" t="s">
        <v>30</v>
      </c>
      <c r="L46" s="7">
        <v>242.11</v>
      </c>
      <c r="M46" s="7">
        <v>2</v>
      </c>
      <c r="N46" s="7">
        <v>0.12</v>
      </c>
      <c r="O46" s="7">
        <v>58.39</v>
      </c>
      <c r="P46" s="7" t="s">
        <v>23</v>
      </c>
      <c r="Q46" s="7" t="s">
        <v>32</v>
      </c>
      <c r="R46" s="7">
        <v>7</v>
      </c>
      <c r="S46" s="7">
        <f t="shared" si="1"/>
        <v>2024</v>
      </c>
      <c r="T46" s="7" t="str">
        <f t="shared" si="2"/>
        <v>May</v>
      </c>
    </row>
    <row r="47" spans="2:20" x14ac:dyDescent="0.3">
      <c r="B47" s="7">
        <v>46</v>
      </c>
      <c r="C47" s="7" t="s">
        <v>191</v>
      </c>
      <c r="D47" s="7" t="s">
        <v>192</v>
      </c>
      <c r="E47" s="7" t="str">
        <f t="shared" si="0"/>
        <v>May</v>
      </c>
      <c r="F47" s="7" t="s">
        <v>193</v>
      </c>
      <c r="G47" s="7" t="s">
        <v>18</v>
      </c>
      <c r="H47" s="7" t="s">
        <v>71</v>
      </c>
      <c r="I47" s="7" t="s">
        <v>116</v>
      </c>
      <c r="J47" s="7" t="s">
        <v>47</v>
      </c>
      <c r="K47" s="7" t="s">
        <v>76</v>
      </c>
      <c r="L47" s="7">
        <v>1005.79</v>
      </c>
      <c r="M47" s="7">
        <v>4</v>
      </c>
      <c r="N47" s="7">
        <v>0.16</v>
      </c>
      <c r="O47" s="7">
        <v>274.62</v>
      </c>
      <c r="P47" s="7" t="s">
        <v>31</v>
      </c>
      <c r="Q47" s="7" t="s">
        <v>24</v>
      </c>
      <c r="R47" s="7">
        <v>3</v>
      </c>
      <c r="S47" s="7">
        <f t="shared" si="1"/>
        <v>2025</v>
      </c>
      <c r="T47" s="7" t="str">
        <f t="shared" si="2"/>
        <v>May</v>
      </c>
    </row>
    <row r="48" spans="2:20" x14ac:dyDescent="0.3">
      <c r="B48" s="7">
        <v>47</v>
      </c>
      <c r="C48" s="7" t="s">
        <v>194</v>
      </c>
      <c r="D48" s="7" t="s">
        <v>88</v>
      </c>
      <c r="E48" s="7" t="str">
        <f t="shared" si="0"/>
        <v>Aug</v>
      </c>
      <c r="F48" s="7" t="s">
        <v>195</v>
      </c>
      <c r="G48" s="7" t="s">
        <v>44</v>
      </c>
      <c r="H48" s="7" t="s">
        <v>65</v>
      </c>
      <c r="I48" s="7" t="s">
        <v>38</v>
      </c>
      <c r="J48" s="7" t="s">
        <v>66</v>
      </c>
      <c r="K48" s="7" t="s">
        <v>53</v>
      </c>
      <c r="L48" s="7">
        <v>330.38</v>
      </c>
      <c r="M48" s="7">
        <v>1</v>
      </c>
      <c r="N48" s="7">
        <v>0.13</v>
      </c>
      <c r="O48" s="7">
        <v>44.38</v>
      </c>
      <c r="P48" s="7" t="s">
        <v>54</v>
      </c>
      <c r="Q48" s="7" t="s">
        <v>86</v>
      </c>
      <c r="R48" s="7">
        <v>1</v>
      </c>
      <c r="S48" s="7">
        <f t="shared" si="1"/>
        <v>2024</v>
      </c>
      <c r="T48" s="7" t="str">
        <f t="shared" si="2"/>
        <v>Aug</v>
      </c>
    </row>
    <row r="49" spans="2:20" x14ac:dyDescent="0.3">
      <c r="B49" s="7">
        <v>48</v>
      </c>
      <c r="C49" s="7" t="s">
        <v>196</v>
      </c>
      <c r="D49" s="7" t="s">
        <v>197</v>
      </c>
      <c r="E49" s="7" t="str">
        <f t="shared" si="0"/>
        <v>Nov</v>
      </c>
      <c r="F49" s="7" t="s">
        <v>198</v>
      </c>
      <c r="G49" s="7" t="s">
        <v>18</v>
      </c>
      <c r="H49" s="7" t="s">
        <v>65</v>
      </c>
      <c r="I49" s="7" t="s">
        <v>52</v>
      </c>
      <c r="J49" s="7" t="s">
        <v>66</v>
      </c>
      <c r="K49" s="7" t="s">
        <v>22</v>
      </c>
      <c r="L49" s="7">
        <v>681.86</v>
      </c>
      <c r="M49" s="7">
        <v>4</v>
      </c>
      <c r="N49" s="7">
        <v>0.17</v>
      </c>
      <c r="O49" s="7">
        <v>98.22</v>
      </c>
      <c r="P49" s="7" t="s">
        <v>23</v>
      </c>
      <c r="Q49" s="7" t="s">
        <v>77</v>
      </c>
      <c r="R49" s="7">
        <v>9</v>
      </c>
      <c r="S49" s="7">
        <f t="shared" si="1"/>
        <v>2025</v>
      </c>
      <c r="T49" s="7" t="str">
        <f t="shared" si="2"/>
        <v>Nov</v>
      </c>
    </row>
    <row r="50" spans="2:20" x14ac:dyDescent="0.3">
      <c r="B50" s="7">
        <v>49</v>
      </c>
      <c r="C50" s="7" t="s">
        <v>199</v>
      </c>
      <c r="D50" s="7" t="s">
        <v>200</v>
      </c>
      <c r="E50" s="7" t="str">
        <f t="shared" si="0"/>
        <v>Apr</v>
      </c>
      <c r="F50" s="7" t="s">
        <v>201</v>
      </c>
      <c r="G50" s="7" t="s">
        <v>36</v>
      </c>
      <c r="H50" s="7" t="s">
        <v>37</v>
      </c>
      <c r="I50" s="7" t="s">
        <v>116</v>
      </c>
      <c r="J50" s="7" t="s">
        <v>29</v>
      </c>
      <c r="K50" s="7" t="s">
        <v>60</v>
      </c>
      <c r="L50" s="7">
        <v>2728.67</v>
      </c>
      <c r="M50" s="7">
        <v>4</v>
      </c>
      <c r="N50" s="7">
        <v>0.14000000000000001</v>
      </c>
      <c r="O50" s="7">
        <v>636.76</v>
      </c>
      <c r="P50" s="7" t="s">
        <v>31</v>
      </c>
      <c r="Q50" s="7" t="s">
        <v>86</v>
      </c>
      <c r="R50" s="7">
        <v>1</v>
      </c>
      <c r="S50" s="7">
        <f t="shared" si="1"/>
        <v>2024</v>
      </c>
      <c r="T50" s="7" t="str">
        <f t="shared" si="2"/>
        <v>Apr</v>
      </c>
    </row>
    <row r="51" spans="2:20" x14ac:dyDescent="0.3">
      <c r="B51" s="7">
        <v>50</v>
      </c>
      <c r="C51" s="7" t="s">
        <v>202</v>
      </c>
      <c r="D51" s="7" t="s">
        <v>203</v>
      </c>
      <c r="E51" s="7" t="str">
        <f t="shared" si="0"/>
        <v>Mar</v>
      </c>
      <c r="F51" s="7" t="s">
        <v>204</v>
      </c>
      <c r="G51" s="7" t="s">
        <v>18</v>
      </c>
      <c r="H51" s="7" t="s">
        <v>51</v>
      </c>
      <c r="I51" s="7" t="s">
        <v>38</v>
      </c>
      <c r="J51" s="7" t="s">
        <v>29</v>
      </c>
      <c r="K51" s="7" t="s">
        <v>76</v>
      </c>
      <c r="L51" s="7">
        <v>466.82</v>
      </c>
      <c r="M51" s="7">
        <v>4</v>
      </c>
      <c r="N51" s="7">
        <v>0.11</v>
      </c>
      <c r="O51" s="7">
        <v>138.52000000000001</v>
      </c>
      <c r="P51" s="7" t="s">
        <v>23</v>
      </c>
      <c r="Q51" s="7" t="s">
        <v>40</v>
      </c>
      <c r="R51" s="7">
        <v>5</v>
      </c>
      <c r="S51" s="7">
        <f t="shared" si="1"/>
        <v>2024</v>
      </c>
      <c r="T51" s="7" t="str">
        <f t="shared" si="2"/>
        <v>Mar</v>
      </c>
    </row>
    <row r="52" spans="2:20" x14ac:dyDescent="0.3">
      <c r="B52" s="7">
        <v>51</v>
      </c>
      <c r="C52" s="7" t="s">
        <v>205</v>
      </c>
      <c r="D52" s="7" t="s">
        <v>206</v>
      </c>
      <c r="E52" s="7" t="str">
        <f t="shared" si="0"/>
        <v>Aug</v>
      </c>
      <c r="F52" s="7" t="s">
        <v>207</v>
      </c>
      <c r="G52" s="7" t="s">
        <v>18</v>
      </c>
      <c r="H52" s="7" t="s">
        <v>51</v>
      </c>
      <c r="I52" s="7" t="s">
        <v>59</v>
      </c>
      <c r="J52" s="7" t="s">
        <v>21</v>
      </c>
      <c r="K52" s="7" t="s">
        <v>82</v>
      </c>
      <c r="L52" s="7">
        <v>826.24</v>
      </c>
      <c r="M52" s="7">
        <v>1</v>
      </c>
      <c r="N52" s="7">
        <v>0.25</v>
      </c>
      <c r="O52" s="7">
        <v>259.76</v>
      </c>
      <c r="P52" s="7" t="s">
        <v>54</v>
      </c>
      <c r="Q52" s="7" t="s">
        <v>40</v>
      </c>
      <c r="R52" s="7">
        <v>10</v>
      </c>
      <c r="S52" s="7">
        <f t="shared" si="1"/>
        <v>2024</v>
      </c>
      <c r="T52" s="7" t="str">
        <f t="shared" si="2"/>
        <v>Aug</v>
      </c>
    </row>
    <row r="53" spans="2:20" x14ac:dyDescent="0.3">
      <c r="B53" s="7">
        <v>52</v>
      </c>
      <c r="C53" s="7" t="s">
        <v>208</v>
      </c>
      <c r="D53" s="7" t="s">
        <v>209</v>
      </c>
      <c r="E53" s="7" t="str">
        <f t="shared" si="0"/>
        <v>May</v>
      </c>
      <c r="F53" s="7" t="s">
        <v>210</v>
      </c>
      <c r="G53" s="7" t="s">
        <v>102</v>
      </c>
      <c r="H53" s="7" t="s">
        <v>51</v>
      </c>
      <c r="I53" s="7" t="s">
        <v>106</v>
      </c>
      <c r="J53" s="7" t="s">
        <v>66</v>
      </c>
      <c r="K53" s="7" t="s">
        <v>53</v>
      </c>
      <c r="L53" s="7">
        <v>3559.38</v>
      </c>
      <c r="M53" s="7">
        <v>4</v>
      </c>
      <c r="N53" s="7">
        <v>0.15</v>
      </c>
      <c r="O53" s="7">
        <v>408.08</v>
      </c>
      <c r="P53" s="7" t="s">
        <v>54</v>
      </c>
      <c r="Q53" s="7" t="s">
        <v>32</v>
      </c>
      <c r="R53" s="7">
        <v>1</v>
      </c>
      <c r="S53" s="7">
        <f t="shared" si="1"/>
        <v>2024</v>
      </c>
      <c r="T53" s="7" t="str">
        <f t="shared" si="2"/>
        <v>May</v>
      </c>
    </row>
    <row r="54" spans="2:20" x14ac:dyDescent="0.3">
      <c r="B54" s="7">
        <v>53</v>
      </c>
      <c r="C54" s="7" t="s">
        <v>211</v>
      </c>
      <c r="D54" s="7" t="s">
        <v>212</v>
      </c>
      <c r="E54" s="7" t="str">
        <f t="shared" si="0"/>
        <v>Dec</v>
      </c>
      <c r="F54" s="7" t="s">
        <v>213</v>
      </c>
      <c r="G54" s="7" t="s">
        <v>36</v>
      </c>
      <c r="H54" s="7" t="s">
        <v>37</v>
      </c>
      <c r="I54" s="7" t="s">
        <v>52</v>
      </c>
      <c r="J54" s="7" t="s">
        <v>66</v>
      </c>
      <c r="K54" s="7" t="s">
        <v>30</v>
      </c>
      <c r="L54" s="7">
        <v>628.71</v>
      </c>
      <c r="M54" s="7">
        <v>5</v>
      </c>
      <c r="N54" s="7">
        <v>0.05</v>
      </c>
      <c r="O54" s="7">
        <v>204.76</v>
      </c>
      <c r="P54" s="7" t="s">
        <v>23</v>
      </c>
      <c r="Q54" s="7" t="s">
        <v>77</v>
      </c>
      <c r="R54" s="7">
        <v>2</v>
      </c>
      <c r="S54" s="7">
        <f t="shared" si="1"/>
        <v>2024</v>
      </c>
      <c r="T54" s="7" t="str">
        <f t="shared" si="2"/>
        <v>Dec</v>
      </c>
    </row>
    <row r="55" spans="2:20" x14ac:dyDescent="0.3">
      <c r="B55" s="7">
        <v>54</v>
      </c>
      <c r="C55" s="7" t="s">
        <v>214</v>
      </c>
      <c r="D55" s="7" t="s">
        <v>215</v>
      </c>
      <c r="E55" s="7" t="str">
        <f t="shared" si="0"/>
        <v>Nov</v>
      </c>
      <c r="F55" s="7" t="s">
        <v>216</v>
      </c>
      <c r="G55" s="7" t="s">
        <v>18</v>
      </c>
      <c r="H55" s="7" t="s">
        <v>45</v>
      </c>
      <c r="I55" s="7" t="s">
        <v>20</v>
      </c>
      <c r="J55" s="7" t="s">
        <v>81</v>
      </c>
      <c r="K55" s="7" t="s">
        <v>22</v>
      </c>
      <c r="L55" s="7">
        <v>2475.08</v>
      </c>
      <c r="M55" s="7">
        <v>5</v>
      </c>
      <c r="N55" s="7">
        <v>0.28000000000000003</v>
      </c>
      <c r="O55" s="7">
        <v>606.9</v>
      </c>
      <c r="P55" s="7" t="s">
        <v>31</v>
      </c>
      <c r="Q55" s="7" t="s">
        <v>32</v>
      </c>
      <c r="R55" s="7">
        <v>9</v>
      </c>
      <c r="S55" s="7">
        <f t="shared" si="1"/>
        <v>2024</v>
      </c>
      <c r="T55" s="7" t="str">
        <f t="shared" si="2"/>
        <v>Nov</v>
      </c>
    </row>
    <row r="56" spans="2:20" x14ac:dyDescent="0.3">
      <c r="B56" s="7">
        <v>55</v>
      </c>
      <c r="C56" s="7" t="s">
        <v>217</v>
      </c>
      <c r="D56" s="7" t="s">
        <v>218</v>
      </c>
      <c r="E56" s="7" t="str">
        <f t="shared" si="0"/>
        <v>Sep</v>
      </c>
      <c r="F56" s="7" t="s">
        <v>219</v>
      </c>
      <c r="G56" s="7" t="s">
        <v>36</v>
      </c>
      <c r="H56" s="7" t="s">
        <v>58</v>
      </c>
      <c r="I56" s="7" t="s">
        <v>106</v>
      </c>
      <c r="J56" s="7" t="s">
        <v>21</v>
      </c>
      <c r="K56" s="7" t="s">
        <v>22</v>
      </c>
      <c r="L56" s="7">
        <v>2126.2399999999998</v>
      </c>
      <c r="M56" s="7">
        <v>3</v>
      </c>
      <c r="N56" s="7">
        <v>0.18</v>
      </c>
      <c r="O56" s="7">
        <v>424.42</v>
      </c>
      <c r="P56" s="7" t="s">
        <v>54</v>
      </c>
      <c r="Q56" s="7" t="s">
        <v>40</v>
      </c>
      <c r="R56" s="7">
        <v>5</v>
      </c>
      <c r="S56" s="7">
        <f t="shared" si="1"/>
        <v>2024</v>
      </c>
      <c r="T56" s="7" t="str">
        <f t="shared" si="2"/>
        <v>Sep</v>
      </c>
    </row>
    <row r="57" spans="2:20" x14ac:dyDescent="0.3">
      <c r="B57" s="7">
        <v>56</v>
      </c>
      <c r="C57" s="7" t="s">
        <v>220</v>
      </c>
      <c r="D57" s="7" t="s">
        <v>221</v>
      </c>
      <c r="E57" s="7" t="str">
        <f t="shared" si="0"/>
        <v>Oct</v>
      </c>
      <c r="F57" s="7" t="s">
        <v>222</v>
      </c>
      <c r="G57" s="7" t="s">
        <v>44</v>
      </c>
      <c r="H57" s="7" t="s">
        <v>45</v>
      </c>
      <c r="I57" s="7" t="s">
        <v>52</v>
      </c>
      <c r="J57" s="7" t="s">
        <v>21</v>
      </c>
      <c r="K57" s="7" t="s">
        <v>67</v>
      </c>
      <c r="L57" s="7">
        <v>541.24</v>
      </c>
      <c r="M57" s="7">
        <v>2</v>
      </c>
      <c r="N57" s="7">
        <v>0.22</v>
      </c>
      <c r="O57" s="7">
        <v>90.83</v>
      </c>
      <c r="P57" s="7" t="s">
        <v>31</v>
      </c>
      <c r="Q57" s="7" t="s">
        <v>86</v>
      </c>
      <c r="R57" s="7">
        <v>6</v>
      </c>
      <c r="S57" s="7">
        <f t="shared" si="1"/>
        <v>2024</v>
      </c>
      <c r="T57" s="7" t="str">
        <f t="shared" si="2"/>
        <v>Oct</v>
      </c>
    </row>
    <row r="58" spans="2:20" x14ac:dyDescent="0.3">
      <c r="B58" s="7">
        <v>57</v>
      </c>
      <c r="C58" s="7" t="s">
        <v>223</v>
      </c>
      <c r="D58" s="7" t="s">
        <v>224</v>
      </c>
      <c r="E58" s="7" t="str">
        <f t="shared" si="0"/>
        <v>Aug</v>
      </c>
      <c r="F58" s="7" t="s">
        <v>225</v>
      </c>
      <c r="G58" s="7" t="s">
        <v>64</v>
      </c>
      <c r="H58" s="7" t="s">
        <v>51</v>
      </c>
      <c r="I58" s="7" t="s">
        <v>38</v>
      </c>
      <c r="J58" s="7" t="s">
        <v>66</v>
      </c>
      <c r="K58" s="7" t="s">
        <v>39</v>
      </c>
      <c r="L58" s="7">
        <v>1035.76</v>
      </c>
      <c r="M58" s="7">
        <v>4</v>
      </c>
      <c r="N58" s="7">
        <v>0.1</v>
      </c>
      <c r="O58" s="7">
        <v>164.33</v>
      </c>
      <c r="P58" s="7" t="s">
        <v>54</v>
      </c>
      <c r="Q58" s="7" t="s">
        <v>86</v>
      </c>
      <c r="R58" s="7">
        <v>9</v>
      </c>
      <c r="S58" s="7">
        <f t="shared" si="1"/>
        <v>2024</v>
      </c>
      <c r="T58" s="7" t="str">
        <f t="shared" si="2"/>
        <v>Aug</v>
      </c>
    </row>
    <row r="59" spans="2:20" x14ac:dyDescent="0.3">
      <c r="B59" s="7">
        <v>58</v>
      </c>
      <c r="C59" s="7" t="s">
        <v>226</v>
      </c>
      <c r="D59" s="7" t="s">
        <v>227</v>
      </c>
      <c r="E59" s="7" t="str">
        <f t="shared" si="0"/>
        <v>Jan</v>
      </c>
      <c r="F59" s="7" t="s">
        <v>228</v>
      </c>
      <c r="G59" s="7" t="s">
        <v>102</v>
      </c>
      <c r="H59" s="7" t="s">
        <v>65</v>
      </c>
      <c r="I59" s="7" t="s">
        <v>52</v>
      </c>
      <c r="J59" s="7" t="s">
        <v>21</v>
      </c>
      <c r="K59" s="7" t="s">
        <v>76</v>
      </c>
      <c r="L59" s="7">
        <v>3440.05</v>
      </c>
      <c r="M59" s="7">
        <v>4</v>
      </c>
      <c r="N59" s="7">
        <v>0.21</v>
      </c>
      <c r="O59" s="7">
        <v>813.88</v>
      </c>
      <c r="P59" s="7" t="s">
        <v>23</v>
      </c>
      <c r="Q59" s="7" t="s">
        <v>77</v>
      </c>
      <c r="R59" s="7">
        <v>6</v>
      </c>
      <c r="S59" s="7">
        <f t="shared" si="1"/>
        <v>2024</v>
      </c>
      <c r="T59" s="7" t="str">
        <f t="shared" si="2"/>
        <v>Jan</v>
      </c>
    </row>
    <row r="60" spans="2:20" x14ac:dyDescent="0.3">
      <c r="B60" s="7">
        <v>59</v>
      </c>
      <c r="C60" s="7" t="s">
        <v>229</v>
      </c>
      <c r="D60" s="7" t="s">
        <v>230</v>
      </c>
      <c r="E60" s="7" t="str">
        <f t="shared" si="0"/>
        <v>Jul</v>
      </c>
      <c r="F60" s="7" t="s">
        <v>231</v>
      </c>
      <c r="G60" s="7" t="s">
        <v>64</v>
      </c>
      <c r="H60" s="7" t="s">
        <v>37</v>
      </c>
      <c r="I60" s="7" t="s">
        <v>52</v>
      </c>
      <c r="J60" s="7" t="s">
        <v>47</v>
      </c>
      <c r="K60" s="7" t="s">
        <v>76</v>
      </c>
      <c r="L60" s="7">
        <v>92.72</v>
      </c>
      <c r="M60" s="7">
        <v>1</v>
      </c>
      <c r="N60" s="7">
        <v>0.09</v>
      </c>
      <c r="O60" s="7">
        <v>27.22</v>
      </c>
      <c r="P60" s="7" t="s">
        <v>54</v>
      </c>
      <c r="Q60" s="7" t="s">
        <v>77</v>
      </c>
      <c r="R60" s="7">
        <v>8</v>
      </c>
      <c r="S60" s="7">
        <f t="shared" si="1"/>
        <v>2024</v>
      </c>
      <c r="T60" s="7" t="str">
        <f t="shared" si="2"/>
        <v>Jul</v>
      </c>
    </row>
    <row r="61" spans="2:20" x14ac:dyDescent="0.3">
      <c r="B61" s="7">
        <v>60</v>
      </c>
      <c r="C61" s="7" t="s">
        <v>232</v>
      </c>
      <c r="D61" s="7" t="s">
        <v>233</v>
      </c>
      <c r="E61" s="7" t="str">
        <f t="shared" si="0"/>
        <v>Jun</v>
      </c>
      <c r="F61" s="7" t="s">
        <v>234</v>
      </c>
      <c r="G61" s="7" t="s">
        <v>64</v>
      </c>
      <c r="H61" s="7" t="s">
        <v>45</v>
      </c>
      <c r="I61" s="7" t="s">
        <v>20</v>
      </c>
      <c r="J61" s="7" t="s">
        <v>21</v>
      </c>
      <c r="K61" s="7" t="s">
        <v>22</v>
      </c>
      <c r="L61" s="7">
        <v>673.65</v>
      </c>
      <c r="M61" s="7">
        <v>2</v>
      </c>
      <c r="N61" s="7">
        <v>0.27</v>
      </c>
      <c r="O61" s="7">
        <v>197.3</v>
      </c>
      <c r="P61" s="7" t="s">
        <v>54</v>
      </c>
      <c r="Q61" s="7" t="s">
        <v>24</v>
      </c>
      <c r="R61" s="7">
        <v>1</v>
      </c>
      <c r="S61" s="7">
        <f t="shared" si="1"/>
        <v>2025</v>
      </c>
      <c r="T61" s="7" t="str">
        <f t="shared" si="2"/>
        <v>Jun</v>
      </c>
    </row>
    <row r="62" spans="2:20" x14ac:dyDescent="0.3">
      <c r="B62" s="7">
        <v>61</v>
      </c>
      <c r="C62" s="7" t="s">
        <v>235</v>
      </c>
      <c r="D62" s="7" t="s">
        <v>236</v>
      </c>
      <c r="E62" s="7" t="str">
        <f t="shared" si="0"/>
        <v>Oct</v>
      </c>
      <c r="F62" s="7" t="s">
        <v>237</v>
      </c>
      <c r="G62" s="7" t="s">
        <v>18</v>
      </c>
      <c r="H62" s="7" t="s">
        <v>51</v>
      </c>
      <c r="I62" s="7" t="s">
        <v>106</v>
      </c>
      <c r="J62" s="7" t="s">
        <v>29</v>
      </c>
      <c r="K62" s="7" t="s">
        <v>30</v>
      </c>
      <c r="L62" s="7">
        <v>705.4</v>
      </c>
      <c r="M62" s="7">
        <v>5</v>
      </c>
      <c r="N62" s="7">
        <v>7.0000000000000007E-2</v>
      </c>
      <c r="O62" s="7">
        <v>184.61</v>
      </c>
      <c r="P62" s="7" t="s">
        <v>23</v>
      </c>
      <c r="Q62" s="7" t="s">
        <v>86</v>
      </c>
      <c r="R62" s="7">
        <v>9</v>
      </c>
      <c r="S62" s="7">
        <f t="shared" si="1"/>
        <v>2024</v>
      </c>
      <c r="T62" s="7" t="str">
        <f t="shared" si="2"/>
        <v>Oct</v>
      </c>
    </row>
    <row r="63" spans="2:20" x14ac:dyDescent="0.3">
      <c r="B63" s="7">
        <v>62</v>
      </c>
      <c r="C63" s="7" t="s">
        <v>238</v>
      </c>
      <c r="D63" s="7" t="s">
        <v>142</v>
      </c>
      <c r="E63" s="7" t="str">
        <f t="shared" si="0"/>
        <v>Jan</v>
      </c>
      <c r="F63" s="7" t="s">
        <v>239</v>
      </c>
      <c r="G63" s="7" t="s">
        <v>64</v>
      </c>
      <c r="H63" s="7" t="s">
        <v>19</v>
      </c>
      <c r="I63" s="7" t="s">
        <v>52</v>
      </c>
      <c r="J63" s="7" t="s">
        <v>66</v>
      </c>
      <c r="K63" s="7" t="s">
        <v>60</v>
      </c>
      <c r="L63" s="7">
        <v>1013.66</v>
      </c>
      <c r="M63" s="7">
        <v>2</v>
      </c>
      <c r="N63" s="7">
        <v>0.06</v>
      </c>
      <c r="O63" s="7">
        <v>275.32</v>
      </c>
      <c r="P63" s="7" t="s">
        <v>31</v>
      </c>
      <c r="Q63" s="7" t="s">
        <v>86</v>
      </c>
      <c r="R63" s="7">
        <v>5</v>
      </c>
      <c r="S63" s="7">
        <f t="shared" si="1"/>
        <v>2024</v>
      </c>
      <c r="T63" s="7" t="str">
        <f t="shared" si="2"/>
        <v>Jan</v>
      </c>
    </row>
    <row r="64" spans="2:20" x14ac:dyDescent="0.3">
      <c r="B64" s="7">
        <v>63</v>
      </c>
      <c r="C64" s="7" t="s">
        <v>240</v>
      </c>
      <c r="D64" s="7" t="s">
        <v>241</v>
      </c>
      <c r="E64" s="7" t="str">
        <f t="shared" si="0"/>
        <v>Dec</v>
      </c>
      <c r="F64" s="7" t="s">
        <v>242</v>
      </c>
      <c r="G64" s="7" t="s">
        <v>44</v>
      </c>
      <c r="H64" s="7" t="s">
        <v>19</v>
      </c>
      <c r="I64" s="7" t="s">
        <v>46</v>
      </c>
      <c r="J64" s="7" t="s">
        <v>47</v>
      </c>
      <c r="K64" s="7" t="s">
        <v>30</v>
      </c>
      <c r="L64" s="7">
        <v>1173.57</v>
      </c>
      <c r="M64" s="7">
        <v>4</v>
      </c>
      <c r="N64" s="7">
        <v>0.05</v>
      </c>
      <c r="O64" s="7">
        <v>290.91000000000003</v>
      </c>
      <c r="P64" s="7" t="s">
        <v>54</v>
      </c>
      <c r="Q64" s="7" t="s">
        <v>86</v>
      </c>
      <c r="R64" s="7">
        <v>4</v>
      </c>
      <c r="S64" s="7">
        <f t="shared" si="1"/>
        <v>2024</v>
      </c>
      <c r="T64" s="7" t="str">
        <f t="shared" si="2"/>
        <v>Dec</v>
      </c>
    </row>
    <row r="65" spans="2:20" x14ac:dyDescent="0.3">
      <c r="B65" s="7">
        <v>64</v>
      </c>
      <c r="C65" s="7" t="s">
        <v>243</v>
      </c>
      <c r="D65" s="7" t="s">
        <v>244</v>
      </c>
      <c r="E65" s="7" t="str">
        <f t="shared" si="0"/>
        <v>Dec</v>
      </c>
      <c r="F65" s="7" t="s">
        <v>245</v>
      </c>
      <c r="G65" s="7" t="s">
        <v>36</v>
      </c>
      <c r="H65" s="7" t="s">
        <v>65</v>
      </c>
      <c r="I65" s="7" t="s">
        <v>20</v>
      </c>
      <c r="J65" s="7" t="s">
        <v>66</v>
      </c>
      <c r="K65" s="7" t="s">
        <v>39</v>
      </c>
      <c r="L65" s="7">
        <v>74.790000000000006</v>
      </c>
      <c r="M65" s="7">
        <v>2</v>
      </c>
      <c r="N65" s="7">
        <v>0.04</v>
      </c>
      <c r="O65" s="7">
        <v>12.31</v>
      </c>
      <c r="P65" s="7" t="s">
        <v>54</v>
      </c>
      <c r="Q65" s="7" t="s">
        <v>86</v>
      </c>
      <c r="R65" s="7">
        <v>7</v>
      </c>
      <c r="S65" s="7">
        <f t="shared" si="1"/>
        <v>2024</v>
      </c>
      <c r="T65" s="7" t="str">
        <f t="shared" si="2"/>
        <v>Dec</v>
      </c>
    </row>
    <row r="66" spans="2:20" x14ac:dyDescent="0.3">
      <c r="B66" s="7">
        <v>65</v>
      </c>
      <c r="C66" s="7" t="s">
        <v>246</v>
      </c>
      <c r="D66" s="7" t="s">
        <v>49</v>
      </c>
      <c r="E66" s="7" t="str">
        <f t="shared" si="0"/>
        <v>May</v>
      </c>
      <c r="F66" s="7" t="s">
        <v>247</v>
      </c>
      <c r="G66" s="7" t="s">
        <v>102</v>
      </c>
      <c r="H66" s="7" t="s">
        <v>71</v>
      </c>
      <c r="I66" s="7" t="s">
        <v>46</v>
      </c>
      <c r="J66" s="7" t="s">
        <v>47</v>
      </c>
      <c r="K66" s="7" t="s">
        <v>22</v>
      </c>
      <c r="L66" s="7">
        <v>1024.92</v>
      </c>
      <c r="M66" s="7">
        <v>5</v>
      </c>
      <c r="N66" s="7">
        <v>0.16</v>
      </c>
      <c r="O66" s="7">
        <v>109.98</v>
      </c>
      <c r="P66" s="7" t="s">
        <v>31</v>
      </c>
      <c r="Q66" s="7" t="s">
        <v>86</v>
      </c>
      <c r="R66" s="7">
        <v>10</v>
      </c>
      <c r="S66" s="7">
        <f t="shared" si="1"/>
        <v>2024</v>
      </c>
      <c r="T66" s="7" t="str">
        <f t="shared" si="2"/>
        <v>May</v>
      </c>
    </row>
    <row r="67" spans="2:20" x14ac:dyDescent="0.3">
      <c r="B67" s="7">
        <v>66</v>
      </c>
      <c r="C67" s="7" t="s">
        <v>248</v>
      </c>
      <c r="D67" s="7" t="s">
        <v>249</v>
      </c>
      <c r="E67" s="7" t="str">
        <f t="shared" ref="E67:E130" si="3">TEXT(D67,"mmm")</f>
        <v>Jul</v>
      </c>
      <c r="F67" s="7" t="s">
        <v>250</v>
      </c>
      <c r="G67" s="7" t="s">
        <v>64</v>
      </c>
      <c r="H67" s="7" t="s">
        <v>51</v>
      </c>
      <c r="I67" s="7" t="s">
        <v>20</v>
      </c>
      <c r="J67" s="7" t="s">
        <v>21</v>
      </c>
      <c r="K67" s="7" t="s">
        <v>53</v>
      </c>
      <c r="L67" s="7">
        <v>1058.24</v>
      </c>
      <c r="M67" s="7">
        <v>3</v>
      </c>
      <c r="N67" s="7">
        <v>0.08</v>
      </c>
      <c r="O67" s="7">
        <v>162.69999999999999</v>
      </c>
      <c r="P67" s="7" t="s">
        <v>23</v>
      </c>
      <c r="Q67" s="7" t="s">
        <v>24</v>
      </c>
      <c r="R67" s="7">
        <v>1</v>
      </c>
      <c r="S67" s="7">
        <f t="shared" ref="S67:S130" si="4">YEAR(D67)</f>
        <v>2024</v>
      </c>
      <c r="T67" s="7" t="str">
        <f t="shared" ref="T67:T130" si="5">TEXT(D67,"mmm")</f>
        <v>Jul</v>
      </c>
    </row>
    <row r="68" spans="2:20" x14ac:dyDescent="0.3">
      <c r="B68" s="7">
        <v>67</v>
      </c>
      <c r="C68" s="7" t="s">
        <v>251</v>
      </c>
      <c r="D68" s="7" t="s">
        <v>252</v>
      </c>
      <c r="E68" s="7" t="str">
        <f t="shared" si="3"/>
        <v>Oct</v>
      </c>
      <c r="F68" s="7" t="s">
        <v>253</v>
      </c>
      <c r="G68" s="7" t="s">
        <v>44</v>
      </c>
      <c r="H68" s="7" t="s">
        <v>37</v>
      </c>
      <c r="I68" s="7" t="s">
        <v>20</v>
      </c>
      <c r="J68" s="7" t="s">
        <v>66</v>
      </c>
      <c r="K68" s="7" t="s">
        <v>39</v>
      </c>
      <c r="L68" s="7">
        <v>110.85</v>
      </c>
      <c r="M68" s="7">
        <v>1</v>
      </c>
      <c r="N68" s="7">
        <v>0.26</v>
      </c>
      <c r="O68" s="7">
        <v>37.74</v>
      </c>
      <c r="P68" s="7" t="s">
        <v>31</v>
      </c>
      <c r="Q68" s="7" t="s">
        <v>32</v>
      </c>
      <c r="R68" s="7">
        <v>2</v>
      </c>
      <c r="S68" s="7">
        <f t="shared" si="4"/>
        <v>2025</v>
      </c>
      <c r="T68" s="7" t="str">
        <f t="shared" si="5"/>
        <v>Oct</v>
      </c>
    </row>
    <row r="69" spans="2:20" x14ac:dyDescent="0.3">
      <c r="B69" s="7">
        <v>68</v>
      </c>
      <c r="C69" s="7" t="s">
        <v>254</v>
      </c>
      <c r="D69" s="7" t="s">
        <v>255</v>
      </c>
      <c r="E69" s="7" t="str">
        <f t="shared" si="3"/>
        <v>Dec</v>
      </c>
      <c r="F69" s="7" t="s">
        <v>256</v>
      </c>
      <c r="G69" s="7" t="s">
        <v>102</v>
      </c>
      <c r="H69" s="7" t="s">
        <v>37</v>
      </c>
      <c r="I69" s="7" t="s">
        <v>20</v>
      </c>
      <c r="J69" s="7" t="s">
        <v>81</v>
      </c>
      <c r="K69" s="7" t="s">
        <v>39</v>
      </c>
      <c r="L69" s="7">
        <v>927.89</v>
      </c>
      <c r="M69" s="7">
        <v>1</v>
      </c>
      <c r="N69" s="7">
        <v>0.15</v>
      </c>
      <c r="O69" s="7">
        <v>297.57</v>
      </c>
      <c r="P69" s="7" t="s">
        <v>23</v>
      </c>
      <c r="Q69" s="7" t="s">
        <v>77</v>
      </c>
      <c r="R69" s="7">
        <v>5</v>
      </c>
      <c r="S69" s="7">
        <f t="shared" si="4"/>
        <v>2024</v>
      </c>
      <c r="T69" s="7" t="str">
        <f t="shared" si="5"/>
        <v>Dec</v>
      </c>
    </row>
    <row r="70" spans="2:20" x14ac:dyDescent="0.3">
      <c r="B70" s="7">
        <v>69</v>
      </c>
      <c r="C70" s="7" t="s">
        <v>257</v>
      </c>
      <c r="D70" s="7" t="s">
        <v>258</v>
      </c>
      <c r="E70" s="7" t="str">
        <f t="shared" si="3"/>
        <v>May</v>
      </c>
      <c r="F70" s="7" t="s">
        <v>259</v>
      </c>
      <c r="G70" s="7" t="s">
        <v>18</v>
      </c>
      <c r="H70" s="7" t="s">
        <v>19</v>
      </c>
      <c r="I70" s="7" t="s">
        <v>52</v>
      </c>
      <c r="J70" s="7" t="s">
        <v>21</v>
      </c>
      <c r="K70" s="7" t="s">
        <v>67</v>
      </c>
      <c r="L70" s="7">
        <v>1195.79</v>
      </c>
      <c r="M70" s="7">
        <v>3</v>
      </c>
      <c r="N70" s="7">
        <v>0.11</v>
      </c>
      <c r="O70" s="7">
        <v>143.13</v>
      </c>
      <c r="P70" s="7" t="s">
        <v>23</v>
      </c>
      <c r="Q70" s="7" t="s">
        <v>40</v>
      </c>
      <c r="R70" s="7">
        <v>9</v>
      </c>
      <c r="S70" s="7">
        <f t="shared" si="4"/>
        <v>2024</v>
      </c>
      <c r="T70" s="7" t="str">
        <f t="shared" si="5"/>
        <v>May</v>
      </c>
    </row>
    <row r="71" spans="2:20" x14ac:dyDescent="0.3">
      <c r="B71" s="7">
        <v>70</v>
      </c>
      <c r="C71" s="7" t="s">
        <v>260</v>
      </c>
      <c r="D71" s="7" t="s">
        <v>261</v>
      </c>
      <c r="E71" s="7" t="str">
        <f t="shared" si="3"/>
        <v>Dec</v>
      </c>
      <c r="F71" s="7" t="s">
        <v>262</v>
      </c>
      <c r="G71" s="7" t="s">
        <v>64</v>
      </c>
      <c r="H71" s="7" t="s">
        <v>71</v>
      </c>
      <c r="I71" s="7" t="s">
        <v>46</v>
      </c>
      <c r="J71" s="7" t="s">
        <v>66</v>
      </c>
      <c r="K71" s="7" t="s">
        <v>39</v>
      </c>
      <c r="L71" s="7">
        <v>1116.73</v>
      </c>
      <c r="M71" s="7">
        <v>3</v>
      </c>
      <c r="N71" s="7">
        <v>0</v>
      </c>
      <c r="O71" s="7">
        <v>256.56</v>
      </c>
      <c r="P71" s="7" t="s">
        <v>54</v>
      </c>
      <c r="Q71" s="7" t="s">
        <v>24</v>
      </c>
      <c r="R71" s="7">
        <v>6</v>
      </c>
      <c r="S71" s="7">
        <f t="shared" si="4"/>
        <v>2024</v>
      </c>
      <c r="T71" s="7" t="str">
        <f t="shared" si="5"/>
        <v>Dec</v>
      </c>
    </row>
    <row r="72" spans="2:20" x14ac:dyDescent="0.3">
      <c r="B72" s="7">
        <v>71</v>
      </c>
      <c r="C72" s="7" t="s">
        <v>263</v>
      </c>
      <c r="D72" s="7" t="s">
        <v>264</v>
      </c>
      <c r="E72" s="7" t="str">
        <f t="shared" si="3"/>
        <v>Jan</v>
      </c>
      <c r="F72" s="7" t="s">
        <v>265</v>
      </c>
      <c r="G72" s="7" t="s">
        <v>36</v>
      </c>
      <c r="H72" s="7" t="s">
        <v>51</v>
      </c>
      <c r="I72" s="7" t="s">
        <v>38</v>
      </c>
      <c r="J72" s="7" t="s">
        <v>47</v>
      </c>
      <c r="K72" s="7" t="s">
        <v>67</v>
      </c>
      <c r="L72" s="7">
        <v>230.95</v>
      </c>
      <c r="M72" s="7">
        <v>1</v>
      </c>
      <c r="N72" s="7">
        <v>0.11</v>
      </c>
      <c r="O72" s="7">
        <v>77.67</v>
      </c>
      <c r="P72" s="7" t="s">
        <v>54</v>
      </c>
      <c r="Q72" s="7" t="s">
        <v>77</v>
      </c>
      <c r="R72" s="7">
        <v>2</v>
      </c>
      <c r="S72" s="7">
        <f t="shared" si="4"/>
        <v>2025</v>
      </c>
      <c r="T72" s="7" t="str">
        <f t="shared" si="5"/>
        <v>Jan</v>
      </c>
    </row>
    <row r="73" spans="2:20" x14ac:dyDescent="0.3">
      <c r="B73" s="7">
        <v>72</v>
      </c>
      <c r="C73" s="7" t="s">
        <v>266</v>
      </c>
      <c r="D73" s="7" t="s">
        <v>267</v>
      </c>
      <c r="E73" s="7" t="str">
        <f t="shared" si="3"/>
        <v>Jul</v>
      </c>
      <c r="F73" s="7" t="s">
        <v>268</v>
      </c>
      <c r="G73" s="7" t="s">
        <v>18</v>
      </c>
      <c r="H73" s="7" t="s">
        <v>58</v>
      </c>
      <c r="I73" s="7" t="s">
        <v>106</v>
      </c>
      <c r="J73" s="7" t="s">
        <v>47</v>
      </c>
      <c r="K73" s="7" t="s">
        <v>39</v>
      </c>
      <c r="L73" s="7">
        <v>1576.93</v>
      </c>
      <c r="M73" s="7">
        <v>2</v>
      </c>
      <c r="N73" s="7">
        <v>0.02</v>
      </c>
      <c r="O73" s="7">
        <v>161.77000000000001</v>
      </c>
      <c r="P73" s="7" t="s">
        <v>54</v>
      </c>
      <c r="Q73" s="7" t="s">
        <v>77</v>
      </c>
      <c r="R73" s="7">
        <v>2</v>
      </c>
      <c r="S73" s="7">
        <f t="shared" si="4"/>
        <v>2025</v>
      </c>
      <c r="T73" s="7" t="str">
        <f t="shared" si="5"/>
        <v>Jul</v>
      </c>
    </row>
    <row r="74" spans="2:20" x14ac:dyDescent="0.3">
      <c r="B74" s="7">
        <v>73</v>
      </c>
      <c r="C74" s="7" t="s">
        <v>269</v>
      </c>
      <c r="D74" s="7" t="s">
        <v>200</v>
      </c>
      <c r="E74" s="7" t="str">
        <f t="shared" si="3"/>
        <v>Apr</v>
      </c>
      <c r="F74" s="7" t="s">
        <v>270</v>
      </c>
      <c r="G74" s="7" t="s">
        <v>102</v>
      </c>
      <c r="H74" s="7" t="s">
        <v>45</v>
      </c>
      <c r="I74" s="7" t="s">
        <v>59</v>
      </c>
      <c r="J74" s="7" t="s">
        <v>66</v>
      </c>
      <c r="K74" s="7" t="s">
        <v>76</v>
      </c>
      <c r="L74" s="7">
        <v>851.02</v>
      </c>
      <c r="M74" s="7">
        <v>1</v>
      </c>
      <c r="N74" s="7">
        <v>0.03</v>
      </c>
      <c r="O74" s="7">
        <v>296.99</v>
      </c>
      <c r="P74" s="7" t="s">
        <v>23</v>
      </c>
      <c r="Q74" s="7" t="s">
        <v>24</v>
      </c>
      <c r="R74" s="7">
        <v>6</v>
      </c>
      <c r="S74" s="7">
        <f t="shared" si="4"/>
        <v>2024</v>
      </c>
      <c r="T74" s="7" t="str">
        <f t="shared" si="5"/>
        <v>Apr</v>
      </c>
    </row>
    <row r="75" spans="2:20" x14ac:dyDescent="0.3">
      <c r="B75" s="7">
        <v>74</v>
      </c>
      <c r="C75" s="7" t="s">
        <v>271</v>
      </c>
      <c r="D75" s="7" t="s">
        <v>272</v>
      </c>
      <c r="E75" s="7" t="str">
        <f t="shared" si="3"/>
        <v>Jun</v>
      </c>
      <c r="F75" s="7" t="s">
        <v>273</v>
      </c>
      <c r="G75" s="7" t="s">
        <v>36</v>
      </c>
      <c r="H75" s="7" t="s">
        <v>19</v>
      </c>
      <c r="I75" s="7" t="s">
        <v>46</v>
      </c>
      <c r="J75" s="7" t="s">
        <v>66</v>
      </c>
      <c r="K75" s="7" t="s">
        <v>39</v>
      </c>
      <c r="L75" s="7">
        <v>3946.78</v>
      </c>
      <c r="M75" s="7">
        <v>5</v>
      </c>
      <c r="N75" s="7">
        <v>0.04</v>
      </c>
      <c r="O75" s="7">
        <v>1149.51</v>
      </c>
      <c r="P75" s="7" t="s">
        <v>23</v>
      </c>
      <c r="Q75" s="7" t="s">
        <v>86</v>
      </c>
      <c r="R75" s="7">
        <v>5</v>
      </c>
      <c r="S75" s="7">
        <f t="shared" si="4"/>
        <v>2025</v>
      </c>
      <c r="T75" s="7" t="str">
        <f t="shared" si="5"/>
        <v>Jun</v>
      </c>
    </row>
    <row r="76" spans="2:20" x14ac:dyDescent="0.3">
      <c r="B76" s="7">
        <v>75</v>
      </c>
      <c r="C76" s="7" t="s">
        <v>274</v>
      </c>
      <c r="D76" s="7" t="s">
        <v>275</v>
      </c>
      <c r="E76" s="7" t="str">
        <f t="shared" si="3"/>
        <v>Apr</v>
      </c>
      <c r="F76" s="7" t="s">
        <v>276</v>
      </c>
      <c r="G76" s="7" t="s">
        <v>36</v>
      </c>
      <c r="H76" s="7" t="s">
        <v>58</v>
      </c>
      <c r="I76" s="7" t="s">
        <v>28</v>
      </c>
      <c r="J76" s="7" t="s">
        <v>21</v>
      </c>
      <c r="K76" s="7" t="s">
        <v>67</v>
      </c>
      <c r="L76" s="7">
        <v>913.12</v>
      </c>
      <c r="M76" s="7">
        <v>3</v>
      </c>
      <c r="N76" s="7">
        <v>0</v>
      </c>
      <c r="O76" s="7">
        <v>194.11</v>
      </c>
      <c r="P76" s="7" t="s">
        <v>23</v>
      </c>
      <c r="Q76" s="7" t="s">
        <v>40</v>
      </c>
      <c r="R76" s="7">
        <v>7</v>
      </c>
      <c r="S76" s="7">
        <f t="shared" si="4"/>
        <v>2025</v>
      </c>
      <c r="T76" s="7" t="str">
        <f t="shared" si="5"/>
        <v>Apr</v>
      </c>
    </row>
    <row r="77" spans="2:20" x14ac:dyDescent="0.3">
      <c r="B77" s="7">
        <v>76</v>
      </c>
      <c r="C77" s="7" t="s">
        <v>277</v>
      </c>
      <c r="D77" s="7" t="s">
        <v>278</v>
      </c>
      <c r="E77" s="7" t="str">
        <f t="shared" si="3"/>
        <v>Aug</v>
      </c>
      <c r="F77" s="7" t="s">
        <v>279</v>
      </c>
      <c r="G77" s="7" t="s">
        <v>18</v>
      </c>
      <c r="H77" s="7" t="s">
        <v>37</v>
      </c>
      <c r="I77" s="7" t="s">
        <v>52</v>
      </c>
      <c r="J77" s="7" t="s">
        <v>81</v>
      </c>
      <c r="K77" s="7" t="s">
        <v>67</v>
      </c>
      <c r="L77" s="7">
        <v>1701.85</v>
      </c>
      <c r="M77" s="7">
        <v>2</v>
      </c>
      <c r="N77" s="7">
        <v>0.23</v>
      </c>
      <c r="O77" s="7">
        <v>361.76</v>
      </c>
      <c r="P77" s="7" t="s">
        <v>23</v>
      </c>
      <c r="Q77" s="7" t="s">
        <v>24</v>
      </c>
      <c r="R77" s="7">
        <v>1</v>
      </c>
      <c r="S77" s="7">
        <f t="shared" si="4"/>
        <v>2025</v>
      </c>
      <c r="T77" s="7" t="str">
        <f t="shared" si="5"/>
        <v>Aug</v>
      </c>
    </row>
    <row r="78" spans="2:20" x14ac:dyDescent="0.3">
      <c r="B78" s="7">
        <v>77</v>
      </c>
      <c r="C78" s="7" t="s">
        <v>280</v>
      </c>
      <c r="D78" s="7" t="s">
        <v>281</v>
      </c>
      <c r="E78" s="7" t="str">
        <f t="shared" si="3"/>
        <v>Dec</v>
      </c>
      <c r="F78" s="7" t="s">
        <v>282</v>
      </c>
      <c r="G78" s="7" t="s">
        <v>44</v>
      </c>
      <c r="H78" s="7" t="s">
        <v>71</v>
      </c>
      <c r="I78" s="7" t="s">
        <v>46</v>
      </c>
      <c r="J78" s="7" t="s">
        <v>21</v>
      </c>
      <c r="K78" s="7" t="s">
        <v>60</v>
      </c>
      <c r="L78" s="7">
        <v>265.87</v>
      </c>
      <c r="M78" s="7">
        <v>4</v>
      </c>
      <c r="N78" s="7">
        <v>0.17</v>
      </c>
      <c r="O78" s="7">
        <v>53.47</v>
      </c>
      <c r="P78" s="7" t="s">
        <v>54</v>
      </c>
      <c r="Q78" s="7" t="s">
        <v>86</v>
      </c>
      <c r="R78" s="7">
        <v>8</v>
      </c>
      <c r="S78" s="7">
        <f t="shared" si="4"/>
        <v>2025</v>
      </c>
      <c r="T78" s="7" t="str">
        <f t="shared" si="5"/>
        <v>Dec</v>
      </c>
    </row>
    <row r="79" spans="2:20" x14ac:dyDescent="0.3">
      <c r="B79" s="7">
        <v>78</v>
      </c>
      <c r="C79" s="7" t="s">
        <v>283</v>
      </c>
      <c r="D79" s="7" t="s">
        <v>284</v>
      </c>
      <c r="E79" s="7" t="str">
        <f t="shared" si="3"/>
        <v>May</v>
      </c>
      <c r="F79" s="7" t="s">
        <v>285</v>
      </c>
      <c r="G79" s="7" t="s">
        <v>64</v>
      </c>
      <c r="H79" s="7" t="s">
        <v>19</v>
      </c>
      <c r="I79" s="7" t="s">
        <v>52</v>
      </c>
      <c r="J79" s="7" t="s">
        <v>81</v>
      </c>
      <c r="K79" s="7" t="s">
        <v>53</v>
      </c>
      <c r="L79" s="7">
        <v>2916.36</v>
      </c>
      <c r="M79" s="7">
        <v>5</v>
      </c>
      <c r="N79" s="7">
        <v>7.0000000000000007E-2</v>
      </c>
      <c r="O79" s="7">
        <v>761.45</v>
      </c>
      <c r="P79" s="7" t="s">
        <v>23</v>
      </c>
      <c r="Q79" s="7" t="s">
        <v>77</v>
      </c>
      <c r="R79" s="7">
        <v>6</v>
      </c>
      <c r="S79" s="7">
        <f t="shared" si="4"/>
        <v>2024</v>
      </c>
      <c r="T79" s="7" t="str">
        <f t="shared" si="5"/>
        <v>May</v>
      </c>
    </row>
    <row r="80" spans="2:20" x14ac:dyDescent="0.3">
      <c r="B80" s="7">
        <v>79</v>
      </c>
      <c r="C80" s="7" t="s">
        <v>286</v>
      </c>
      <c r="D80" s="7" t="s">
        <v>287</v>
      </c>
      <c r="E80" s="7" t="str">
        <f t="shared" si="3"/>
        <v>Nov</v>
      </c>
      <c r="F80" s="7" t="s">
        <v>288</v>
      </c>
      <c r="G80" s="7" t="s">
        <v>102</v>
      </c>
      <c r="H80" s="7" t="s">
        <v>45</v>
      </c>
      <c r="I80" s="7" t="s">
        <v>52</v>
      </c>
      <c r="J80" s="7" t="s">
        <v>29</v>
      </c>
      <c r="K80" s="7" t="s">
        <v>53</v>
      </c>
      <c r="L80" s="7">
        <v>960.79</v>
      </c>
      <c r="M80" s="7">
        <v>2</v>
      </c>
      <c r="N80" s="7">
        <v>0.09</v>
      </c>
      <c r="O80" s="7">
        <v>329.89</v>
      </c>
      <c r="P80" s="7" t="s">
        <v>31</v>
      </c>
      <c r="Q80" s="7" t="s">
        <v>24</v>
      </c>
      <c r="R80" s="7">
        <v>2</v>
      </c>
      <c r="S80" s="7">
        <f t="shared" si="4"/>
        <v>2024</v>
      </c>
      <c r="T80" s="7" t="str">
        <f t="shared" si="5"/>
        <v>Nov</v>
      </c>
    </row>
    <row r="81" spans="2:20" x14ac:dyDescent="0.3">
      <c r="B81" s="7">
        <v>80</v>
      </c>
      <c r="C81" s="7" t="s">
        <v>289</v>
      </c>
      <c r="D81" s="7" t="s">
        <v>290</v>
      </c>
      <c r="E81" s="7" t="str">
        <f t="shared" si="3"/>
        <v>Dec</v>
      </c>
      <c r="F81" s="7" t="s">
        <v>291</v>
      </c>
      <c r="G81" s="7" t="s">
        <v>44</v>
      </c>
      <c r="H81" s="7" t="s">
        <v>71</v>
      </c>
      <c r="I81" s="7" t="s">
        <v>59</v>
      </c>
      <c r="J81" s="7" t="s">
        <v>29</v>
      </c>
      <c r="K81" s="7" t="s">
        <v>22</v>
      </c>
      <c r="L81" s="7">
        <v>965.73</v>
      </c>
      <c r="M81" s="7">
        <v>1</v>
      </c>
      <c r="N81" s="7">
        <v>0.2</v>
      </c>
      <c r="O81" s="7">
        <v>305.08</v>
      </c>
      <c r="P81" s="7" t="s">
        <v>23</v>
      </c>
      <c r="Q81" s="7" t="s">
        <v>24</v>
      </c>
      <c r="R81" s="7">
        <v>6</v>
      </c>
      <c r="S81" s="7">
        <f t="shared" si="4"/>
        <v>2025</v>
      </c>
      <c r="T81" s="7" t="str">
        <f t="shared" si="5"/>
        <v>Dec</v>
      </c>
    </row>
    <row r="82" spans="2:20" x14ac:dyDescent="0.3">
      <c r="B82" s="7">
        <v>81</v>
      </c>
      <c r="C82" s="7" t="s">
        <v>292</v>
      </c>
      <c r="D82" s="7" t="s">
        <v>293</v>
      </c>
      <c r="E82" s="7" t="str">
        <f t="shared" si="3"/>
        <v>Aug</v>
      </c>
      <c r="F82" s="7" t="s">
        <v>294</v>
      </c>
      <c r="G82" s="7" t="s">
        <v>102</v>
      </c>
      <c r="H82" s="7" t="s">
        <v>71</v>
      </c>
      <c r="I82" s="7" t="s">
        <v>20</v>
      </c>
      <c r="J82" s="7" t="s">
        <v>29</v>
      </c>
      <c r="K82" s="7" t="s">
        <v>76</v>
      </c>
      <c r="L82" s="7">
        <v>2417.2199999999998</v>
      </c>
      <c r="M82" s="7">
        <v>4</v>
      </c>
      <c r="N82" s="7">
        <v>0.16</v>
      </c>
      <c r="O82" s="7">
        <v>255.81</v>
      </c>
      <c r="P82" s="7" t="s">
        <v>54</v>
      </c>
      <c r="Q82" s="7" t="s">
        <v>32</v>
      </c>
      <c r="R82" s="7">
        <v>2</v>
      </c>
      <c r="S82" s="7">
        <f t="shared" si="4"/>
        <v>2025</v>
      </c>
      <c r="T82" s="7" t="str">
        <f t="shared" si="5"/>
        <v>Aug</v>
      </c>
    </row>
    <row r="83" spans="2:20" x14ac:dyDescent="0.3">
      <c r="B83" s="7">
        <v>82</v>
      </c>
      <c r="C83" s="7" t="s">
        <v>295</v>
      </c>
      <c r="D83" s="7" t="s">
        <v>296</v>
      </c>
      <c r="E83" s="7" t="str">
        <f t="shared" si="3"/>
        <v>Dec</v>
      </c>
      <c r="F83" s="7" t="s">
        <v>297</v>
      </c>
      <c r="G83" s="7" t="s">
        <v>44</v>
      </c>
      <c r="H83" s="7" t="s">
        <v>65</v>
      </c>
      <c r="I83" s="7" t="s">
        <v>46</v>
      </c>
      <c r="J83" s="7" t="s">
        <v>66</v>
      </c>
      <c r="K83" s="7" t="s">
        <v>22</v>
      </c>
      <c r="L83" s="7">
        <v>961.74</v>
      </c>
      <c r="M83" s="7">
        <v>1</v>
      </c>
      <c r="N83" s="7">
        <v>0.14000000000000001</v>
      </c>
      <c r="O83" s="7">
        <v>318.63</v>
      </c>
      <c r="P83" s="7" t="s">
        <v>31</v>
      </c>
      <c r="Q83" s="7" t="s">
        <v>32</v>
      </c>
      <c r="R83" s="7">
        <v>10</v>
      </c>
      <c r="S83" s="7">
        <f t="shared" si="4"/>
        <v>2024</v>
      </c>
      <c r="T83" s="7" t="str">
        <f t="shared" si="5"/>
        <v>Dec</v>
      </c>
    </row>
    <row r="84" spans="2:20" x14ac:dyDescent="0.3">
      <c r="B84" s="7">
        <v>83</v>
      </c>
      <c r="C84" s="7" t="s">
        <v>298</v>
      </c>
      <c r="D84" s="7" t="s">
        <v>299</v>
      </c>
      <c r="E84" s="7" t="str">
        <f t="shared" si="3"/>
        <v>Aug</v>
      </c>
      <c r="F84" s="7" t="s">
        <v>300</v>
      </c>
      <c r="G84" s="7" t="s">
        <v>36</v>
      </c>
      <c r="H84" s="7" t="s">
        <v>37</v>
      </c>
      <c r="I84" s="7" t="s">
        <v>46</v>
      </c>
      <c r="J84" s="7" t="s">
        <v>81</v>
      </c>
      <c r="K84" s="7" t="s">
        <v>72</v>
      </c>
      <c r="L84" s="7">
        <v>2153.04</v>
      </c>
      <c r="M84" s="7">
        <v>3</v>
      </c>
      <c r="N84" s="7">
        <v>0.27</v>
      </c>
      <c r="O84" s="7">
        <v>667.39</v>
      </c>
      <c r="P84" s="7" t="s">
        <v>23</v>
      </c>
      <c r="Q84" s="7" t="s">
        <v>24</v>
      </c>
      <c r="R84" s="7">
        <v>3</v>
      </c>
      <c r="S84" s="7">
        <f t="shared" si="4"/>
        <v>2024</v>
      </c>
      <c r="T84" s="7" t="str">
        <f t="shared" si="5"/>
        <v>Aug</v>
      </c>
    </row>
    <row r="85" spans="2:20" x14ac:dyDescent="0.3">
      <c r="B85" s="7">
        <v>84</v>
      </c>
      <c r="C85" s="7" t="s">
        <v>301</v>
      </c>
      <c r="D85" s="7" t="s">
        <v>209</v>
      </c>
      <c r="E85" s="7" t="str">
        <f t="shared" si="3"/>
        <v>May</v>
      </c>
      <c r="F85" s="7" t="s">
        <v>302</v>
      </c>
      <c r="G85" s="7" t="s">
        <v>36</v>
      </c>
      <c r="H85" s="7" t="s">
        <v>45</v>
      </c>
      <c r="I85" s="7" t="s">
        <v>59</v>
      </c>
      <c r="J85" s="7" t="s">
        <v>81</v>
      </c>
      <c r="K85" s="7" t="s">
        <v>53</v>
      </c>
      <c r="L85" s="7">
        <v>754.73</v>
      </c>
      <c r="M85" s="7">
        <v>5</v>
      </c>
      <c r="N85" s="7">
        <v>0.01</v>
      </c>
      <c r="O85" s="7">
        <v>219.49</v>
      </c>
      <c r="P85" s="7" t="s">
        <v>23</v>
      </c>
      <c r="Q85" s="7" t="s">
        <v>77</v>
      </c>
      <c r="R85" s="7">
        <v>7</v>
      </c>
      <c r="S85" s="7">
        <f t="shared" si="4"/>
        <v>2024</v>
      </c>
      <c r="T85" s="7" t="str">
        <f t="shared" si="5"/>
        <v>May</v>
      </c>
    </row>
    <row r="86" spans="2:20" x14ac:dyDescent="0.3">
      <c r="B86" s="7">
        <v>85</v>
      </c>
      <c r="C86" s="7" t="s">
        <v>303</v>
      </c>
      <c r="D86" s="7" t="s">
        <v>304</v>
      </c>
      <c r="E86" s="7" t="str">
        <f t="shared" si="3"/>
        <v>Jan</v>
      </c>
      <c r="F86" s="7" t="s">
        <v>305</v>
      </c>
      <c r="G86" s="7" t="s">
        <v>64</v>
      </c>
      <c r="H86" s="7" t="s">
        <v>71</v>
      </c>
      <c r="I86" s="7" t="s">
        <v>106</v>
      </c>
      <c r="J86" s="7" t="s">
        <v>81</v>
      </c>
      <c r="K86" s="7" t="s">
        <v>60</v>
      </c>
      <c r="L86" s="7">
        <v>591.38</v>
      </c>
      <c r="M86" s="7">
        <v>3</v>
      </c>
      <c r="N86" s="7">
        <v>0.03</v>
      </c>
      <c r="O86" s="7">
        <v>121.83</v>
      </c>
      <c r="P86" s="7" t="s">
        <v>23</v>
      </c>
      <c r="Q86" s="7" t="s">
        <v>24</v>
      </c>
      <c r="R86" s="7">
        <v>5</v>
      </c>
      <c r="S86" s="7">
        <f t="shared" si="4"/>
        <v>2025</v>
      </c>
      <c r="T86" s="7" t="str">
        <f t="shared" si="5"/>
        <v>Jan</v>
      </c>
    </row>
    <row r="87" spans="2:20" x14ac:dyDescent="0.3">
      <c r="B87" s="7">
        <v>86</v>
      </c>
      <c r="C87" s="7" t="s">
        <v>306</v>
      </c>
      <c r="D87" s="7" t="s">
        <v>209</v>
      </c>
      <c r="E87" s="7" t="str">
        <f t="shared" si="3"/>
        <v>May</v>
      </c>
      <c r="F87" s="7" t="s">
        <v>307</v>
      </c>
      <c r="G87" s="7" t="s">
        <v>64</v>
      </c>
      <c r="H87" s="7" t="s">
        <v>51</v>
      </c>
      <c r="I87" s="7" t="s">
        <v>59</v>
      </c>
      <c r="J87" s="7" t="s">
        <v>21</v>
      </c>
      <c r="K87" s="7" t="s">
        <v>60</v>
      </c>
      <c r="L87" s="7">
        <v>949.1</v>
      </c>
      <c r="M87" s="7">
        <v>1</v>
      </c>
      <c r="N87" s="7">
        <v>0.17</v>
      </c>
      <c r="O87" s="7">
        <v>176.2</v>
      </c>
      <c r="P87" s="7" t="s">
        <v>23</v>
      </c>
      <c r="Q87" s="7" t="s">
        <v>32</v>
      </c>
      <c r="R87" s="7">
        <v>9</v>
      </c>
      <c r="S87" s="7">
        <f t="shared" si="4"/>
        <v>2024</v>
      </c>
      <c r="T87" s="7" t="str">
        <f t="shared" si="5"/>
        <v>May</v>
      </c>
    </row>
    <row r="88" spans="2:20" x14ac:dyDescent="0.3">
      <c r="B88" s="7">
        <v>87</v>
      </c>
      <c r="C88" s="7" t="s">
        <v>308</v>
      </c>
      <c r="D88" s="7" t="s">
        <v>309</v>
      </c>
      <c r="E88" s="7" t="str">
        <f t="shared" si="3"/>
        <v>Mar</v>
      </c>
      <c r="F88" s="7" t="s">
        <v>310</v>
      </c>
      <c r="G88" s="7" t="s">
        <v>18</v>
      </c>
      <c r="H88" s="7" t="s">
        <v>45</v>
      </c>
      <c r="I88" s="7" t="s">
        <v>28</v>
      </c>
      <c r="J88" s="7" t="s">
        <v>29</v>
      </c>
      <c r="K88" s="7" t="s">
        <v>30</v>
      </c>
      <c r="L88" s="7">
        <v>24.39</v>
      </c>
      <c r="M88" s="7">
        <v>1</v>
      </c>
      <c r="N88" s="7">
        <v>0.05</v>
      </c>
      <c r="O88" s="7">
        <v>7.42</v>
      </c>
      <c r="P88" s="7" t="s">
        <v>31</v>
      </c>
      <c r="Q88" s="7" t="s">
        <v>32</v>
      </c>
      <c r="R88" s="7">
        <v>9</v>
      </c>
      <c r="S88" s="7">
        <f t="shared" si="4"/>
        <v>2025</v>
      </c>
      <c r="T88" s="7" t="str">
        <f t="shared" si="5"/>
        <v>Mar</v>
      </c>
    </row>
    <row r="89" spans="2:20" x14ac:dyDescent="0.3">
      <c r="B89" s="7">
        <v>88</v>
      </c>
      <c r="C89" s="7" t="s">
        <v>311</v>
      </c>
      <c r="D89" s="7" t="s">
        <v>197</v>
      </c>
      <c r="E89" s="7" t="str">
        <f t="shared" si="3"/>
        <v>Nov</v>
      </c>
      <c r="F89" s="7" t="s">
        <v>312</v>
      </c>
      <c r="G89" s="7" t="s">
        <v>64</v>
      </c>
      <c r="H89" s="7" t="s">
        <v>65</v>
      </c>
      <c r="I89" s="7" t="s">
        <v>38</v>
      </c>
      <c r="J89" s="7" t="s">
        <v>47</v>
      </c>
      <c r="K89" s="7" t="s">
        <v>53</v>
      </c>
      <c r="L89" s="7">
        <v>3145.03</v>
      </c>
      <c r="M89" s="7">
        <v>4</v>
      </c>
      <c r="N89" s="7">
        <v>0.18</v>
      </c>
      <c r="O89" s="7">
        <v>870.26</v>
      </c>
      <c r="P89" s="7" t="s">
        <v>23</v>
      </c>
      <c r="Q89" s="7" t="s">
        <v>40</v>
      </c>
      <c r="R89" s="7">
        <v>7</v>
      </c>
      <c r="S89" s="7">
        <f t="shared" si="4"/>
        <v>2025</v>
      </c>
      <c r="T89" s="7" t="str">
        <f t="shared" si="5"/>
        <v>Nov</v>
      </c>
    </row>
    <row r="90" spans="2:20" x14ac:dyDescent="0.3">
      <c r="B90" s="7">
        <v>89</v>
      </c>
      <c r="C90" s="7" t="s">
        <v>313</v>
      </c>
      <c r="D90" s="7" t="s">
        <v>261</v>
      </c>
      <c r="E90" s="7" t="str">
        <f t="shared" si="3"/>
        <v>Dec</v>
      </c>
      <c r="F90" s="7" t="s">
        <v>314</v>
      </c>
      <c r="G90" s="7" t="s">
        <v>36</v>
      </c>
      <c r="H90" s="7" t="s">
        <v>37</v>
      </c>
      <c r="I90" s="7" t="s">
        <v>28</v>
      </c>
      <c r="J90" s="7" t="s">
        <v>66</v>
      </c>
      <c r="K90" s="7" t="s">
        <v>67</v>
      </c>
      <c r="L90" s="7">
        <v>1825.03</v>
      </c>
      <c r="M90" s="7">
        <v>2</v>
      </c>
      <c r="N90" s="7">
        <v>0.28999999999999998</v>
      </c>
      <c r="O90" s="7">
        <v>410.86</v>
      </c>
      <c r="P90" s="7" t="s">
        <v>54</v>
      </c>
      <c r="Q90" s="7" t="s">
        <v>40</v>
      </c>
      <c r="R90" s="7">
        <v>9</v>
      </c>
      <c r="S90" s="7">
        <f t="shared" si="4"/>
        <v>2024</v>
      </c>
      <c r="T90" s="7" t="str">
        <f t="shared" si="5"/>
        <v>Dec</v>
      </c>
    </row>
    <row r="91" spans="2:20" x14ac:dyDescent="0.3">
      <c r="B91" s="7">
        <v>90</v>
      </c>
      <c r="C91" s="7" t="s">
        <v>315</v>
      </c>
      <c r="D91" s="7" t="s">
        <v>163</v>
      </c>
      <c r="E91" s="7" t="str">
        <f t="shared" si="3"/>
        <v>Mar</v>
      </c>
      <c r="F91" s="7" t="s">
        <v>316</v>
      </c>
      <c r="G91" s="7" t="s">
        <v>102</v>
      </c>
      <c r="H91" s="7" t="s">
        <v>51</v>
      </c>
      <c r="I91" s="7" t="s">
        <v>106</v>
      </c>
      <c r="J91" s="7" t="s">
        <v>29</v>
      </c>
      <c r="K91" s="7" t="s">
        <v>60</v>
      </c>
      <c r="L91" s="7">
        <v>1237.95</v>
      </c>
      <c r="M91" s="7">
        <v>2</v>
      </c>
      <c r="N91" s="7">
        <v>0.04</v>
      </c>
      <c r="O91" s="7">
        <v>401.35</v>
      </c>
      <c r="P91" s="7" t="s">
        <v>31</v>
      </c>
      <c r="Q91" s="7" t="s">
        <v>40</v>
      </c>
      <c r="R91" s="7">
        <v>2</v>
      </c>
      <c r="S91" s="7">
        <f t="shared" si="4"/>
        <v>2025</v>
      </c>
      <c r="T91" s="7" t="str">
        <f t="shared" si="5"/>
        <v>Mar</v>
      </c>
    </row>
    <row r="92" spans="2:20" x14ac:dyDescent="0.3">
      <c r="B92" s="7">
        <v>91</v>
      </c>
      <c r="C92" s="7" t="s">
        <v>317</v>
      </c>
      <c r="D92" s="7" t="s">
        <v>318</v>
      </c>
      <c r="E92" s="7" t="str">
        <f t="shared" si="3"/>
        <v>Feb</v>
      </c>
      <c r="F92" s="7" t="s">
        <v>319</v>
      </c>
      <c r="G92" s="7" t="s">
        <v>18</v>
      </c>
      <c r="H92" s="7" t="s">
        <v>71</v>
      </c>
      <c r="I92" s="7" t="s">
        <v>116</v>
      </c>
      <c r="J92" s="7" t="s">
        <v>29</v>
      </c>
      <c r="K92" s="7" t="s">
        <v>82</v>
      </c>
      <c r="L92" s="7">
        <v>599.38</v>
      </c>
      <c r="M92" s="7">
        <v>2</v>
      </c>
      <c r="N92" s="7">
        <v>0.21</v>
      </c>
      <c r="O92" s="7">
        <v>124.63</v>
      </c>
      <c r="P92" s="7" t="s">
        <v>31</v>
      </c>
      <c r="Q92" s="7" t="s">
        <v>86</v>
      </c>
      <c r="R92" s="7">
        <v>10</v>
      </c>
      <c r="S92" s="7">
        <f t="shared" si="4"/>
        <v>2025</v>
      </c>
      <c r="T92" s="7" t="str">
        <f t="shared" si="5"/>
        <v>Feb</v>
      </c>
    </row>
    <row r="93" spans="2:20" x14ac:dyDescent="0.3">
      <c r="B93" s="7">
        <v>92</v>
      </c>
      <c r="C93" s="7" t="s">
        <v>320</v>
      </c>
      <c r="D93" s="7" t="s">
        <v>100</v>
      </c>
      <c r="E93" s="7" t="str">
        <f t="shared" si="3"/>
        <v>Nov</v>
      </c>
      <c r="F93" s="7" t="s">
        <v>321</v>
      </c>
      <c r="G93" s="7" t="s">
        <v>44</v>
      </c>
      <c r="H93" s="7" t="s">
        <v>45</v>
      </c>
      <c r="I93" s="7" t="s">
        <v>52</v>
      </c>
      <c r="J93" s="7" t="s">
        <v>21</v>
      </c>
      <c r="K93" s="7" t="s">
        <v>76</v>
      </c>
      <c r="L93" s="7">
        <v>274.07</v>
      </c>
      <c r="M93" s="7">
        <v>1</v>
      </c>
      <c r="N93" s="7">
        <v>0.25</v>
      </c>
      <c r="O93" s="7">
        <v>32.090000000000003</v>
      </c>
      <c r="P93" s="7" t="s">
        <v>23</v>
      </c>
      <c r="Q93" s="7" t="s">
        <v>24</v>
      </c>
      <c r="R93" s="7">
        <v>7</v>
      </c>
      <c r="S93" s="7">
        <f t="shared" si="4"/>
        <v>2024</v>
      </c>
      <c r="T93" s="7" t="str">
        <f t="shared" si="5"/>
        <v>Nov</v>
      </c>
    </row>
    <row r="94" spans="2:20" x14ac:dyDescent="0.3">
      <c r="B94" s="7">
        <v>93</v>
      </c>
      <c r="C94" s="7" t="s">
        <v>322</v>
      </c>
      <c r="D94" s="7" t="s">
        <v>323</v>
      </c>
      <c r="E94" s="7" t="str">
        <f t="shared" si="3"/>
        <v>Jun</v>
      </c>
      <c r="F94" s="7" t="s">
        <v>324</v>
      </c>
      <c r="G94" s="7" t="s">
        <v>44</v>
      </c>
      <c r="H94" s="7" t="s">
        <v>71</v>
      </c>
      <c r="I94" s="7" t="s">
        <v>52</v>
      </c>
      <c r="J94" s="7" t="s">
        <v>21</v>
      </c>
      <c r="K94" s="7" t="s">
        <v>39</v>
      </c>
      <c r="L94" s="7">
        <v>1789.56</v>
      </c>
      <c r="M94" s="7">
        <v>3</v>
      </c>
      <c r="N94" s="7">
        <v>0.12</v>
      </c>
      <c r="O94" s="7">
        <v>187.78</v>
      </c>
      <c r="P94" s="7" t="s">
        <v>54</v>
      </c>
      <c r="Q94" s="7" t="s">
        <v>77</v>
      </c>
      <c r="R94" s="7">
        <v>4</v>
      </c>
      <c r="S94" s="7">
        <f t="shared" si="4"/>
        <v>2024</v>
      </c>
      <c r="T94" s="7" t="str">
        <f t="shared" si="5"/>
        <v>Jun</v>
      </c>
    </row>
    <row r="95" spans="2:20" x14ac:dyDescent="0.3">
      <c r="B95" s="7">
        <v>94</v>
      </c>
      <c r="C95" s="7" t="s">
        <v>325</v>
      </c>
      <c r="D95" s="7" t="s">
        <v>326</v>
      </c>
      <c r="E95" s="7" t="str">
        <f t="shared" si="3"/>
        <v>Jun</v>
      </c>
      <c r="F95" s="7" t="s">
        <v>327</v>
      </c>
      <c r="G95" s="7" t="s">
        <v>36</v>
      </c>
      <c r="H95" s="7" t="s">
        <v>65</v>
      </c>
      <c r="I95" s="7" t="s">
        <v>59</v>
      </c>
      <c r="J95" s="7" t="s">
        <v>47</v>
      </c>
      <c r="K95" s="7" t="s">
        <v>76</v>
      </c>
      <c r="L95" s="7">
        <v>2784.15</v>
      </c>
      <c r="M95" s="7">
        <v>5</v>
      </c>
      <c r="N95" s="7">
        <v>0.05</v>
      </c>
      <c r="O95" s="7">
        <v>502.57</v>
      </c>
      <c r="P95" s="7" t="s">
        <v>31</v>
      </c>
      <c r="Q95" s="7" t="s">
        <v>40</v>
      </c>
      <c r="R95" s="7">
        <v>3</v>
      </c>
      <c r="S95" s="7">
        <f t="shared" si="4"/>
        <v>2024</v>
      </c>
      <c r="T95" s="7" t="str">
        <f t="shared" si="5"/>
        <v>Jun</v>
      </c>
    </row>
    <row r="96" spans="2:20" x14ac:dyDescent="0.3">
      <c r="B96" s="7">
        <v>95</v>
      </c>
      <c r="C96" s="7" t="s">
        <v>328</v>
      </c>
      <c r="D96" s="7" t="s">
        <v>329</v>
      </c>
      <c r="E96" s="7" t="str">
        <f t="shared" si="3"/>
        <v>Aug</v>
      </c>
      <c r="F96" s="7" t="s">
        <v>330</v>
      </c>
      <c r="G96" s="7" t="s">
        <v>36</v>
      </c>
      <c r="H96" s="7" t="s">
        <v>19</v>
      </c>
      <c r="I96" s="7" t="s">
        <v>116</v>
      </c>
      <c r="J96" s="7" t="s">
        <v>21</v>
      </c>
      <c r="K96" s="7" t="s">
        <v>53</v>
      </c>
      <c r="L96" s="7">
        <v>3331.8</v>
      </c>
      <c r="M96" s="7">
        <v>5</v>
      </c>
      <c r="N96" s="7">
        <v>0.28999999999999998</v>
      </c>
      <c r="O96" s="7">
        <v>644.66999999999996</v>
      </c>
      <c r="P96" s="7" t="s">
        <v>23</v>
      </c>
      <c r="Q96" s="7" t="s">
        <v>32</v>
      </c>
      <c r="R96" s="7">
        <v>3</v>
      </c>
      <c r="S96" s="7">
        <f t="shared" si="4"/>
        <v>2024</v>
      </c>
      <c r="T96" s="7" t="str">
        <f t="shared" si="5"/>
        <v>Aug</v>
      </c>
    </row>
    <row r="97" spans="2:20" x14ac:dyDescent="0.3">
      <c r="B97" s="7">
        <v>96</v>
      </c>
      <c r="C97" s="7" t="s">
        <v>331</v>
      </c>
      <c r="D97" s="7" t="s">
        <v>203</v>
      </c>
      <c r="E97" s="7" t="str">
        <f t="shared" si="3"/>
        <v>Mar</v>
      </c>
      <c r="F97" s="7" t="s">
        <v>332</v>
      </c>
      <c r="G97" s="7" t="s">
        <v>44</v>
      </c>
      <c r="H97" s="7" t="s">
        <v>45</v>
      </c>
      <c r="I97" s="7" t="s">
        <v>106</v>
      </c>
      <c r="J97" s="7" t="s">
        <v>21</v>
      </c>
      <c r="K97" s="7" t="s">
        <v>72</v>
      </c>
      <c r="L97" s="7">
        <v>1078.25</v>
      </c>
      <c r="M97" s="7">
        <v>2</v>
      </c>
      <c r="N97" s="7">
        <v>0.18</v>
      </c>
      <c r="O97" s="7">
        <v>197.49</v>
      </c>
      <c r="P97" s="7" t="s">
        <v>31</v>
      </c>
      <c r="Q97" s="7" t="s">
        <v>77</v>
      </c>
      <c r="R97" s="7">
        <v>9</v>
      </c>
      <c r="S97" s="7">
        <f t="shared" si="4"/>
        <v>2024</v>
      </c>
      <c r="T97" s="7" t="str">
        <f t="shared" si="5"/>
        <v>Mar</v>
      </c>
    </row>
    <row r="98" spans="2:20" x14ac:dyDescent="0.3">
      <c r="B98" s="7">
        <v>97</v>
      </c>
      <c r="C98" s="7" t="s">
        <v>333</v>
      </c>
      <c r="D98" s="7" t="s">
        <v>334</v>
      </c>
      <c r="E98" s="7" t="str">
        <f t="shared" si="3"/>
        <v>Dec</v>
      </c>
      <c r="F98" s="7" t="s">
        <v>335</v>
      </c>
      <c r="G98" s="7" t="s">
        <v>44</v>
      </c>
      <c r="H98" s="7" t="s">
        <v>58</v>
      </c>
      <c r="I98" s="7" t="s">
        <v>38</v>
      </c>
      <c r="J98" s="7" t="s">
        <v>81</v>
      </c>
      <c r="K98" s="7" t="s">
        <v>60</v>
      </c>
      <c r="L98" s="7">
        <v>625.92999999999995</v>
      </c>
      <c r="M98" s="7">
        <v>1</v>
      </c>
      <c r="N98" s="7">
        <v>0.09</v>
      </c>
      <c r="O98" s="7">
        <v>201.61</v>
      </c>
      <c r="P98" s="7" t="s">
        <v>54</v>
      </c>
      <c r="Q98" s="7" t="s">
        <v>32</v>
      </c>
      <c r="R98" s="7">
        <v>10</v>
      </c>
      <c r="S98" s="7">
        <f t="shared" si="4"/>
        <v>2025</v>
      </c>
      <c r="T98" s="7" t="str">
        <f t="shared" si="5"/>
        <v>Dec</v>
      </c>
    </row>
    <row r="99" spans="2:20" x14ac:dyDescent="0.3">
      <c r="B99" s="7">
        <v>98</v>
      </c>
      <c r="C99" s="7" t="s">
        <v>336</v>
      </c>
      <c r="D99" s="7" t="s">
        <v>337</v>
      </c>
      <c r="E99" s="7" t="str">
        <f t="shared" si="3"/>
        <v>Sep</v>
      </c>
      <c r="F99" s="7" t="s">
        <v>338</v>
      </c>
      <c r="G99" s="7" t="s">
        <v>64</v>
      </c>
      <c r="H99" s="7" t="s">
        <v>65</v>
      </c>
      <c r="I99" s="7" t="s">
        <v>20</v>
      </c>
      <c r="J99" s="7" t="s">
        <v>81</v>
      </c>
      <c r="K99" s="7" t="s">
        <v>30</v>
      </c>
      <c r="L99" s="7">
        <v>1556.58</v>
      </c>
      <c r="M99" s="7">
        <v>4</v>
      </c>
      <c r="N99" s="7">
        <v>0.23</v>
      </c>
      <c r="O99" s="7">
        <v>438.8</v>
      </c>
      <c r="P99" s="7" t="s">
        <v>54</v>
      </c>
      <c r="Q99" s="7" t="s">
        <v>32</v>
      </c>
      <c r="R99" s="7">
        <v>5</v>
      </c>
      <c r="S99" s="7">
        <f t="shared" si="4"/>
        <v>2024</v>
      </c>
      <c r="T99" s="7" t="str">
        <f t="shared" si="5"/>
        <v>Sep</v>
      </c>
    </row>
    <row r="100" spans="2:20" x14ac:dyDescent="0.3">
      <c r="B100" s="7">
        <v>99</v>
      </c>
      <c r="C100" s="7" t="s">
        <v>339</v>
      </c>
      <c r="D100" s="7" t="s">
        <v>340</v>
      </c>
      <c r="E100" s="7" t="str">
        <f t="shared" si="3"/>
        <v>Jan</v>
      </c>
      <c r="F100" s="7" t="s">
        <v>341</v>
      </c>
      <c r="G100" s="7" t="s">
        <v>64</v>
      </c>
      <c r="H100" s="7" t="s">
        <v>65</v>
      </c>
      <c r="I100" s="7" t="s">
        <v>28</v>
      </c>
      <c r="J100" s="7" t="s">
        <v>29</v>
      </c>
      <c r="K100" s="7" t="s">
        <v>72</v>
      </c>
      <c r="L100" s="7">
        <v>792.56</v>
      </c>
      <c r="M100" s="7">
        <v>3</v>
      </c>
      <c r="N100" s="7">
        <v>7.0000000000000007E-2</v>
      </c>
      <c r="O100" s="7">
        <v>140.54</v>
      </c>
      <c r="P100" s="7" t="s">
        <v>54</v>
      </c>
      <c r="Q100" s="7" t="s">
        <v>77</v>
      </c>
      <c r="R100" s="7">
        <v>4</v>
      </c>
      <c r="S100" s="7">
        <f t="shared" si="4"/>
        <v>2025</v>
      </c>
      <c r="T100" s="7" t="str">
        <f t="shared" si="5"/>
        <v>Jan</v>
      </c>
    </row>
    <row r="101" spans="2:20" x14ac:dyDescent="0.3">
      <c r="B101" s="7">
        <v>100</v>
      </c>
      <c r="C101" s="7" t="s">
        <v>342</v>
      </c>
      <c r="D101" s="7" t="s">
        <v>343</v>
      </c>
      <c r="E101" s="7" t="str">
        <f t="shared" si="3"/>
        <v>Nov</v>
      </c>
      <c r="F101" s="7" t="s">
        <v>344</v>
      </c>
      <c r="G101" s="7" t="s">
        <v>36</v>
      </c>
      <c r="H101" s="7" t="s">
        <v>58</v>
      </c>
      <c r="I101" s="7" t="s">
        <v>20</v>
      </c>
      <c r="J101" s="7" t="s">
        <v>21</v>
      </c>
      <c r="K101" s="7" t="s">
        <v>82</v>
      </c>
      <c r="L101" s="7">
        <v>2592.2600000000002</v>
      </c>
      <c r="M101" s="7">
        <v>4</v>
      </c>
      <c r="N101" s="7">
        <v>0.01</v>
      </c>
      <c r="O101" s="7">
        <v>520.85</v>
      </c>
      <c r="P101" s="7" t="s">
        <v>31</v>
      </c>
      <c r="Q101" s="7" t="s">
        <v>77</v>
      </c>
      <c r="R101" s="7">
        <v>3</v>
      </c>
      <c r="S101" s="7">
        <f t="shared" si="4"/>
        <v>2025</v>
      </c>
      <c r="T101" s="7" t="str">
        <f t="shared" si="5"/>
        <v>Nov</v>
      </c>
    </row>
    <row r="102" spans="2:20" x14ac:dyDescent="0.3">
      <c r="B102" s="7">
        <v>101</v>
      </c>
      <c r="C102" s="7" t="s">
        <v>345</v>
      </c>
      <c r="D102" s="7" t="s">
        <v>346</v>
      </c>
      <c r="E102" s="7" t="str">
        <f t="shared" si="3"/>
        <v>Jun</v>
      </c>
      <c r="F102" s="7" t="s">
        <v>347</v>
      </c>
      <c r="G102" s="7" t="s">
        <v>102</v>
      </c>
      <c r="H102" s="7" t="s">
        <v>19</v>
      </c>
      <c r="I102" s="7" t="s">
        <v>59</v>
      </c>
      <c r="J102" s="7" t="s">
        <v>47</v>
      </c>
      <c r="K102" s="7" t="s">
        <v>72</v>
      </c>
      <c r="L102" s="7">
        <v>894.55</v>
      </c>
      <c r="M102" s="7">
        <v>5</v>
      </c>
      <c r="N102" s="7">
        <v>0.13</v>
      </c>
      <c r="O102" s="7">
        <v>169.14</v>
      </c>
      <c r="P102" s="7" t="s">
        <v>31</v>
      </c>
      <c r="Q102" s="7" t="s">
        <v>86</v>
      </c>
      <c r="R102" s="7">
        <v>1</v>
      </c>
      <c r="S102" s="7">
        <f t="shared" si="4"/>
        <v>2024</v>
      </c>
      <c r="T102" s="7" t="str">
        <f t="shared" si="5"/>
        <v>Jun</v>
      </c>
    </row>
    <row r="103" spans="2:20" x14ac:dyDescent="0.3">
      <c r="B103" s="7">
        <v>102</v>
      </c>
      <c r="C103" s="7" t="s">
        <v>348</v>
      </c>
      <c r="D103" s="7" t="s">
        <v>349</v>
      </c>
      <c r="E103" s="7" t="str">
        <f t="shared" si="3"/>
        <v>Apr</v>
      </c>
      <c r="F103" s="7" t="s">
        <v>350</v>
      </c>
      <c r="G103" s="7" t="s">
        <v>102</v>
      </c>
      <c r="H103" s="7" t="s">
        <v>65</v>
      </c>
      <c r="I103" s="7" t="s">
        <v>106</v>
      </c>
      <c r="J103" s="7" t="s">
        <v>21</v>
      </c>
      <c r="K103" s="7" t="s">
        <v>39</v>
      </c>
      <c r="L103" s="7">
        <v>109.07</v>
      </c>
      <c r="M103" s="7">
        <v>5</v>
      </c>
      <c r="N103" s="7">
        <v>0.04</v>
      </c>
      <c r="O103" s="7">
        <v>22.59</v>
      </c>
      <c r="P103" s="7" t="s">
        <v>54</v>
      </c>
      <c r="Q103" s="7" t="s">
        <v>77</v>
      </c>
      <c r="R103" s="7">
        <v>6</v>
      </c>
      <c r="S103" s="7">
        <f t="shared" si="4"/>
        <v>2024</v>
      </c>
      <c r="T103" s="7" t="str">
        <f t="shared" si="5"/>
        <v>Apr</v>
      </c>
    </row>
    <row r="104" spans="2:20" x14ac:dyDescent="0.3">
      <c r="B104" s="7">
        <v>103</v>
      </c>
      <c r="C104" s="7" t="s">
        <v>351</v>
      </c>
      <c r="D104" s="7" t="s">
        <v>352</v>
      </c>
      <c r="E104" s="7" t="str">
        <f t="shared" si="3"/>
        <v>Nov</v>
      </c>
      <c r="F104" s="7" t="s">
        <v>353</v>
      </c>
      <c r="G104" s="7" t="s">
        <v>36</v>
      </c>
      <c r="H104" s="7" t="s">
        <v>65</v>
      </c>
      <c r="I104" s="7" t="s">
        <v>38</v>
      </c>
      <c r="J104" s="7" t="s">
        <v>66</v>
      </c>
      <c r="K104" s="7" t="s">
        <v>30</v>
      </c>
      <c r="L104" s="7">
        <v>60.98</v>
      </c>
      <c r="M104" s="7">
        <v>3</v>
      </c>
      <c r="N104" s="7">
        <v>0.28999999999999998</v>
      </c>
      <c r="O104" s="7">
        <v>13.21</v>
      </c>
      <c r="P104" s="7" t="s">
        <v>54</v>
      </c>
      <c r="Q104" s="7" t="s">
        <v>77</v>
      </c>
      <c r="R104" s="7">
        <v>8</v>
      </c>
      <c r="S104" s="7">
        <f t="shared" si="4"/>
        <v>2025</v>
      </c>
      <c r="T104" s="7" t="str">
        <f t="shared" si="5"/>
        <v>Nov</v>
      </c>
    </row>
    <row r="105" spans="2:20" x14ac:dyDescent="0.3">
      <c r="B105" s="7">
        <v>104</v>
      </c>
      <c r="C105" s="7" t="s">
        <v>354</v>
      </c>
      <c r="D105" s="7" t="s">
        <v>355</v>
      </c>
      <c r="E105" s="7" t="str">
        <f t="shared" si="3"/>
        <v>Sep</v>
      </c>
      <c r="F105" s="7" t="s">
        <v>356</v>
      </c>
      <c r="G105" s="7" t="s">
        <v>102</v>
      </c>
      <c r="H105" s="7" t="s">
        <v>71</v>
      </c>
      <c r="I105" s="7" t="s">
        <v>20</v>
      </c>
      <c r="J105" s="7" t="s">
        <v>66</v>
      </c>
      <c r="K105" s="7" t="s">
        <v>53</v>
      </c>
      <c r="L105" s="7">
        <v>1237.51</v>
      </c>
      <c r="M105" s="7">
        <v>2</v>
      </c>
      <c r="N105" s="7">
        <v>0.18</v>
      </c>
      <c r="O105" s="7">
        <v>213.56</v>
      </c>
      <c r="P105" s="7" t="s">
        <v>31</v>
      </c>
      <c r="Q105" s="7" t="s">
        <v>40</v>
      </c>
      <c r="R105" s="7">
        <v>10</v>
      </c>
      <c r="S105" s="7">
        <f t="shared" si="4"/>
        <v>2024</v>
      </c>
      <c r="T105" s="7" t="str">
        <f t="shared" si="5"/>
        <v>Sep</v>
      </c>
    </row>
    <row r="106" spans="2:20" x14ac:dyDescent="0.3">
      <c r="B106" s="7">
        <v>105</v>
      </c>
      <c r="C106" s="7" t="s">
        <v>357</v>
      </c>
      <c r="D106" s="7" t="s">
        <v>358</v>
      </c>
      <c r="E106" s="7" t="str">
        <f t="shared" si="3"/>
        <v>Apr</v>
      </c>
      <c r="F106" s="7" t="s">
        <v>359</v>
      </c>
      <c r="G106" s="7" t="s">
        <v>36</v>
      </c>
      <c r="H106" s="7" t="s">
        <v>37</v>
      </c>
      <c r="I106" s="7" t="s">
        <v>20</v>
      </c>
      <c r="J106" s="7" t="s">
        <v>81</v>
      </c>
      <c r="K106" s="7" t="s">
        <v>39</v>
      </c>
      <c r="L106" s="7">
        <v>1308</v>
      </c>
      <c r="M106" s="7">
        <v>5</v>
      </c>
      <c r="N106" s="7">
        <v>0.03</v>
      </c>
      <c r="O106" s="7">
        <v>264.02999999999997</v>
      </c>
      <c r="P106" s="7" t="s">
        <v>54</v>
      </c>
      <c r="Q106" s="7" t="s">
        <v>24</v>
      </c>
      <c r="R106" s="7">
        <v>4</v>
      </c>
      <c r="S106" s="7">
        <f t="shared" si="4"/>
        <v>2025</v>
      </c>
      <c r="T106" s="7" t="str">
        <f t="shared" si="5"/>
        <v>Apr</v>
      </c>
    </row>
    <row r="107" spans="2:20" x14ac:dyDescent="0.3">
      <c r="B107" s="7">
        <v>106</v>
      </c>
      <c r="C107" s="7" t="s">
        <v>360</v>
      </c>
      <c r="D107" s="7" t="s">
        <v>361</v>
      </c>
      <c r="E107" s="7" t="str">
        <f t="shared" si="3"/>
        <v>Jul</v>
      </c>
      <c r="F107" s="7" t="s">
        <v>362</v>
      </c>
      <c r="G107" s="7" t="s">
        <v>36</v>
      </c>
      <c r="H107" s="7" t="s">
        <v>65</v>
      </c>
      <c r="I107" s="7" t="s">
        <v>106</v>
      </c>
      <c r="J107" s="7" t="s">
        <v>66</v>
      </c>
      <c r="K107" s="7" t="s">
        <v>30</v>
      </c>
      <c r="L107" s="7">
        <v>1324.83</v>
      </c>
      <c r="M107" s="7">
        <v>5</v>
      </c>
      <c r="N107" s="7">
        <v>0.08</v>
      </c>
      <c r="O107" s="7">
        <v>263.04000000000002</v>
      </c>
      <c r="P107" s="7" t="s">
        <v>23</v>
      </c>
      <c r="Q107" s="7" t="s">
        <v>86</v>
      </c>
      <c r="R107" s="7">
        <v>10</v>
      </c>
      <c r="S107" s="7">
        <f t="shared" si="4"/>
        <v>2025</v>
      </c>
      <c r="T107" s="7" t="str">
        <f t="shared" si="5"/>
        <v>Jul</v>
      </c>
    </row>
    <row r="108" spans="2:20" x14ac:dyDescent="0.3">
      <c r="B108" s="7">
        <v>107</v>
      </c>
      <c r="C108" s="7" t="s">
        <v>363</v>
      </c>
      <c r="D108" s="7" t="s">
        <v>364</v>
      </c>
      <c r="E108" s="7" t="str">
        <f t="shared" si="3"/>
        <v>May</v>
      </c>
      <c r="F108" s="7" t="s">
        <v>365</v>
      </c>
      <c r="G108" s="7" t="s">
        <v>64</v>
      </c>
      <c r="H108" s="7" t="s">
        <v>65</v>
      </c>
      <c r="I108" s="7" t="s">
        <v>52</v>
      </c>
      <c r="J108" s="7" t="s">
        <v>66</v>
      </c>
      <c r="K108" s="7" t="s">
        <v>82</v>
      </c>
      <c r="L108" s="7">
        <v>525.29999999999995</v>
      </c>
      <c r="M108" s="7">
        <v>2</v>
      </c>
      <c r="N108" s="7">
        <v>0.08</v>
      </c>
      <c r="O108" s="7">
        <v>164.86</v>
      </c>
      <c r="P108" s="7" t="s">
        <v>23</v>
      </c>
      <c r="Q108" s="7" t="s">
        <v>86</v>
      </c>
      <c r="R108" s="7">
        <v>10</v>
      </c>
      <c r="S108" s="7">
        <f t="shared" si="4"/>
        <v>2024</v>
      </c>
      <c r="T108" s="7" t="str">
        <f t="shared" si="5"/>
        <v>May</v>
      </c>
    </row>
    <row r="109" spans="2:20" x14ac:dyDescent="0.3">
      <c r="B109" s="7">
        <v>108</v>
      </c>
      <c r="C109" s="7" t="s">
        <v>366</v>
      </c>
      <c r="D109" s="7" t="s">
        <v>367</v>
      </c>
      <c r="E109" s="7" t="str">
        <f t="shared" si="3"/>
        <v>Jul</v>
      </c>
      <c r="F109" s="7" t="s">
        <v>368</v>
      </c>
      <c r="G109" s="7" t="s">
        <v>36</v>
      </c>
      <c r="H109" s="7" t="s">
        <v>51</v>
      </c>
      <c r="I109" s="7" t="s">
        <v>20</v>
      </c>
      <c r="J109" s="7" t="s">
        <v>21</v>
      </c>
      <c r="K109" s="7" t="s">
        <v>22</v>
      </c>
      <c r="L109" s="7">
        <v>3203.77</v>
      </c>
      <c r="M109" s="7">
        <v>5</v>
      </c>
      <c r="N109" s="7">
        <v>0.1</v>
      </c>
      <c r="O109" s="7">
        <v>940.03</v>
      </c>
      <c r="P109" s="7" t="s">
        <v>54</v>
      </c>
      <c r="Q109" s="7" t="s">
        <v>86</v>
      </c>
      <c r="R109" s="7">
        <v>8</v>
      </c>
      <c r="S109" s="7">
        <f t="shared" si="4"/>
        <v>2024</v>
      </c>
      <c r="T109" s="7" t="str">
        <f t="shared" si="5"/>
        <v>Jul</v>
      </c>
    </row>
    <row r="110" spans="2:20" x14ac:dyDescent="0.3">
      <c r="B110" s="7">
        <v>109</v>
      </c>
      <c r="C110" s="7" t="s">
        <v>369</v>
      </c>
      <c r="D110" s="7" t="s">
        <v>370</v>
      </c>
      <c r="E110" s="7" t="str">
        <f t="shared" si="3"/>
        <v>Aug</v>
      </c>
      <c r="F110" s="7" t="s">
        <v>371</v>
      </c>
      <c r="G110" s="7" t="s">
        <v>18</v>
      </c>
      <c r="H110" s="7" t="s">
        <v>58</v>
      </c>
      <c r="I110" s="7" t="s">
        <v>46</v>
      </c>
      <c r="J110" s="7" t="s">
        <v>21</v>
      </c>
      <c r="K110" s="7" t="s">
        <v>30</v>
      </c>
      <c r="L110" s="7">
        <v>2697.95</v>
      </c>
      <c r="M110" s="7">
        <v>3</v>
      </c>
      <c r="N110" s="7">
        <v>0.28000000000000003</v>
      </c>
      <c r="O110" s="7">
        <v>487.21</v>
      </c>
      <c r="P110" s="7" t="s">
        <v>31</v>
      </c>
      <c r="Q110" s="7" t="s">
        <v>40</v>
      </c>
      <c r="R110" s="7">
        <v>5</v>
      </c>
      <c r="S110" s="7">
        <f t="shared" si="4"/>
        <v>2025</v>
      </c>
      <c r="T110" s="7" t="str">
        <f t="shared" si="5"/>
        <v>Aug</v>
      </c>
    </row>
    <row r="111" spans="2:20" x14ac:dyDescent="0.3">
      <c r="B111" s="7">
        <v>110</v>
      </c>
      <c r="C111" s="7" t="s">
        <v>372</v>
      </c>
      <c r="D111" s="7" t="s">
        <v>373</v>
      </c>
      <c r="E111" s="7" t="str">
        <f t="shared" si="3"/>
        <v>Mar</v>
      </c>
      <c r="F111" s="7" t="s">
        <v>374</v>
      </c>
      <c r="G111" s="7" t="s">
        <v>36</v>
      </c>
      <c r="H111" s="7" t="s">
        <v>51</v>
      </c>
      <c r="I111" s="7" t="s">
        <v>52</v>
      </c>
      <c r="J111" s="7" t="s">
        <v>66</v>
      </c>
      <c r="K111" s="7" t="s">
        <v>67</v>
      </c>
      <c r="L111" s="7">
        <v>1448.32</v>
      </c>
      <c r="M111" s="7">
        <v>4</v>
      </c>
      <c r="N111" s="7">
        <v>0.23</v>
      </c>
      <c r="O111" s="7">
        <v>480.33</v>
      </c>
      <c r="P111" s="7" t="s">
        <v>54</v>
      </c>
      <c r="Q111" s="7" t="s">
        <v>40</v>
      </c>
      <c r="R111" s="7">
        <v>7</v>
      </c>
      <c r="S111" s="7">
        <f t="shared" si="4"/>
        <v>2025</v>
      </c>
      <c r="T111" s="7" t="str">
        <f t="shared" si="5"/>
        <v>Mar</v>
      </c>
    </row>
    <row r="112" spans="2:20" x14ac:dyDescent="0.3">
      <c r="B112" s="7">
        <v>111</v>
      </c>
      <c r="C112" s="7" t="s">
        <v>375</v>
      </c>
      <c r="D112" s="7" t="s">
        <v>376</v>
      </c>
      <c r="E112" s="7" t="str">
        <f t="shared" si="3"/>
        <v>Aug</v>
      </c>
      <c r="F112" s="7" t="s">
        <v>377</v>
      </c>
      <c r="G112" s="7" t="s">
        <v>64</v>
      </c>
      <c r="H112" s="7" t="s">
        <v>65</v>
      </c>
      <c r="I112" s="7" t="s">
        <v>52</v>
      </c>
      <c r="J112" s="7" t="s">
        <v>47</v>
      </c>
      <c r="K112" s="7" t="s">
        <v>67</v>
      </c>
      <c r="L112" s="7">
        <v>454.04</v>
      </c>
      <c r="M112" s="7">
        <v>5</v>
      </c>
      <c r="N112" s="7">
        <v>0.26</v>
      </c>
      <c r="O112" s="7">
        <v>86.87</v>
      </c>
      <c r="P112" s="7" t="s">
        <v>23</v>
      </c>
      <c r="Q112" s="7" t="s">
        <v>77</v>
      </c>
      <c r="R112" s="7">
        <v>10</v>
      </c>
      <c r="S112" s="7">
        <f t="shared" si="4"/>
        <v>2024</v>
      </c>
      <c r="T112" s="7" t="str">
        <f t="shared" si="5"/>
        <v>Aug</v>
      </c>
    </row>
    <row r="113" spans="2:20" x14ac:dyDescent="0.3">
      <c r="B113" s="7">
        <v>112</v>
      </c>
      <c r="C113" s="7" t="s">
        <v>378</v>
      </c>
      <c r="D113" s="7" t="s">
        <v>379</v>
      </c>
      <c r="E113" s="7" t="str">
        <f t="shared" si="3"/>
        <v>Oct</v>
      </c>
      <c r="F113" s="7" t="s">
        <v>380</v>
      </c>
      <c r="G113" s="7" t="s">
        <v>64</v>
      </c>
      <c r="H113" s="7" t="s">
        <v>58</v>
      </c>
      <c r="I113" s="7" t="s">
        <v>59</v>
      </c>
      <c r="J113" s="7" t="s">
        <v>21</v>
      </c>
      <c r="K113" s="7" t="s">
        <v>39</v>
      </c>
      <c r="L113" s="7">
        <v>3889.47</v>
      </c>
      <c r="M113" s="7">
        <v>4</v>
      </c>
      <c r="N113" s="7">
        <v>0.06</v>
      </c>
      <c r="O113" s="7">
        <v>434.05</v>
      </c>
      <c r="P113" s="7" t="s">
        <v>54</v>
      </c>
      <c r="Q113" s="7" t="s">
        <v>32</v>
      </c>
      <c r="R113" s="7">
        <v>10</v>
      </c>
      <c r="S113" s="7">
        <f t="shared" si="4"/>
        <v>2025</v>
      </c>
      <c r="T113" s="7" t="str">
        <f t="shared" si="5"/>
        <v>Oct</v>
      </c>
    </row>
    <row r="114" spans="2:20" x14ac:dyDescent="0.3">
      <c r="B114" s="7">
        <v>113</v>
      </c>
      <c r="C114" s="7" t="s">
        <v>381</v>
      </c>
      <c r="D114" s="7" t="s">
        <v>326</v>
      </c>
      <c r="E114" s="7" t="str">
        <f t="shared" si="3"/>
        <v>Jun</v>
      </c>
      <c r="F114" s="7" t="s">
        <v>382</v>
      </c>
      <c r="G114" s="7" t="s">
        <v>44</v>
      </c>
      <c r="H114" s="7" t="s">
        <v>45</v>
      </c>
      <c r="I114" s="7" t="s">
        <v>46</v>
      </c>
      <c r="J114" s="7" t="s">
        <v>66</v>
      </c>
      <c r="K114" s="7" t="s">
        <v>30</v>
      </c>
      <c r="L114" s="7">
        <v>167.96</v>
      </c>
      <c r="M114" s="7">
        <v>1</v>
      </c>
      <c r="N114" s="7">
        <v>0.04</v>
      </c>
      <c r="O114" s="7">
        <v>55.46</v>
      </c>
      <c r="P114" s="7" t="s">
        <v>54</v>
      </c>
      <c r="Q114" s="7" t="s">
        <v>32</v>
      </c>
      <c r="R114" s="7">
        <v>6</v>
      </c>
      <c r="S114" s="7">
        <f t="shared" si="4"/>
        <v>2024</v>
      </c>
      <c r="T114" s="7" t="str">
        <f t="shared" si="5"/>
        <v>Jun</v>
      </c>
    </row>
    <row r="115" spans="2:20" x14ac:dyDescent="0.3">
      <c r="B115" s="7">
        <v>114</v>
      </c>
      <c r="C115" s="7" t="s">
        <v>383</v>
      </c>
      <c r="D115" s="7" t="s">
        <v>384</v>
      </c>
      <c r="E115" s="7" t="str">
        <f t="shared" si="3"/>
        <v>Dec</v>
      </c>
      <c r="F115" s="7" t="s">
        <v>385</v>
      </c>
      <c r="G115" s="7" t="s">
        <v>36</v>
      </c>
      <c r="H115" s="7" t="s">
        <v>71</v>
      </c>
      <c r="I115" s="7" t="s">
        <v>106</v>
      </c>
      <c r="J115" s="7" t="s">
        <v>47</v>
      </c>
      <c r="K115" s="7" t="s">
        <v>67</v>
      </c>
      <c r="L115" s="7">
        <v>3150.19</v>
      </c>
      <c r="M115" s="7">
        <v>5</v>
      </c>
      <c r="N115" s="7">
        <v>0.03</v>
      </c>
      <c r="O115" s="7">
        <v>317.31</v>
      </c>
      <c r="P115" s="7" t="s">
        <v>54</v>
      </c>
      <c r="Q115" s="7" t="s">
        <v>86</v>
      </c>
      <c r="R115" s="7">
        <v>1</v>
      </c>
      <c r="S115" s="7">
        <f t="shared" si="4"/>
        <v>2025</v>
      </c>
      <c r="T115" s="7" t="str">
        <f t="shared" si="5"/>
        <v>Dec</v>
      </c>
    </row>
    <row r="116" spans="2:20" x14ac:dyDescent="0.3">
      <c r="B116" s="7">
        <v>115</v>
      </c>
      <c r="C116" s="7" t="s">
        <v>386</v>
      </c>
      <c r="D116" s="7" t="s">
        <v>387</v>
      </c>
      <c r="E116" s="7" t="str">
        <f t="shared" si="3"/>
        <v>Dec</v>
      </c>
      <c r="F116" s="7" t="s">
        <v>388</v>
      </c>
      <c r="G116" s="7" t="s">
        <v>64</v>
      </c>
      <c r="H116" s="7" t="s">
        <v>37</v>
      </c>
      <c r="I116" s="7" t="s">
        <v>46</v>
      </c>
      <c r="J116" s="7" t="s">
        <v>66</v>
      </c>
      <c r="K116" s="7" t="s">
        <v>76</v>
      </c>
      <c r="L116" s="7">
        <v>267.70999999999998</v>
      </c>
      <c r="M116" s="7">
        <v>1</v>
      </c>
      <c r="N116" s="7">
        <v>0.05</v>
      </c>
      <c r="O116" s="7">
        <v>46.99</v>
      </c>
      <c r="P116" s="7" t="s">
        <v>31</v>
      </c>
      <c r="Q116" s="7" t="s">
        <v>86</v>
      </c>
      <c r="R116" s="7">
        <v>9</v>
      </c>
      <c r="S116" s="7">
        <f t="shared" si="4"/>
        <v>2024</v>
      </c>
      <c r="T116" s="7" t="str">
        <f t="shared" si="5"/>
        <v>Dec</v>
      </c>
    </row>
    <row r="117" spans="2:20" x14ac:dyDescent="0.3">
      <c r="B117" s="7">
        <v>116</v>
      </c>
      <c r="C117" s="7" t="s">
        <v>389</v>
      </c>
      <c r="D117" s="7" t="s">
        <v>390</v>
      </c>
      <c r="E117" s="7" t="str">
        <f t="shared" si="3"/>
        <v>Aug</v>
      </c>
      <c r="F117" s="7" t="s">
        <v>391</v>
      </c>
      <c r="G117" s="7" t="s">
        <v>64</v>
      </c>
      <c r="H117" s="7" t="s">
        <v>71</v>
      </c>
      <c r="I117" s="7" t="s">
        <v>46</v>
      </c>
      <c r="J117" s="7" t="s">
        <v>47</v>
      </c>
      <c r="K117" s="7" t="s">
        <v>53</v>
      </c>
      <c r="L117" s="7">
        <v>218.95</v>
      </c>
      <c r="M117" s="7">
        <v>2</v>
      </c>
      <c r="N117" s="7">
        <v>0.08</v>
      </c>
      <c r="O117" s="7">
        <v>75.87</v>
      </c>
      <c r="P117" s="7" t="s">
        <v>23</v>
      </c>
      <c r="Q117" s="7" t="s">
        <v>77</v>
      </c>
      <c r="R117" s="7">
        <v>5</v>
      </c>
      <c r="S117" s="7">
        <f t="shared" si="4"/>
        <v>2025</v>
      </c>
      <c r="T117" s="7" t="str">
        <f t="shared" si="5"/>
        <v>Aug</v>
      </c>
    </row>
    <row r="118" spans="2:20" x14ac:dyDescent="0.3">
      <c r="B118" s="7">
        <v>117</v>
      </c>
      <c r="C118" s="7" t="s">
        <v>392</v>
      </c>
      <c r="D118" s="7" t="s">
        <v>393</v>
      </c>
      <c r="E118" s="7" t="str">
        <f t="shared" si="3"/>
        <v>Nov</v>
      </c>
      <c r="F118" s="7" t="s">
        <v>394</v>
      </c>
      <c r="G118" s="7" t="s">
        <v>18</v>
      </c>
      <c r="H118" s="7" t="s">
        <v>58</v>
      </c>
      <c r="I118" s="7" t="s">
        <v>59</v>
      </c>
      <c r="J118" s="7" t="s">
        <v>21</v>
      </c>
      <c r="K118" s="7" t="s">
        <v>82</v>
      </c>
      <c r="L118" s="7">
        <v>1889.81</v>
      </c>
      <c r="M118" s="7">
        <v>2</v>
      </c>
      <c r="N118" s="7">
        <v>0.26</v>
      </c>
      <c r="O118" s="7">
        <v>552.67999999999995</v>
      </c>
      <c r="P118" s="7" t="s">
        <v>23</v>
      </c>
      <c r="Q118" s="7" t="s">
        <v>77</v>
      </c>
      <c r="R118" s="7">
        <v>1</v>
      </c>
      <c r="S118" s="7">
        <f t="shared" si="4"/>
        <v>2025</v>
      </c>
      <c r="T118" s="7" t="str">
        <f t="shared" si="5"/>
        <v>Nov</v>
      </c>
    </row>
    <row r="119" spans="2:20" x14ac:dyDescent="0.3">
      <c r="B119" s="7">
        <v>118</v>
      </c>
      <c r="C119" s="7" t="s">
        <v>395</v>
      </c>
      <c r="D119" s="7" t="s">
        <v>396</v>
      </c>
      <c r="E119" s="7" t="str">
        <f t="shared" si="3"/>
        <v>Oct</v>
      </c>
      <c r="F119" s="7" t="s">
        <v>397</v>
      </c>
      <c r="G119" s="7" t="s">
        <v>18</v>
      </c>
      <c r="H119" s="7" t="s">
        <v>37</v>
      </c>
      <c r="I119" s="7" t="s">
        <v>46</v>
      </c>
      <c r="J119" s="7" t="s">
        <v>21</v>
      </c>
      <c r="K119" s="7" t="s">
        <v>67</v>
      </c>
      <c r="L119" s="7">
        <v>1678.93</v>
      </c>
      <c r="M119" s="7">
        <v>3</v>
      </c>
      <c r="N119" s="7">
        <v>0.18</v>
      </c>
      <c r="O119" s="7">
        <v>583.16</v>
      </c>
      <c r="P119" s="7" t="s">
        <v>31</v>
      </c>
      <c r="Q119" s="7" t="s">
        <v>77</v>
      </c>
      <c r="R119" s="7">
        <v>7</v>
      </c>
      <c r="S119" s="7">
        <f t="shared" si="4"/>
        <v>2025</v>
      </c>
      <c r="T119" s="7" t="str">
        <f t="shared" si="5"/>
        <v>Oct</v>
      </c>
    </row>
    <row r="120" spans="2:20" x14ac:dyDescent="0.3">
      <c r="B120" s="7">
        <v>119</v>
      </c>
      <c r="C120" s="7" t="s">
        <v>398</v>
      </c>
      <c r="D120" s="7" t="s">
        <v>399</v>
      </c>
      <c r="E120" s="7" t="str">
        <f t="shared" si="3"/>
        <v>Nov</v>
      </c>
      <c r="F120" s="7" t="s">
        <v>400</v>
      </c>
      <c r="G120" s="7" t="s">
        <v>64</v>
      </c>
      <c r="H120" s="7" t="s">
        <v>19</v>
      </c>
      <c r="I120" s="7" t="s">
        <v>52</v>
      </c>
      <c r="J120" s="7" t="s">
        <v>66</v>
      </c>
      <c r="K120" s="7" t="s">
        <v>30</v>
      </c>
      <c r="L120" s="7">
        <v>493.89</v>
      </c>
      <c r="M120" s="7">
        <v>1</v>
      </c>
      <c r="N120" s="7">
        <v>0.24</v>
      </c>
      <c r="O120" s="7">
        <v>111.99</v>
      </c>
      <c r="P120" s="7" t="s">
        <v>54</v>
      </c>
      <c r="Q120" s="7" t="s">
        <v>24</v>
      </c>
      <c r="R120" s="7">
        <v>5</v>
      </c>
      <c r="S120" s="7">
        <f t="shared" si="4"/>
        <v>2025</v>
      </c>
      <c r="T120" s="7" t="str">
        <f t="shared" si="5"/>
        <v>Nov</v>
      </c>
    </row>
    <row r="121" spans="2:20" x14ac:dyDescent="0.3">
      <c r="B121" s="7">
        <v>120</v>
      </c>
      <c r="C121" s="7" t="s">
        <v>401</v>
      </c>
      <c r="D121" s="7" t="s">
        <v>49</v>
      </c>
      <c r="E121" s="7" t="str">
        <f t="shared" si="3"/>
        <v>May</v>
      </c>
      <c r="F121" s="7" t="s">
        <v>402</v>
      </c>
      <c r="G121" s="7" t="s">
        <v>64</v>
      </c>
      <c r="H121" s="7" t="s">
        <v>45</v>
      </c>
      <c r="I121" s="7" t="s">
        <v>38</v>
      </c>
      <c r="J121" s="7" t="s">
        <v>66</v>
      </c>
      <c r="K121" s="7" t="s">
        <v>53</v>
      </c>
      <c r="L121" s="7">
        <v>281.60000000000002</v>
      </c>
      <c r="M121" s="7">
        <v>1</v>
      </c>
      <c r="N121" s="7">
        <v>0.03</v>
      </c>
      <c r="O121" s="7">
        <v>54.13</v>
      </c>
      <c r="P121" s="7" t="s">
        <v>54</v>
      </c>
      <c r="Q121" s="7" t="s">
        <v>24</v>
      </c>
      <c r="R121" s="7">
        <v>4</v>
      </c>
      <c r="S121" s="7">
        <f t="shared" si="4"/>
        <v>2024</v>
      </c>
      <c r="T121" s="7" t="str">
        <f t="shared" si="5"/>
        <v>May</v>
      </c>
    </row>
    <row r="122" spans="2:20" x14ac:dyDescent="0.3">
      <c r="B122" s="7">
        <v>121</v>
      </c>
      <c r="C122" s="7" t="s">
        <v>403</v>
      </c>
      <c r="D122" s="7" t="s">
        <v>241</v>
      </c>
      <c r="E122" s="7" t="str">
        <f t="shared" si="3"/>
        <v>Dec</v>
      </c>
      <c r="F122" s="7" t="s">
        <v>404</v>
      </c>
      <c r="G122" s="7" t="s">
        <v>18</v>
      </c>
      <c r="H122" s="7" t="s">
        <v>71</v>
      </c>
      <c r="I122" s="7" t="s">
        <v>116</v>
      </c>
      <c r="J122" s="7" t="s">
        <v>81</v>
      </c>
      <c r="K122" s="7" t="s">
        <v>82</v>
      </c>
      <c r="L122" s="7">
        <v>914.3</v>
      </c>
      <c r="M122" s="7">
        <v>2</v>
      </c>
      <c r="N122" s="7">
        <v>0.26</v>
      </c>
      <c r="O122" s="7">
        <v>304.18</v>
      </c>
      <c r="P122" s="7" t="s">
        <v>54</v>
      </c>
      <c r="Q122" s="7" t="s">
        <v>24</v>
      </c>
      <c r="R122" s="7">
        <v>9</v>
      </c>
      <c r="S122" s="7">
        <f t="shared" si="4"/>
        <v>2024</v>
      </c>
      <c r="T122" s="7" t="str">
        <f t="shared" si="5"/>
        <v>Dec</v>
      </c>
    </row>
    <row r="123" spans="2:20" x14ac:dyDescent="0.3">
      <c r="B123" s="7">
        <v>122</v>
      </c>
      <c r="C123" s="7" t="s">
        <v>405</v>
      </c>
      <c r="D123" s="7" t="s">
        <v>406</v>
      </c>
      <c r="E123" s="7" t="str">
        <f t="shared" si="3"/>
        <v>Feb</v>
      </c>
      <c r="F123" s="7" t="s">
        <v>407</v>
      </c>
      <c r="G123" s="7" t="s">
        <v>18</v>
      </c>
      <c r="H123" s="7" t="s">
        <v>19</v>
      </c>
      <c r="I123" s="7" t="s">
        <v>59</v>
      </c>
      <c r="J123" s="7" t="s">
        <v>81</v>
      </c>
      <c r="K123" s="7" t="s">
        <v>39</v>
      </c>
      <c r="L123" s="7">
        <v>785.03</v>
      </c>
      <c r="M123" s="7">
        <v>3</v>
      </c>
      <c r="N123" s="7">
        <v>0.27</v>
      </c>
      <c r="O123" s="7">
        <v>143.30000000000001</v>
      </c>
      <c r="P123" s="7" t="s">
        <v>54</v>
      </c>
      <c r="Q123" s="7" t="s">
        <v>24</v>
      </c>
      <c r="R123" s="7">
        <v>3</v>
      </c>
      <c r="S123" s="7">
        <f t="shared" si="4"/>
        <v>2025</v>
      </c>
      <c r="T123" s="7" t="str">
        <f t="shared" si="5"/>
        <v>Feb</v>
      </c>
    </row>
    <row r="124" spans="2:20" x14ac:dyDescent="0.3">
      <c r="B124" s="7">
        <v>123</v>
      </c>
      <c r="C124" s="7" t="s">
        <v>408</v>
      </c>
      <c r="D124" s="7" t="s">
        <v>409</v>
      </c>
      <c r="E124" s="7" t="str">
        <f t="shared" si="3"/>
        <v>Jul</v>
      </c>
      <c r="F124" s="7" t="s">
        <v>410</v>
      </c>
      <c r="G124" s="7" t="s">
        <v>18</v>
      </c>
      <c r="H124" s="7" t="s">
        <v>19</v>
      </c>
      <c r="I124" s="7" t="s">
        <v>46</v>
      </c>
      <c r="J124" s="7" t="s">
        <v>21</v>
      </c>
      <c r="K124" s="7" t="s">
        <v>76</v>
      </c>
      <c r="L124" s="7">
        <v>906.39</v>
      </c>
      <c r="M124" s="7">
        <v>4</v>
      </c>
      <c r="N124" s="7">
        <v>0.01</v>
      </c>
      <c r="O124" s="7">
        <v>285.77</v>
      </c>
      <c r="P124" s="7" t="s">
        <v>54</v>
      </c>
      <c r="Q124" s="7" t="s">
        <v>40</v>
      </c>
      <c r="R124" s="7">
        <v>4</v>
      </c>
      <c r="S124" s="7">
        <f t="shared" si="4"/>
        <v>2024</v>
      </c>
      <c r="T124" s="7" t="str">
        <f t="shared" si="5"/>
        <v>Jul</v>
      </c>
    </row>
    <row r="125" spans="2:20" x14ac:dyDescent="0.3">
      <c r="B125" s="7">
        <v>124</v>
      </c>
      <c r="C125" s="7" t="s">
        <v>411</v>
      </c>
      <c r="D125" s="7" t="s">
        <v>412</v>
      </c>
      <c r="E125" s="7" t="str">
        <f t="shared" si="3"/>
        <v>May</v>
      </c>
      <c r="F125" s="7" t="s">
        <v>413</v>
      </c>
      <c r="G125" s="7" t="s">
        <v>36</v>
      </c>
      <c r="H125" s="7" t="s">
        <v>65</v>
      </c>
      <c r="I125" s="7" t="s">
        <v>38</v>
      </c>
      <c r="J125" s="7" t="s">
        <v>47</v>
      </c>
      <c r="K125" s="7" t="s">
        <v>39</v>
      </c>
      <c r="L125" s="7">
        <v>451.74</v>
      </c>
      <c r="M125" s="7">
        <v>3</v>
      </c>
      <c r="N125" s="7">
        <v>0.03</v>
      </c>
      <c r="O125" s="7">
        <v>47.98</v>
      </c>
      <c r="P125" s="7" t="s">
        <v>31</v>
      </c>
      <c r="Q125" s="7" t="s">
        <v>32</v>
      </c>
      <c r="R125" s="7">
        <v>7</v>
      </c>
      <c r="S125" s="7">
        <f t="shared" si="4"/>
        <v>2025</v>
      </c>
      <c r="T125" s="7" t="str">
        <f t="shared" si="5"/>
        <v>May</v>
      </c>
    </row>
    <row r="126" spans="2:20" x14ac:dyDescent="0.3">
      <c r="B126" s="7">
        <v>125</v>
      </c>
      <c r="C126" s="7" t="s">
        <v>414</v>
      </c>
      <c r="D126" s="7" t="s">
        <v>415</v>
      </c>
      <c r="E126" s="7" t="str">
        <f t="shared" si="3"/>
        <v>Dec</v>
      </c>
      <c r="F126" s="7" t="s">
        <v>416</v>
      </c>
      <c r="G126" s="7" t="s">
        <v>36</v>
      </c>
      <c r="H126" s="7" t="s">
        <v>58</v>
      </c>
      <c r="I126" s="7" t="s">
        <v>28</v>
      </c>
      <c r="J126" s="7" t="s">
        <v>81</v>
      </c>
      <c r="K126" s="7" t="s">
        <v>82</v>
      </c>
      <c r="L126" s="7">
        <v>1881.92</v>
      </c>
      <c r="M126" s="7">
        <v>3</v>
      </c>
      <c r="N126" s="7">
        <v>0.09</v>
      </c>
      <c r="O126" s="7">
        <v>298.7</v>
      </c>
      <c r="P126" s="7" t="s">
        <v>31</v>
      </c>
      <c r="Q126" s="7" t="s">
        <v>32</v>
      </c>
      <c r="R126" s="7">
        <v>4</v>
      </c>
      <c r="S126" s="7">
        <f t="shared" si="4"/>
        <v>2025</v>
      </c>
      <c r="T126" s="7" t="str">
        <f t="shared" si="5"/>
        <v>Dec</v>
      </c>
    </row>
    <row r="127" spans="2:20" x14ac:dyDescent="0.3">
      <c r="B127" s="7">
        <v>126</v>
      </c>
      <c r="C127" s="7" t="s">
        <v>417</v>
      </c>
      <c r="D127" s="7" t="s">
        <v>418</v>
      </c>
      <c r="E127" s="7" t="str">
        <f t="shared" si="3"/>
        <v>Jun</v>
      </c>
      <c r="F127" s="7" t="s">
        <v>419</v>
      </c>
      <c r="G127" s="7" t="s">
        <v>102</v>
      </c>
      <c r="H127" s="7" t="s">
        <v>58</v>
      </c>
      <c r="I127" s="7" t="s">
        <v>116</v>
      </c>
      <c r="J127" s="7" t="s">
        <v>29</v>
      </c>
      <c r="K127" s="7" t="s">
        <v>67</v>
      </c>
      <c r="L127" s="7">
        <v>909.02</v>
      </c>
      <c r="M127" s="7">
        <v>1</v>
      </c>
      <c r="N127" s="7">
        <v>0.22</v>
      </c>
      <c r="O127" s="7">
        <v>250.95</v>
      </c>
      <c r="P127" s="7" t="s">
        <v>23</v>
      </c>
      <c r="Q127" s="7" t="s">
        <v>32</v>
      </c>
      <c r="R127" s="7">
        <v>5</v>
      </c>
      <c r="S127" s="7">
        <f t="shared" si="4"/>
        <v>2024</v>
      </c>
      <c r="T127" s="7" t="str">
        <f t="shared" si="5"/>
        <v>Jun</v>
      </c>
    </row>
    <row r="128" spans="2:20" x14ac:dyDescent="0.3">
      <c r="B128" s="7">
        <v>127</v>
      </c>
      <c r="C128" s="7" t="s">
        <v>420</v>
      </c>
      <c r="D128" s="7" t="s">
        <v>409</v>
      </c>
      <c r="E128" s="7" t="str">
        <f t="shared" si="3"/>
        <v>Jul</v>
      </c>
      <c r="F128" s="7" t="s">
        <v>421</v>
      </c>
      <c r="G128" s="7" t="s">
        <v>102</v>
      </c>
      <c r="H128" s="7" t="s">
        <v>45</v>
      </c>
      <c r="I128" s="7" t="s">
        <v>116</v>
      </c>
      <c r="J128" s="7" t="s">
        <v>29</v>
      </c>
      <c r="K128" s="7" t="s">
        <v>60</v>
      </c>
      <c r="L128" s="7">
        <v>3400.14</v>
      </c>
      <c r="M128" s="7">
        <v>5</v>
      </c>
      <c r="N128" s="7">
        <v>0.03</v>
      </c>
      <c r="O128" s="7">
        <v>932.89</v>
      </c>
      <c r="P128" s="7" t="s">
        <v>23</v>
      </c>
      <c r="Q128" s="7" t="s">
        <v>32</v>
      </c>
      <c r="R128" s="7">
        <v>2</v>
      </c>
      <c r="S128" s="7">
        <f t="shared" si="4"/>
        <v>2024</v>
      </c>
      <c r="T128" s="7" t="str">
        <f t="shared" si="5"/>
        <v>Jul</v>
      </c>
    </row>
    <row r="129" spans="2:20" x14ac:dyDescent="0.3">
      <c r="B129" s="7">
        <v>128</v>
      </c>
      <c r="C129" s="7" t="s">
        <v>422</v>
      </c>
      <c r="D129" s="7" t="s">
        <v>423</v>
      </c>
      <c r="E129" s="7" t="str">
        <f t="shared" si="3"/>
        <v>Jul</v>
      </c>
      <c r="F129" s="7" t="s">
        <v>424</v>
      </c>
      <c r="G129" s="7" t="s">
        <v>102</v>
      </c>
      <c r="H129" s="7" t="s">
        <v>65</v>
      </c>
      <c r="I129" s="7" t="s">
        <v>20</v>
      </c>
      <c r="J129" s="7" t="s">
        <v>66</v>
      </c>
      <c r="K129" s="7" t="s">
        <v>82</v>
      </c>
      <c r="L129" s="7">
        <v>500.9</v>
      </c>
      <c r="M129" s="7">
        <v>1</v>
      </c>
      <c r="N129" s="7">
        <v>0.28000000000000003</v>
      </c>
      <c r="O129" s="7">
        <v>92.11</v>
      </c>
      <c r="P129" s="7" t="s">
        <v>23</v>
      </c>
      <c r="Q129" s="7" t="s">
        <v>77</v>
      </c>
      <c r="R129" s="7">
        <v>6</v>
      </c>
      <c r="S129" s="7">
        <f t="shared" si="4"/>
        <v>2024</v>
      </c>
      <c r="T129" s="7" t="str">
        <f t="shared" si="5"/>
        <v>Jul</v>
      </c>
    </row>
    <row r="130" spans="2:20" x14ac:dyDescent="0.3">
      <c r="B130" s="7">
        <v>129</v>
      </c>
      <c r="C130" s="7" t="s">
        <v>425</v>
      </c>
      <c r="D130" s="7" t="s">
        <v>426</v>
      </c>
      <c r="E130" s="7" t="str">
        <f t="shared" si="3"/>
        <v>Oct</v>
      </c>
      <c r="F130" s="7" t="s">
        <v>427</v>
      </c>
      <c r="G130" s="7" t="s">
        <v>102</v>
      </c>
      <c r="H130" s="7" t="s">
        <v>51</v>
      </c>
      <c r="I130" s="7" t="s">
        <v>106</v>
      </c>
      <c r="J130" s="7" t="s">
        <v>29</v>
      </c>
      <c r="K130" s="7" t="s">
        <v>67</v>
      </c>
      <c r="L130" s="7">
        <v>4436.87</v>
      </c>
      <c r="M130" s="7">
        <v>5</v>
      </c>
      <c r="N130" s="7">
        <v>0.04</v>
      </c>
      <c r="O130" s="7">
        <v>574.1</v>
      </c>
      <c r="P130" s="7" t="s">
        <v>31</v>
      </c>
      <c r="Q130" s="7" t="s">
        <v>77</v>
      </c>
      <c r="R130" s="7">
        <v>8</v>
      </c>
      <c r="S130" s="7">
        <f t="shared" si="4"/>
        <v>2025</v>
      </c>
      <c r="T130" s="7" t="str">
        <f t="shared" si="5"/>
        <v>Oct</v>
      </c>
    </row>
    <row r="131" spans="2:20" x14ac:dyDescent="0.3">
      <c r="B131" s="7">
        <v>130</v>
      </c>
      <c r="C131" s="7" t="s">
        <v>428</v>
      </c>
      <c r="D131" s="7" t="s">
        <v>429</v>
      </c>
      <c r="E131" s="7" t="str">
        <f t="shared" ref="E131:E194" si="6">TEXT(D131,"mmm")</f>
        <v>Mar</v>
      </c>
      <c r="F131" s="7" t="s">
        <v>430</v>
      </c>
      <c r="G131" s="7" t="s">
        <v>64</v>
      </c>
      <c r="H131" s="7" t="s">
        <v>65</v>
      </c>
      <c r="I131" s="7" t="s">
        <v>38</v>
      </c>
      <c r="J131" s="7" t="s">
        <v>47</v>
      </c>
      <c r="K131" s="7" t="s">
        <v>53</v>
      </c>
      <c r="L131" s="7">
        <v>3177.2</v>
      </c>
      <c r="M131" s="7">
        <v>4</v>
      </c>
      <c r="N131" s="7">
        <v>0.23</v>
      </c>
      <c r="O131" s="7">
        <v>503.43</v>
      </c>
      <c r="P131" s="7" t="s">
        <v>31</v>
      </c>
      <c r="Q131" s="7" t="s">
        <v>24</v>
      </c>
      <c r="R131" s="7">
        <v>10</v>
      </c>
      <c r="S131" s="7">
        <f t="shared" ref="S131:S194" si="7">YEAR(D131)</f>
        <v>2024</v>
      </c>
      <c r="T131" s="7" t="str">
        <f t="shared" ref="T131:T194" si="8">TEXT(D131,"mmm")</f>
        <v>Mar</v>
      </c>
    </row>
    <row r="132" spans="2:20" x14ac:dyDescent="0.3">
      <c r="B132" s="7">
        <v>131</v>
      </c>
      <c r="C132" s="7" t="s">
        <v>431</v>
      </c>
      <c r="D132" s="7" t="s">
        <v>432</v>
      </c>
      <c r="E132" s="7" t="str">
        <f t="shared" si="6"/>
        <v>Nov</v>
      </c>
      <c r="F132" s="7" t="s">
        <v>433</v>
      </c>
      <c r="G132" s="7" t="s">
        <v>44</v>
      </c>
      <c r="H132" s="7" t="s">
        <v>65</v>
      </c>
      <c r="I132" s="7" t="s">
        <v>38</v>
      </c>
      <c r="J132" s="7" t="s">
        <v>66</v>
      </c>
      <c r="K132" s="7" t="s">
        <v>82</v>
      </c>
      <c r="L132" s="7">
        <v>361.87</v>
      </c>
      <c r="M132" s="7">
        <v>3</v>
      </c>
      <c r="N132" s="7">
        <v>7.0000000000000007E-2</v>
      </c>
      <c r="O132" s="7">
        <v>95.62</v>
      </c>
      <c r="P132" s="7" t="s">
        <v>54</v>
      </c>
      <c r="Q132" s="7" t="s">
        <v>86</v>
      </c>
      <c r="R132" s="7">
        <v>10</v>
      </c>
      <c r="S132" s="7">
        <f t="shared" si="7"/>
        <v>2024</v>
      </c>
      <c r="T132" s="7" t="str">
        <f t="shared" si="8"/>
        <v>Nov</v>
      </c>
    </row>
    <row r="133" spans="2:20" x14ac:dyDescent="0.3">
      <c r="B133" s="7">
        <v>132</v>
      </c>
      <c r="C133" s="7" t="s">
        <v>434</v>
      </c>
      <c r="D133" s="7" t="s">
        <v>435</v>
      </c>
      <c r="E133" s="7" t="str">
        <f t="shared" si="6"/>
        <v>Apr</v>
      </c>
      <c r="F133" s="7" t="s">
        <v>436</v>
      </c>
      <c r="G133" s="7" t="s">
        <v>44</v>
      </c>
      <c r="H133" s="7" t="s">
        <v>65</v>
      </c>
      <c r="I133" s="7" t="s">
        <v>28</v>
      </c>
      <c r="J133" s="7" t="s">
        <v>21</v>
      </c>
      <c r="K133" s="7" t="s">
        <v>82</v>
      </c>
      <c r="L133" s="7">
        <v>1142.1600000000001</v>
      </c>
      <c r="M133" s="7">
        <v>5</v>
      </c>
      <c r="N133" s="7">
        <v>0.02</v>
      </c>
      <c r="O133" s="7">
        <v>139.93</v>
      </c>
      <c r="P133" s="7" t="s">
        <v>54</v>
      </c>
      <c r="Q133" s="7" t="s">
        <v>77</v>
      </c>
      <c r="R133" s="7">
        <v>2</v>
      </c>
      <c r="S133" s="7">
        <f t="shared" si="7"/>
        <v>2024</v>
      </c>
      <c r="T133" s="7" t="str">
        <f t="shared" si="8"/>
        <v>Apr</v>
      </c>
    </row>
    <row r="134" spans="2:20" x14ac:dyDescent="0.3">
      <c r="B134" s="7">
        <v>133</v>
      </c>
      <c r="C134" s="7" t="s">
        <v>437</v>
      </c>
      <c r="D134" s="7" t="s">
        <v>438</v>
      </c>
      <c r="E134" s="7" t="str">
        <f t="shared" si="6"/>
        <v>Aug</v>
      </c>
      <c r="F134" s="7" t="s">
        <v>439</v>
      </c>
      <c r="G134" s="7" t="s">
        <v>44</v>
      </c>
      <c r="H134" s="7" t="s">
        <v>71</v>
      </c>
      <c r="I134" s="7" t="s">
        <v>28</v>
      </c>
      <c r="J134" s="7" t="s">
        <v>66</v>
      </c>
      <c r="K134" s="7" t="s">
        <v>30</v>
      </c>
      <c r="L134" s="7">
        <v>191.2</v>
      </c>
      <c r="M134" s="7">
        <v>1</v>
      </c>
      <c r="N134" s="7">
        <v>0.05</v>
      </c>
      <c r="O134" s="7">
        <v>51.51</v>
      </c>
      <c r="P134" s="7" t="s">
        <v>31</v>
      </c>
      <c r="Q134" s="7" t="s">
        <v>77</v>
      </c>
      <c r="R134" s="7">
        <v>10</v>
      </c>
      <c r="S134" s="7">
        <f t="shared" si="7"/>
        <v>2024</v>
      </c>
      <c r="T134" s="7" t="str">
        <f t="shared" si="8"/>
        <v>Aug</v>
      </c>
    </row>
    <row r="135" spans="2:20" x14ac:dyDescent="0.3">
      <c r="B135" s="7">
        <v>134</v>
      </c>
      <c r="C135" s="7" t="s">
        <v>440</v>
      </c>
      <c r="D135" s="7" t="s">
        <v>441</v>
      </c>
      <c r="E135" s="7" t="str">
        <f t="shared" si="6"/>
        <v>Nov</v>
      </c>
      <c r="F135" s="7" t="s">
        <v>442</v>
      </c>
      <c r="G135" s="7" t="s">
        <v>18</v>
      </c>
      <c r="H135" s="7" t="s">
        <v>51</v>
      </c>
      <c r="I135" s="7" t="s">
        <v>38</v>
      </c>
      <c r="J135" s="7" t="s">
        <v>66</v>
      </c>
      <c r="K135" s="7" t="s">
        <v>76</v>
      </c>
      <c r="L135" s="7">
        <v>203.51</v>
      </c>
      <c r="M135" s="7">
        <v>1</v>
      </c>
      <c r="N135" s="7">
        <v>0.28999999999999998</v>
      </c>
      <c r="O135" s="7">
        <v>67.97</v>
      </c>
      <c r="P135" s="7" t="s">
        <v>23</v>
      </c>
      <c r="Q135" s="7" t="s">
        <v>40</v>
      </c>
      <c r="R135" s="7">
        <v>4</v>
      </c>
      <c r="S135" s="7">
        <f t="shared" si="7"/>
        <v>2025</v>
      </c>
      <c r="T135" s="7" t="str">
        <f t="shared" si="8"/>
        <v>Nov</v>
      </c>
    </row>
    <row r="136" spans="2:20" x14ac:dyDescent="0.3">
      <c r="B136" s="7">
        <v>135</v>
      </c>
      <c r="C136" s="7" t="s">
        <v>443</v>
      </c>
      <c r="D136" s="7" t="s">
        <v>444</v>
      </c>
      <c r="E136" s="7" t="str">
        <f t="shared" si="6"/>
        <v>Aug</v>
      </c>
      <c r="F136" s="7" t="s">
        <v>445</v>
      </c>
      <c r="G136" s="7" t="s">
        <v>102</v>
      </c>
      <c r="H136" s="7" t="s">
        <v>51</v>
      </c>
      <c r="I136" s="7" t="s">
        <v>116</v>
      </c>
      <c r="J136" s="7" t="s">
        <v>21</v>
      </c>
      <c r="K136" s="7" t="s">
        <v>76</v>
      </c>
      <c r="L136" s="7">
        <v>1787.84</v>
      </c>
      <c r="M136" s="7">
        <v>2</v>
      </c>
      <c r="N136" s="7">
        <v>0.03</v>
      </c>
      <c r="O136" s="7">
        <v>336.79</v>
      </c>
      <c r="P136" s="7" t="s">
        <v>54</v>
      </c>
      <c r="Q136" s="7" t="s">
        <v>24</v>
      </c>
      <c r="R136" s="7">
        <v>1</v>
      </c>
      <c r="S136" s="7">
        <f t="shared" si="7"/>
        <v>2025</v>
      </c>
      <c r="T136" s="7" t="str">
        <f t="shared" si="8"/>
        <v>Aug</v>
      </c>
    </row>
    <row r="137" spans="2:20" x14ac:dyDescent="0.3">
      <c r="B137" s="7">
        <v>136</v>
      </c>
      <c r="C137" s="7" t="s">
        <v>446</v>
      </c>
      <c r="D137" s="7" t="s">
        <v>447</v>
      </c>
      <c r="E137" s="7" t="str">
        <f t="shared" si="6"/>
        <v>Oct</v>
      </c>
      <c r="F137" s="7" t="s">
        <v>448</v>
      </c>
      <c r="G137" s="7" t="s">
        <v>64</v>
      </c>
      <c r="H137" s="7" t="s">
        <v>37</v>
      </c>
      <c r="I137" s="7" t="s">
        <v>116</v>
      </c>
      <c r="J137" s="7" t="s">
        <v>66</v>
      </c>
      <c r="K137" s="7" t="s">
        <v>72</v>
      </c>
      <c r="L137" s="7">
        <v>3867.4</v>
      </c>
      <c r="M137" s="7">
        <v>5</v>
      </c>
      <c r="N137" s="7">
        <v>0.28000000000000003</v>
      </c>
      <c r="O137" s="7">
        <v>785.54</v>
      </c>
      <c r="P137" s="7" t="s">
        <v>23</v>
      </c>
      <c r="Q137" s="7" t="s">
        <v>86</v>
      </c>
      <c r="R137" s="7">
        <v>1</v>
      </c>
      <c r="S137" s="7">
        <f t="shared" si="7"/>
        <v>2025</v>
      </c>
      <c r="T137" s="7" t="str">
        <f t="shared" si="8"/>
        <v>Oct</v>
      </c>
    </row>
    <row r="138" spans="2:20" x14ac:dyDescent="0.3">
      <c r="B138" s="7">
        <v>137</v>
      </c>
      <c r="C138" s="7" t="s">
        <v>449</v>
      </c>
      <c r="D138" s="7" t="s">
        <v>450</v>
      </c>
      <c r="E138" s="7" t="str">
        <f t="shared" si="6"/>
        <v>Apr</v>
      </c>
      <c r="F138" s="7" t="s">
        <v>451</v>
      </c>
      <c r="G138" s="7" t="s">
        <v>18</v>
      </c>
      <c r="H138" s="7" t="s">
        <v>58</v>
      </c>
      <c r="I138" s="7" t="s">
        <v>116</v>
      </c>
      <c r="J138" s="7" t="s">
        <v>66</v>
      </c>
      <c r="K138" s="7" t="s">
        <v>72</v>
      </c>
      <c r="L138" s="7">
        <v>406.03</v>
      </c>
      <c r="M138" s="7">
        <v>5</v>
      </c>
      <c r="N138" s="7">
        <v>0.26</v>
      </c>
      <c r="O138" s="7">
        <v>94.6</v>
      </c>
      <c r="P138" s="7" t="s">
        <v>23</v>
      </c>
      <c r="Q138" s="7" t="s">
        <v>24</v>
      </c>
      <c r="R138" s="7">
        <v>8</v>
      </c>
      <c r="S138" s="7">
        <f t="shared" si="7"/>
        <v>2025</v>
      </c>
      <c r="T138" s="7" t="str">
        <f t="shared" si="8"/>
        <v>Apr</v>
      </c>
    </row>
    <row r="139" spans="2:20" x14ac:dyDescent="0.3">
      <c r="B139" s="7">
        <v>138</v>
      </c>
      <c r="C139" s="7" t="s">
        <v>452</v>
      </c>
      <c r="D139" s="7" t="s">
        <v>453</v>
      </c>
      <c r="E139" s="7" t="str">
        <f t="shared" si="6"/>
        <v>May</v>
      </c>
      <c r="F139" s="7" t="s">
        <v>454</v>
      </c>
      <c r="G139" s="7" t="s">
        <v>18</v>
      </c>
      <c r="H139" s="7" t="s">
        <v>37</v>
      </c>
      <c r="I139" s="7" t="s">
        <v>116</v>
      </c>
      <c r="J139" s="7" t="s">
        <v>47</v>
      </c>
      <c r="K139" s="7" t="s">
        <v>67</v>
      </c>
      <c r="L139" s="7">
        <v>2252.0300000000002</v>
      </c>
      <c r="M139" s="7">
        <v>5</v>
      </c>
      <c r="N139" s="7">
        <v>7.0000000000000007E-2</v>
      </c>
      <c r="O139" s="7">
        <v>378.12</v>
      </c>
      <c r="P139" s="7" t="s">
        <v>23</v>
      </c>
      <c r="Q139" s="7" t="s">
        <v>40</v>
      </c>
      <c r="R139" s="7">
        <v>6</v>
      </c>
      <c r="S139" s="7">
        <f t="shared" si="7"/>
        <v>2025</v>
      </c>
      <c r="T139" s="7" t="str">
        <f t="shared" si="8"/>
        <v>May</v>
      </c>
    </row>
    <row r="140" spans="2:20" x14ac:dyDescent="0.3">
      <c r="B140" s="7">
        <v>139</v>
      </c>
      <c r="C140" s="7" t="s">
        <v>455</v>
      </c>
      <c r="D140" s="7" t="s">
        <v>318</v>
      </c>
      <c r="E140" s="7" t="str">
        <f t="shared" si="6"/>
        <v>Feb</v>
      </c>
      <c r="F140" s="7" t="s">
        <v>456</v>
      </c>
      <c r="G140" s="7" t="s">
        <v>44</v>
      </c>
      <c r="H140" s="7" t="s">
        <v>71</v>
      </c>
      <c r="I140" s="7" t="s">
        <v>59</v>
      </c>
      <c r="J140" s="7" t="s">
        <v>81</v>
      </c>
      <c r="K140" s="7" t="s">
        <v>39</v>
      </c>
      <c r="L140" s="7">
        <v>498.79</v>
      </c>
      <c r="M140" s="7">
        <v>5</v>
      </c>
      <c r="N140" s="7">
        <v>0.24</v>
      </c>
      <c r="O140" s="7">
        <v>124.46</v>
      </c>
      <c r="P140" s="7" t="s">
        <v>31</v>
      </c>
      <c r="Q140" s="7" t="s">
        <v>32</v>
      </c>
      <c r="R140" s="7">
        <v>8</v>
      </c>
      <c r="S140" s="7">
        <f t="shared" si="7"/>
        <v>2025</v>
      </c>
      <c r="T140" s="7" t="str">
        <f t="shared" si="8"/>
        <v>Feb</v>
      </c>
    </row>
    <row r="141" spans="2:20" x14ac:dyDescent="0.3">
      <c r="B141" s="7">
        <v>140</v>
      </c>
      <c r="C141" s="7" t="s">
        <v>457</v>
      </c>
      <c r="D141" s="7" t="s">
        <v>458</v>
      </c>
      <c r="E141" s="7" t="str">
        <f t="shared" si="6"/>
        <v>Oct</v>
      </c>
      <c r="F141" s="7" t="s">
        <v>459</v>
      </c>
      <c r="G141" s="7" t="s">
        <v>64</v>
      </c>
      <c r="H141" s="7" t="s">
        <v>71</v>
      </c>
      <c r="I141" s="7" t="s">
        <v>52</v>
      </c>
      <c r="J141" s="7" t="s">
        <v>47</v>
      </c>
      <c r="K141" s="7" t="s">
        <v>76</v>
      </c>
      <c r="L141" s="7">
        <v>245.94</v>
      </c>
      <c r="M141" s="7">
        <v>1</v>
      </c>
      <c r="N141" s="7">
        <v>0.26</v>
      </c>
      <c r="O141" s="7">
        <v>42.55</v>
      </c>
      <c r="P141" s="7" t="s">
        <v>54</v>
      </c>
      <c r="Q141" s="7" t="s">
        <v>77</v>
      </c>
      <c r="R141" s="7">
        <v>9</v>
      </c>
      <c r="S141" s="7">
        <f t="shared" si="7"/>
        <v>2024</v>
      </c>
      <c r="T141" s="7" t="str">
        <f t="shared" si="8"/>
        <v>Oct</v>
      </c>
    </row>
    <row r="142" spans="2:20" x14ac:dyDescent="0.3">
      <c r="B142" s="7">
        <v>141</v>
      </c>
      <c r="C142" s="7" t="s">
        <v>460</v>
      </c>
      <c r="D142" s="7" t="s">
        <v>409</v>
      </c>
      <c r="E142" s="7" t="str">
        <f t="shared" si="6"/>
        <v>Jul</v>
      </c>
      <c r="F142" s="7" t="s">
        <v>461</v>
      </c>
      <c r="G142" s="7" t="s">
        <v>36</v>
      </c>
      <c r="H142" s="7" t="s">
        <v>58</v>
      </c>
      <c r="I142" s="7" t="s">
        <v>52</v>
      </c>
      <c r="J142" s="7" t="s">
        <v>29</v>
      </c>
      <c r="K142" s="7" t="s">
        <v>60</v>
      </c>
      <c r="L142" s="7">
        <v>408.08</v>
      </c>
      <c r="M142" s="7">
        <v>1</v>
      </c>
      <c r="N142" s="7">
        <v>0.23</v>
      </c>
      <c r="O142" s="7">
        <v>58.93</v>
      </c>
      <c r="P142" s="7" t="s">
        <v>23</v>
      </c>
      <c r="Q142" s="7" t="s">
        <v>40</v>
      </c>
      <c r="R142" s="7">
        <v>10</v>
      </c>
      <c r="S142" s="7">
        <f t="shared" si="7"/>
        <v>2024</v>
      </c>
      <c r="T142" s="7" t="str">
        <f t="shared" si="8"/>
        <v>Jul</v>
      </c>
    </row>
    <row r="143" spans="2:20" x14ac:dyDescent="0.3">
      <c r="B143" s="7">
        <v>142</v>
      </c>
      <c r="C143" s="7" t="s">
        <v>462</v>
      </c>
      <c r="D143" s="7" t="s">
        <v>463</v>
      </c>
      <c r="E143" s="7" t="str">
        <f t="shared" si="6"/>
        <v>Nov</v>
      </c>
      <c r="F143" s="7" t="s">
        <v>464</v>
      </c>
      <c r="G143" s="7" t="s">
        <v>44</v>
      </c>
      <c r="H143" s="7" t="s">
        <v>19</v>
      </c>
      <c r="I143" s="7" t="s">
        <v>59</v>
      </c>
      <c r="J143" s="7" t="s">
        <v>81</v>
      </c>
      <c r="K143" s="7" t="s">
        <v>82</v>
      </c>
      <c r="L143" s="7">
        <v>885.31</v>
      </c>
      <c r="M143" s="7">
        <v>2</v>
      </c>
      <c r="N143" s="7">
        <v>0.12</v>
      </c>
      <c r="O143" s="7">
        <v>170.51</v>
      </c>
      <c r="P143" s="7" t="s">
        <v>54</v>
      </c>
      <c r="Q143" s="7" t="s">
        <v>77</v>
      </c>
      <c r="R143" s="7">
        <v>2</v>
      </c>
      <c r="S143" s="7">
        <f t="shared" si="7"/>
        <v>2024</v>
      </c>
      <c r="T143" s="7" t="str">
        <f t="shared" si="8"/>
        <v>Nov</v>
      </c>
    </row>
    <row r="144" spans="2:20" x14ac:dyDescent="0.3">
      <c r="B144" s="7">
        <v>143</v>
      </c>
      <c r="C144" s="7" t="s">
        <v>465</v>
      </c>
      <c r="D144" s="7" t="s">
        <v>466</v>
      </c>
      <c r="E144" s="7" t="str">
        <f t="shared" si="6"/>
        <v>Nov</v>
      </c>
      <c r="F144" s="7" t="s">
        <v>467</v>
      </c>
      <c r="G144" s="7" t="s">
        <v>102</v>
      </c>
      <c r="H144" s="7" t="s">
        <v>58</v>
      </c>
      <c r="I144" s="7" t="s">
        <v>46</v>
      </c>
      <c r="J144" s="7" t="s">
        <v>29</v>
      </c>
      <c r="K144" s="7" t="s">
        <v>72</v>
      </c>
      <c r="L144" s="7">
        <v>3830.91</v>
      </c>
      <c r="M144" s="7">
        <v>5</v>
      </c>
      <c r="N144" s="7">
        <v>0.11</v>
      </c>
      <c r="O144" s="7">
        <v>1014.73</v>
      </c>
      <c r="P144" s="7" t="s">
        <v>31</v>
      </c>
      <c r="Q144" s="7" t="s">
        <v>40</v>
      </c>
      <c r="R144" s="7">
        <v>1</v>
      </c>
      <c r="S144" s="7">
        <f t="shared" si="7"/>
        <v>2025</v>
      </c>
      <c r="T144" s="7" t="str">
        <f t="shared" si="8"/>
        <v>Nov</v>
      </c>
    </row>
    <row r="145" spans="2:20" x14ac:dyDescent="0.3">
      <c r="B145" s="7">
        <v>144</v>
      </c>
      <c r="C145" s="7" t="s">
        <v>468</v>
      </c>
      <c r="D145" s="7" t="s">
        <v>469</v>
      </c>
      <c r="E145" s="7" t="str">
        <f t="shared" si="6"/>
        <v>Jun</v>
      </c>
      <c r="F145" s="7" t="s">
        <v>470</v>
      </c>
      <c r="G145" s="7" t="s">
        <v>36</v>
      </c>
      <c r="H145" s="7" t="s">
        <v>45</v>
      </c>
      <c r="I145" s="7" t="s">
        <v>38</v>
      </c>
      <c r="J145" s="7" t="s">
        <v>29</v>
      </c>
      <c r="K145" s="7" t="s">
        <v>60</v>
      </c>
      <c r="L145" s="7">
        <v>649.04</v>
      </c>
      <c r="M145" s="7">
        <v>1</v>
      </c>
      <c r="N145" s="7">
        <v>0.09</v>
      </c>
      <c r="O145" s="7">
        <v>195.99</v>
      </c>
      <c r="P145" s="7" t="s">
        <v>54</v>
      </c>
      <c r="Q145" s="7" t="s">
        <v>77</v>
      </c>
      <c r="R145" s="7">
        <v>7</v>
      </c>
      <c r="S145" s="7">
        <f t="shared" si="7"/>
        <v>2024</v>
      </c>
      <c r="T145" s="7" t="str">
        <f t="shared" si="8"/>
        <v>Jun</v>
      </c>
    </row>
    <row r="146" spans="2:20" x14ac:dyDescent="0.3">
      <c r="B146" s="7">
        <v>145</v>
      </c>
      <c r="C146" s="7" t="s">
        <v>471</v>
      </c>
      <c r="D146" s="7" t="s">
        <v>472</v>
      </c>
      <c r="E146" s="7" t="str">
        <f t="shared" si="6"/>
        <v>Jan</v>
      </c>
      <c r="F146" s="7" t="s">
        <v>473</v>
      </c>
      <c r="G146" s="7" t="s">
        <v>44</v>
      </c>
      <c r="H146" s="7" t="s">
        <v>65</v>
      </c>
      <c r="I146" s="7" t="s">
        <v>59</v>
      </c>
      <c r="J146" s="7" t="s">
        <v>81</v>
      </c>
      <c r="K146" s="7" t="s">
        <v>60</v>
      </c>
      <c r="L146" s="7">
        <v>3062.47</v>
      </c>
      <c r="M146" s="7">
        <v>5</v>
      </c>
      <c r="N146" s="7">
        <v>0.19</v>
      </c>
      <c r="O146" s="7">
        <v>896.05</v>
      </c>
      <c r="P146" s="7" t="s">
        <v>31</v>
      </c>
      <c r="Q146" s="7" t="s">
        <v>24</v>
      </c>
      <c r="R146" s="7">
        <v>6</v>
      </c>
      <c r="S146" s="7">
        <f t="shared" si="7"/>
        <v>2024</v>
      </c>
      <c r="T146" s="7" t="str">
        <f t="shared" si="8"/>
        <v>Jan</v>
      </c>
    </row>
    <row r="147" spans="2:20" x14ac:dyDescent="0.3">
      <c r="B147" s="7">
        <v>146</v>
      </c>
      <c r="C147" s="7" t="s">
        <v>474</v>
      </c>
      <c r="D147" s="7" t="s">
        <v>475</v>
      </c>
      <c r="E147" s="7" t="str">
        <f t="shared" si="6"/>
        <v>Aug</v>
      </c>
      <c r="F147" s="7" t="s">
        <v>476</v>
      </c>
      <c r="G147" s="7" t="s">
        <v>102</v>
      </c>
      <c r="H147" s="7" t="s">
        <v>65</v>
      </c>
      <c r="I147" s="7" t="s">
        <v>46</v>
      </c>
      <c r="J147" s="7" t="s">
        <v>21</v>
      </c>
      <c r="K147" s="7" t="s">
        <v>67</v>
      </c>
      <c r="L147" s="7">
        <v>407.26</v>
      </c>
      <c r="M147" s="7">
        <v>1</v>
      </c>
      <c r="N147" s="7">
        <v>0.18</v>
      </c>
      <c r="O147" s="7">
        <v>117.12</v>
      </c>
      <c r="P147" s="7" t="s">
        <v>54</v>
      </c>
      <c r="Q147" s="7" t="s">
        <v>32</v>
      </c>
      <c r="R147" s="7">
        <v>10</v>
      </c>
      <c r="S147" s="7">
        <f t="shared" si="7"/>
        <v>2025</v>
      </c>
      <c r="T147" s="7" t="str">
        <f t="shared" si="8"/>
        <v>Aug</v>
      </c>
    </row>
    <row r="148" spans="2:20" x14ac:dyDescent="0.3">
      <c r="B148" s="7">
        <v>147</v>
      </c>
      <c r="C148" s="7" t="s">
        <v>477</v>
      </c>
      <c r="D148" s="7" t="s">
        <v>478</v>
      </c>
      <c r="E148" s="7" t="str">
        <f t="shared" si="6"/>
        <v>Oct</v>
      </c>
      <c r="F148" s="7" t="s">
        <v>479</v>
      </c>
      <c r="G148" s="7" t="s">
        <v>36</v>
      </c>
      <c r="H148" s="7" t="s">
        <v>71</v>
      </c>
      <c r="I148" s="7" t="s">
        <v>106</v>
      </c>
      <c r="J148" s="7" t="s">
        <v>21</v>
      </c>
      <c r="K148" s="7" t="s">
        <v>30</v>
      </c>
      <c r="L148" s="7">
        <v>209.93</v>
      </c>
      <c r="M148" s="7">
        <v>3</v>
      </c>
      <c r="N148" s="7">
        <v>0.11</v>
      </c>
      <c r="O148" s="7">
        <v>45.72</v>
      </c>
      <c r="P148" s="7" t="s">
        <v>23</v>
      </c>
      <c r="Q148" s="7" t="s">
        <v>86</v>
      </c>
      <c r="R148" s="7">
        <v>2</v>
      </c>
      <c r="S148" s="7">
        <f t="shared" si="7"/>
        <v>2024</v>
      </c>
      <c r="T148" s="7" t="str">
        <f t="shared" si="8"/>
        <v>Oct</v>
      </c>
    </row>
    <row r="149" spans="2:20" x14ac:dyDescent="0.3">
      <c r="B149" s="7">
        <v>148</v>
      </c>
      <c r="C149" s="7" t="s">
        <v>480</v>
      </c>
      <c r="D149" s="7" t="s">
        <v>481</v>
      </c>
      <c r="E149" s="7" t="str">
        <f t="shared" si="6"/>
        <v>Apr</v>
      </c>
      <c r="F149" s="7" t="s">
        <v>482</v>
      </c>
      <c r="G149" s="7" t="s">
        <v>64</v>
      </c>
      <c r="H149" s="7" t="s">
        <v>19</v>
      </c>
      <c r="I149" s="7" t="s">
        <v>59</v>
      </c>
      <c r="J149" s="7" t="s">
        <v>66</v>
      </c>
      <c r="K149" s="7" t="s">
        <v>53</v>
      </c>
      <c r="L149" s="7">
        <v>3879.99</v>
      </c>
      <c r="M149" s="7">
        <v>4</v>
      </c>
      <c r="N149" s="7">
        <v>0.18</v>
      </c>
      <c r="O149" s="7">
        <v>1157.5899999999999</v>
      </c>
      <c r="P149" s="7" t="s">
        <v>54</v>
      </c>
      <c r="Q149" s="7" t="s">
        <v>77</v>
      </c>
      <c r="R149" s="7">
        <v>10</v>
      </c>
      <c r="S149" s="7">
        <f t="shared" si="7"/>
        <v>2025</v>
      </c>
      <c r="T149" s="7" t="str">
        <f t="shared" si="8"/>
        <v>Apr</v>
      </c>
    </row>
    <row r="150" spans="2:20" x14ac:dyDescent="0.3">
      <c r="B150" s="7">
        <v>149</v>
      </c>
      <c r="C150" s="7" t="s">
        <v>483</v>
      </c>
      <c r="D150" s="7" t="s">
        <v>484</v>
      </c>
      <c r="E150" s="7" t="str">
        <f t="shared" si="6"/>
        <v>Dec</v>
      </c>
      <c r="F150" s="7" t="s">
        <v>485</v>
      </c>
      <c r="G150" s="7" t="s">
        <v>64</v>
      </c>
      <c r="H150" s="7" t="s">
        <v>71</v>
      </c>
      <c r="I150" s="7" t="s">
        <v>59</v>
      </c>
      <c r="J150" s="7" t="s">
        <v>21</v>
      </c>
      <c r="K150" s="7" t="s">
        <v>39</v>
      </c>
      <c r="L150" s="7">
        <v>2138.64</v>
      </c>
      <c r="M150" s="7">
        <v>4</v>
      </c>
      <c r="N150" s="7">
        <v>0.01</v>
      </c>
      <c r="O150" s="7">
        <v>396.26</v>
      </c>
      <c r="P150" s="7" t="s">
        <v>23</v>
      </c>
      <c r="Q150" s="7" t="s">
        <v>32</v>
      </c>
      <c r="R150" s="7">
        <v>10</v>
      </c>
      <c r="S150" s="7">
        <f t="shared" si="7"/>
        <v>2024</v>
      </c>
      <c r="T150" s="7" t="str">
        <f t="shared" si="8"/>
        <v>Dec</v>
      </c>
    </row>
    <row r="151" spans="2:20" x14ac:dyDescent="0.3">
      <c r="B151" s="7">
        <v>150</v>
      </c>
      <c r="C151" s="7" t="s">
        <v>486</v>
      </c>
      <c r="D151" s="7" t="s">
        <v>487</v>
      </c>
      <c r="E151" s="7" t="str">
        <f t="shared" si="6"/>
        <v>Dec</v>
      </c>
      <c r="F151" s="7" t="s">
        <v>488</v>
      </c>
      <c r="G151" s="7" t="s">
        <v>102</v>
      </c>
      <c r="H151" s="7" t="s">
        <v>37</v>
      </c>
      <c r="I151" s="7" t="s">
        <v>59</v>
      </c>
      <c r="J151" s="7" t="s">
        <v>21</v>
      </c>
      <c r="K151" s="7" t="s">
        <v>30</v>
      </c>
      <c r="L151" s="7">
        <v>110.49</v>
      </c>
      <c r="M151" s="7">
        <v>1</v>
      </c>
      <c r="N151" s="7">
        <v>0.21</v>
      </c>
      <c r="O151" s="7">
        <v>26.71</v>
      </c>
      <c r="P151" s="7" t="s">
        <v>31</v>
      </c>
      <c r="Q151" s="7" t="s">
        <v>40</v>
      </c>
      <c r="R151" s="7">
        <v>3</v>
      </c>
      <c r="S151" s="7">
        <f t="shared" si="7"/>
        <v>2024</v>
      </c>
      <c r="T151" s="7" t="str">
        <f t="shared" si="8"/>
        <v>Dec</v>
      </c>
    </row>
    <row r="152" spans="2:20" x14ac:dyDescent="0.3">
      <c r="B152" s="7">
        <v>151</v>
      </c>
      <c r="C152" s="7" t="s">
        <v>489</v>
      </c>
      <c r="D152" s="7" t="s">
        <v>490</v>
      </c>
      <c r="E152" s="7" t="str">
        <f t="shared" si="6"/>
        <v>Jan</v>
      </c>
      <c r="F152" s="7" t="s">
        <v>491</v>
      </c>
      <c r="G152" s="7" t="s">
        <v>102</v>
      </c>
      <c r="H152" s="7" t="s">
        <v>45</v>
      </c>
      <c r="I152" s="7" t="s">
        <v>46</v>
      </c>
      <c r="J152" s="7" t="s">
        <v>47</v>
      </c>
      <c r="K152" s="7" t="s">
        <v>30</v>
      </c>
      <c r="L152" s="7">
        <v>75.38</v>
      </c>
      <c r="M152" s="7">
        <v>3</v>
      </c>
      <c r="N152" s="7">
        <v>0.01</v>
      </c>
      <c r="O152" s="7">
        <v>8.66</v>
      </c>
      <c r="P152" s="7" t="s">
        <v>54</v>
      </c>
      <c r="Q152" s="7" t="s">
        <v>40</v>
      </c>
      <c r="R152" s="7">
        <v>7</v>
      </c>
      <c r="S152" s="7">
        <f t="shared" si="7"/>
        <v>2025</v>
      </c>
      <c r="T152" s="7" t="str">
        <f t="shared" si="8"/>
        <v>Jan</v>
      </c>
    </row>
    <row r="153" spans="2:20" x14ac:dyDescent="0.3">
      <c r="B153" s="7">
        <v>152</v>
      </c>
      <c r="C153" s="7" t="s">
        <v>492</v>
      </c>
      <c r="D153" s="7" t="s">
        <v>493</v>
      </c>
      <c r="E153" s="7" t="str">
        <f t="shared" si="6"/>
        <v>Mar</v>
      </c>
      <c r="F153" s="7" t="s">
        <v>494</v>
      </c>
      <c r="G153" s="7" t="s">
        <v>44</v>
      </c>
      <c r="H153" s="7" t="s">
        <v>51</v>
      </c>
      <c r="I153" s="7" t="s">
        <v>59</v>
      </c>
      <c r="J153" s="7" t="s">
        <v>66</v>
      </c>
      <c r="K153" s="7" t="s">
        <v>72</v>
      </c>
      <c r="L153" s="7">
        <v>334.73</v>
      </c>
      <c r="M153" s="7">
        <v>4</v>
      </c>
      <c r="N153" s="7">
        <v>0.05</v>
      </c>
      <c r="O153" s="7">
        <v>38.479999999999997</v>
      </c>
      <c r="P153" s="7" t="s">
        <v>54</v>
      </c>
      <c r="Q153" s="7" t="s">
        <v>24</v>
      </c>
      <c r="R153" s="7">
        <v>6</v>
      </c>
      <c r="S153" s="7">
        <f t="shared" si="7"/>
        <v>2025</v>
      </c>
      <c r="T153" s="7" t="str">
        <f t="shared" si="8"/>
        <v>Mar</v>
      </c>
    </row>
    <row r="154" spans="2:20" x14ac:dyDescent="0.3">
      <c r="B154" s="7">
        <v>153</v>
      </c>
      <c r="C154" s="7" t="s">
        <v>495</v>
      </c>
      <c r="D154" s="7" t="s">
        <v>496</v>
      </c>
      <c r="E154" s="7" t="str">
        <f t="shared" si="6"/>
        <v>Jun</v>
      </c>
      <c r="F154" s="7" t="s">
        <v>497</v>
      </c>
      <c r="G154" s="7" t="s">
        <v>44</v>
      </c>
      <c r="H154" s="7" t="s">
        <v>71</v>
      </c>
      <c r="I154" s="7" t="s">
        <v>52</v>
      </c>
      <c r="J154" s="7" t="s">
        <v>66</v>
      </c>
      <c r="K154" s="7" t="s">
        <v>82</v>
      </c>
      <c r="L154" s="7">
        <v>236.05</v>
      </c>
      <c r="M154" s="7">
        <v>1</v>
      </c>
      <c r="N154" s="7">
        <v>0.24</v>
      </c>
      <c r="O154" s="7">
        <v>46.13</v>
      </c>
      <c r="P154" s="7" t="s">
        <v>31</v>
      </c>
      <c r="Q154" s="7" t="s">
        <v>40</v>
      </c>
      <c r="R154" s="7">
        <v>10</v>
      </c>
      <c r="S154" s="7">
        <f t="shared" si="7"/>
        <v>2025</v>
      </c>
      <c r="T154" s="7" t="str">
        <f t="shared" si="8"/>
        <v>Jun</v>
      </c>
    </row>
    <row r="155" spans="2:20" x14ac:dyDescent="0.3">
      <c r="B155" s="7">
        <v>154</v>
      </c>
      <c r="C155" s="7" t="s">
        <v>498</v>
      </c>
      <c r="D155" s="7" t="s">
        <v>390</v>
      </c>
      <c r="E155" s="7" t="str">
        <f t="shared" si="6"/>
        <v>Aug</v>
      </c>
      <c r="F155" s="7" t="s">
        <v>499</v>
      </c>
      <c r="G155" s="7" t="s">
        <v>64</v>
      </c>
      <c r="H155" s="7" t="s">
        <v>19</v>
      </c>
      <c r="I155" s="7" t="s">
        <v>106</v>
      </c>
      <c r="J155" s="7" t="s">
        <v>21</v>
      </c>
      <c r="K155" s="7" t="s">
        <v>72</v>
      </c>
      <c r="L155" s="7">
        <v>360.33</v>
      </c>
      <c r="M155" s="7">
        <v>1</v>
      </c>
      <c r="N155" s="7">
        <v>0.15</v>
      </c>
      <c r="O155" s="7">
        <v>73.819999999999993</v>
      </c>
      <c r="P155" s="7" t="s">
        <v>31</v>
      </c>
      <c r="Q155" s="7" t="s">
        <v>86</v>
      </c>
      <c r="R155" s="7">
        <v>8</v>
      </c>
      <c r="S155" s="7">
        <f t="shared" si="7"/>
        <v>2025</v>
      </c>
      <c r="T155" s="7" t="str">
        <f t="shared" si="8"/>
        <v>Aug</v>
      </c>
    </row>
    <row r="156" spans="2:20" x14ac:dyDescent="0.3">
      <c r="B156" s="7">
        <v>155</v>
      </c>
      <c r="C156" s="7" t="s">
        <v>500</v>
      </c>
      <c r="D156" s="7" t="s">
        <v>501</v>
      </c>
      <c r="E156" s="7" t="str">
        <f t="shared" si="6"/>
        <v>Oct</v>
      </c>
      <c r="F156" s="7" t="s">
        <v>502</v>
      </c>
      <c r="G156" s="7" t="s">
        <v>64</v>
      </c>
      <c r="H156" s="7" t="s">
        <v>37</v>
      </c>
      <c r="I156" s="7" t="s">
        <v>59</v>
      </c>
      <c r="J156" s="7" t="s">
        <v>21</v>
      </c>
      <c r="K156" s="7" t="s">
        <v>72</v>
      </c>
      <c r="L156" s="7">
        <v>680.55</v>
      </c>
      <c r="M156" s="7">
        <v>5</v>
      </c>
      <c r="N156" s="7">
        <v>0.02</v>
      </c>
      <c r="O156" s="7">
        <v>215.9</v>
      </c>
      <c r="P156" s="7" t="s">
        <v>23</v>
      </c>
      <c r="Q156" s="7" t="s">
        <v>24</v>
      </c>
      <c r="R156" s="7">
        <v>10</v>
      </c>
      <c r="S156" s="7">
        <f t="shared" si="7"/>
        <v>2024</v>
      </c>
      <c r="T156" s="7" t="str">
        <f t="shared" si="8"/>
        <v>Oct</v>
      </c>
    </row>
    <row r="157" spans="2:20" x14ac:dyDescent="0.3">
      <c r="B157" s="7">
        <v>156</v>
      </c>
      <c r="C157" s="7" t="s">
        <v>503</v>
      </c>
      <c r="D157" s="7" t="s">
        <v>496</v>
      </c>
      <c r="E157" s="7" t="str">
        <f t="shared" si="6"/>
        <v>Jun</v>
      </c>
      <c r="F157" s="7" t="s">
        <v>504</v>
      </c>
      <c r="G157" s="7" t="s">
        <v>44</v>
      </c>
      <c r="H157" s="7" t="s">
        <v>51</v>
      </c>
      <c r="I157" s="7" t="s">
        <v>20</v>
      </c>
      <c r="J157" s="7" t="s">
        <v>66</v>
      </c>
      <c r="K157" s="7" t="s">
        <v>82</v>
      </c>
      <c r="L157" s="7">
        <v>218.81</v>
      </c>
      <c r="M157" s="7">
        <v>2</v>
      </c>
      <c r="N157" s="7">
        <v>0.15</v>
      </c>
      <c r="O157" s="7">
        <v>30.23</v>
      </c>
      <c r="P157" s="7" t="s">
        <v>31</v>
      </c>
      <c r="Q157" s="7" t="s">
        <v>40</v>
      </c>
      <c r="R157" s="7">
        <v>7</v>
      </c>
      <c r="S157" s="7">
        <f t="shared" si="7"/>
        <v>2025</v>
      </c>
      <c r="T157" s="7" t="str">
        <f t="shared" si="8"/>
        <v>Jun</v>
      </c>
    </row>
    <row r="158" spans="2:20" x14ac:dyDescent="0.3">
      <c r="B158" s="7">
        <v>157</v>
      </c>
      <c r="C158" s="7" t="s">
        <v>505</v>
      </c>
      <c r="D158" s="7" t="s">
        <v>506</v>
      </c>
      <c r="E158" s="7" t="str">
        <f t="shared" si="6"/>
        <v>Jun</v>
      </c>
      <c r="F158" s="7" t="s">
        <v>507</v>
      </c>
      <c r="G158" s="7" t="s">
        <v>102</v>
      </c>
      <c r="H158" s="7" t="s">
        <v>65</v>
      </c>
      <c r="I158" s="7" t="s">
        <v>28</v>
      </c>
      <c r="J158" s="7" t="s">
        <v>81</v>
      </c>
      <c r="K158" s="7" t="s">
        <v>82</v>
      </c>
      <c r="L158" s="7">
        <v>1527.06</v>
      </c>
      <c r="M158" s="7">
        <v>2</v>
      </c>
      <c r="N158" s="7">
        <v>0.3</v>
      </c>
      <c r="O158" s="7">
        <v>168.51</v>
      </c>
      <c r="P158" s="7" t="s">
        <v>31</v>
      </c>
      <c r="Q158" s="7" t="s">
        <v>77</v>
      </c>
      <c r="R158" s="7">
        <v>8</v>
      </c>
      <c r="S158" s="7">
        <f t="shared" si="7"/>
        <v>2024</v>
      </c>
      <c r="T158" s="7" t="str">
        <f t="shared" si="8"/>
        <v>Jun</v>
      </c>
    </row>
    <row r="159" spans="2:20" x14ac:dyDescent="0.3">
      <c r="B159" s="7">
        <v>158</v>
      </c>
      <c r="C159" s="7" t="s">
        <v>508</v>
      </c>
      <c r="D159" s="7" t="s">
        <v>509</v>
      </c>
      <c r="E159" s="7" t="str">
        <f t="shared" si="6"/>
        <v>Apr</v>
      </c>
      <c r="F159" s="7" t="s">
        <v>510</v>
      </c>
      <c r="G159" s="7" t="s">
        <v>102</v>
      </c>
      <c r="H159" s="7" t="s">
        <v>71</v>
      </c>
      <c r="I159" s="7" t="s">
        <v>106</v>
      </c>
      <c r="J159" s="7" t="s">
        <v>81</v>
      </c>
      <c r="K159" s="7" t="s">
        <v>82</v>
      </c>
      <c r="L159" s="7">
        <v>1982.81</v>
      </c>
      <c r="M159" s="7">
        <v>3</v>
      </c>
      <c r="N159" s="7">
        <v>0.16</v>
      </c>
      <c r="O159" s="7">
        <v>510.3</v>
      </c>
      <c r="P159" s="7" t="s">
        <v>23</v>
      </c>
      <c r="Q159" s="7" t="s">
        <v>40</v>
      </c>
      <c r="R159" s="7">
        <v>7</v>
      </c>
      <c r="S159" s="7">
        <f t="shared" si="7"/>
        <v>2025</v>
      </c>
      <c r="T159" s="7" t="str">
        <f t="shared" si="8"/>
        <v>Apr</v>
      </c>
    </row>
    <row r="160" spans="2:20" x14ac:dyDescent="0.3">
      <c r="B160" s="7">
        <v>159</v>
      </c>
      <c r="C160" s="7" t="s">
        <v>511</v>
      </c>
      <c r="D160" s="7" t="s">
        <v>512</v>
      </c>
      <c r="E160" s="7" t="str">
        <f t="shared" si="6"/>
        <v>May</v>
      </c>
      <c r="F160" s="7" t="s">
        <v>513</v>
      </c>
      <c r="G160" s="7" t="s">
        <v>44</v>
      </c>
      <c r="H160" s="7" t="s">
        <v>37</v>
      </c>
      <c r="I160" s="7" t="s">
        <v>20</v>
      </c>
      <c r="J160" s="7" t="s">
        <v>21</v>
      </c>
      <c r="K160" s="7" t="s">
        <v>60</v>
      </c>
      <c r="L160" s="7">
        <v>476.69</v>
      </c>
      <c r="M160" s="7">
        <v>2</v>
      </c>
      <c r="N160" s="7">
        <v>0.01</v>
      </c>
      <c r="O160" s="7">
        <v>60.39</v>
      </c>
      <c r="P160" s="7" t="s">
        <v>31</v>
      </c>
      <c r="Q160" s="7" t="s">
        <v>77</v>
      </c>
      <c r="R160" s="7">
        <v>3</v>
      </c>
      <c r="S160" s="7">
        <f t="shared" si="7"/>
        <v>2024</v>
      </c>
      <c r="T160" s="7" t="str">
        <f t="shared" si="8"/>
        <v>May</v>
      </c>
    </row>
    <row r="161" spans="2:20" x14ac:dyDescent="0.3">
      <c r="B161" s="7">
        <v>160</v>
      </c>
      <c r="C161" s="7" t="s">
        <v>514</v>
      </c>
      <c r="D161" s="7" t="s">
        <v>515</v>
      </c>
      <c r="E161" s="7" t="str">
        <f t="shared" si="6"/>
        <v>Feb</v>
      </c>
      <c r="F161" s="7" t="s">
        <v>516</v>
      </c>
      <c r="G161" s="7" t="s">
        <v>18</v>
      </c>
      <c r="H161" s="7" t="s">
        <v>58</v>
      </c>
      <c r="I161" s="7" t="s">
        <v>59</v>
      </c>
      <c r="J161" s="7" t="s">
        <v>66</v>
      </c>
      <c r="K161" s="7" t="s">
        <v>30</v>
      </c>
      <c r="L161" s="7">
        <v>1198.3699999999999</v>
      </c>
      <c r="M161" s="7">
        <v>3</v>
      </c>
      <c r="N161" s="7">
        <v>0.06</v>
      </c>
      <c r="O161" s="7">
        <v>161.55000000000001</v>
      </c>
      <c r="P161" s="7" t="s">
        <v>23</v>
      </c>
      <c r="Q161" s="7" t="s">
        <v>40</v>
      </c>
      <c r="R161" s="7">
        <v>10</v>
      </c>
      <c r="S161" s="7">
        <f t="shared" si="7"/>
        <v>2025</v>
      </c>
      <c r="T161" s="7" t="str">
        <f t="shared" si="8"/>
        <v>Feb</v>
      </c>
    </row>
    <row r="162" spans="2:20" x14ac:dyDescent="0.3">
      <c r="B162" s="7">
        <v>161</v>
      </c>
      <c r="C162" s="7" t="s">
        <v>517</v>
      </c>
      <c r="D162" s="7" t="s">
        <v>94</v>
      </c>
      <c r="E162" s="7" t="str">
        <f t="shared" si="6"/>
        <v>Jan</v>
      </c>
      <c r="F162" s="7" t="s">
        <v>518</v>
      </c>
      <c r="G162" s="7" t="s">
        <v>102</v>
      </c>
      <c r="H162" s="7" t="s">
        <v>65</v>
      </c>
      <c r="I162" s="7" t="s">
        <v>20</v>
      </c>
      <c r="J162" s="7" t="s">
        <v>47</v>
      </c>
      <c r="K162" s="7" t="s">
        <v>60</v>
      </c>
      <c r="L162" s="7">
        <v>2296.7800000000002</v>
      </c>
      <c r="M162" s="7">
        <v>5</v>
      </c>
      <c r="N162" s="7">
        <v>0.12</v>
      </c>
      <c r="O162" s="7">
        <v>652.6</v>
      </c>
      <c r="P162" s="7" t="s">
        <v>31</v>
      </c>
      <c r="Q162" s="7" t="s">
        <v>32</v>
      </c>
      <c r="R162" s="7">
        <v>2</v>
      </c>
      <c r="S162" s="7">
        <f t="shared" si="7"/>
        <v>2025</v>
      </c>
      <c r="T162" s="7" t="str">
        <f t="shared" si="8"/>
        <v>Jan</v>
      </c>
    </row>
    <row r="163" spans="2:20" x14ac:dyDescent="0.3">
      <c r="B163" s="7">
        <v>162</v>
      </c>
      <c r="C163" s="7" t="s">
        <v>519</v>
      </c>
      <c r="D163" s="7" t="s">
        <v>520</v>
      </c>
      <c r="E163" s="7" t="str">
        <f t="shared" si="6"/>
        <v>Apr</v>
      </c>
      <c r="F163" s="7" t="s">
        <v>521</v>
      </c>
      <c r="G163" s="7" t="s">
        <v>44</v>
      </c>
      <c r="H163" s="7" t="s">
        <v>71</v>
      </c>
      <c r="I163" s="7" t="s">
        <v>38</v>
      </c>
      <c r="J163" s="7" t="s">
        <v>21</v>
      </c>
      <c r="K163" s="7" t="s">
        <v>60</v>
      </c>
      <c r="L163" s="7">
        <v>2961.28</v>
      </c>
      <c r="M163" s="7">
        <v>3</v>
      </c>
      <c r="N163" s="7">
        <v>0.08</v>
      </c>
      <c r="O163" s="7">
        <v>816.26</v>
      </c>
      <c r="P163" s="7" t="s">
        <v>31</v>
      </c>
      <c r="Q163" s="7" t="s">
        <v>40</v>
      </c>
      <c r="R163" s="7">
        <v>2</v>
      </c>
      <c r="S163" s="7">
        <f t="shared" si="7"/>
        <v>2025</v>
      </c>
      <c r="T163" s="7" t="str">
        <f t="shared" si="8"/>
        <v>Apr</v>
      </c>
    </row>
    <row r="164" spans="2:20" x14ac:dyDescent="0.3">
      <c r="B164" s="7">
        <v>163</v>
      </c>
      <c r="C164" s="7" t="s">
        <v>522</v>
      </c>
      <c r="D164" s="7" t="s">
        <v>318</v>
      </c>
      <c r="E164" s="7" t="str">
        <f t="shared" si="6"/>
        <v>Feb</v>
      </c>
      <c r="F164" s="7" t="s">
        <v>523</v>
      </c>
      <c r="G164" s="7" t="s">
        <v>36</v>
      </c>
      <c r="H164" s="7" t="s">
        <v>51</v>
      </c>
      <c r="I164" s="7" t="s">
        <v>38</v>
      </c>
      <c r="J164" s="7" t="s">
        <v>21</v>
      </c>
      <c r="K164" s="7" t="s">
        <v>39</v>
      </c>
      <c r="L164" s="7">
        <v>618.27</v>
      </c>
      <c r="M164" s="7">
        <v>1</v>
      </c>
      <c r="N164" s="7">
        <v>0.05</v>
      </c>
      <c r="O164" s="7">
        <v>99.7</v>
      </c>
      <c r="P164" s="7" t="s">
        <v>23</v>
      </c>
      <c r="Q164" s="7" t="s">
        <v>40</v>
      </c>
      <c r="R164" s="7">
        <v>7</v>
      </c>
      <c r="S164" s="7">
        <f t="shared" si="7"/>
        <v>2025</v>
      </c>
      <c r="T164" s="7" t="str">
        <f t="shared" si="8"/>
        <v>Feb</v>
      </c>
    </row>
    <row r="165" spans="2:20" x14ac:dyDescent="0.3">
      <c r="B165" s="7">
        <v>164</v>
      </c>
      <c r="C165" s="7" t="s">
        <v>524</v>
      </c>
      <c r="D165" s="7" t="s">
        <v>525</v>
      </c>
      <c r="E165" s="7" t="str">
        <f t="shared" si="6"/>
        <v>Feb</v>
      </c>
      <c r="F165" s="7" t="s">
        <v>526</v>
      </c>
      <c r="G165" s="7" t="s">
        <v>44</v>
      </c>
      <c r="H165" s="7" t="s">
        <v>51</v>
      </c>
      <c r="I165" s="7" t="s">
        <v>116</v>
      </c>
      <c r="J165" s="7" t="s">
        <v>66</v>
      </c>
      <c r="K165" s="7" t="s">
        <v>76</v>
      </c>
      <c r="L165" s="7">
        <v>2051.0700000000002</v>
      </c>
      <c r="M165" s="7">
        <v>3</v>
      </c>
      <c r="N165" s="7">
        <v>0.17</v>
      </c>
      <c r="O165" s="7">
        <v>510.57</v>
      </c>
      <c r="P165" s="7" t="s">
        <v>23</v>
      </c>
      <c r="Q165" s="7" t="s">
        <v>32</v>
      </c>
      <c r="R165" s="7">
        <v>8</v>
      </c>
      <c r="S165" s="7">
        <f t="shared" si="7"/>
        <v>2025</v>
      </c>
      <c r="T165" s="7" t="str">
        <f t="shared" si="8"/>
        <v>Feb</v>
      </c>
    </row>
    <row r="166" spans="2:20" x14ac:dyDescent="0.3">
      <c r="B166" s="7">
        <v>165</v>
      </c>
      <c r="C166" s="7" t="s">
        <v>527</v>
      </c>
      <c r="D166" s="7" t="s">
        <v>528</v>
      </c>
      <c r="E166" s="7" t="str">
        <f t="shared" si="6"/>
        <v>Dec</v>
      </c>
      <c r="F166" s="7" t="s">
        <v>529</v>
      </c>
      <c r="G166" s="7" t="s">
        <v>36</v>
      </c>
      <c r="H166" s="7" t="s">
        <v>37</v>
      </c>
      <c r="I166" s="7" t="s">
        <v>28</v>
      </c>
      <c r="J166" s="7" t="s">
        <v>47</v>
      </c>
      <c r="K166" s="7" t="s">
        <v>22</v>
      </c>
      <c r="L166" s="7">
        <v>833.59</v>
      </c>
      <c r="M166" s="7">
        <v>1</v>
      </c>
      <c r="N166" s="7">
        <v>0.14000000000000001</v>
      </c>
      <c r="O166" s="7">
        <v>97.9</v>
      </c>
      <c r="P166" s="7" t="s">
        <v>54</v>
      </c>
      <c r="Q166" s="7" t="s">
        <v>86</v>
      </c>
      <c r="R166" s="7">
        <v>9</v>
      </c>
      <c r="S166" s="7">
        <f t="shared" si="7"/>
        <v>2025</v>
      </c>
      <c r="T166" s="7" t="str">
        <f t="shared" si="8"/>
        <v>Dec</v>
      </c>
    </row>
    <row r="167" spans="2:20" x14ac:dyDescent="0.3">
      <c r="B167" s="7">
        <v>166</v>
      </c>
      <c r="C167" s="7" t="s">
        <v>530</v>
      </c>
      <c r="D167" s="7" t="s">
        <v>163</v>
      </c>
      <c r="E167" s="7" t="str">
        <f t="shared" si="6"/>
        <v>Mar</v>
      </c>
      <c r="F167" s="7" t="s">
        <v>531</v>
      </c>
      <c r="G167" s="7" t="s">
        <v>64</v>
      </c>
      <c r="H167" s="7" t="s">
        <v>45</v>
      </c>
      <c r="I167" s="7" t="s">
        <v>38</v>
      </c>
      <c r="J167" s="7" t="s">
        <v>66</v>
      </c>
      <c r="K167" s="7" t="s">
        <v>53</v>
      </c>
      <c r="L167" s="7">
        <v>2947.4</v>
      </c>
      <c r="M167" s="7">
        <v>4</v>
      </c>
      <c r="N167" s="7">
        <v>0.02</v>
      </c>
      <c r="O167" s="7">
        <v>501.89</v>
      </c>
      <c r="P167" s="7" t="s">
        <v>31</v>
      </c>
      <c r="Q167" s="7" t="s">
        <v>32</v>
      </c>
      <c r="R167" s="7">
        <v>1</v>
      </c>
      <c r="S167" s="7">
        <f t="shared" si="7"/>
        <v>2025</v>
      </c>
      <c r="T167" s="7" t="str">
        <f t="shared" si="8"/>
        <v>Mar</v>
      </c>
    </row>
    <row r="168" spans="2:20" x14ac:dyDescent="0.3">
      <c r="B168" s="7">
        <v>167</v>
      </c>
      <c r="C168" s="7" t="s">
        <v>532</v>
      </c>
      <c r="D168" s="7" t="s">
        <v>533</v>
      </c>
      <c r="E168" s="7" t="str">
        <f t="shared" si="6"/>
        <v>Dec</v>
      </c>
      <c r="F168" s="7" t="s">
        <v>534</v>
      </c>
      <c r="G168" s="7" t="s">
        <v>64</v>
      </c>
      <c r="H168" s="7" t="s">
        <v>45</v>
      </c>
      <c r="I168" s="7" t="s">
        <v>28</v>
      </c>
      <c r="J168" s="7" t="s">
        <v>29</v>
      </c>
      <c r="K168" s="7" t="s">
        <v>72</v>
      </c>
      <c r="L168" s="7">
        <v>1688.56</v>
      </c>
      <c r="M168" s="7">
        <v>3</v>
      </c>
      <c r="N168" s="7">
        <v>0.08</v>
      </c>
      <c r="O168" s="7">
        <v>467.19</v>
      </c>
      <c r="P168" s="7" t="s">
        <v>31</v>
      </c>
      <c r="Q168" s="7" t="s">
        <v>86</v>
      </c>
      <c r="R168" s="7">
        <v>5</v>
      </c>
      <c r="S168" s="7">
        <f t="shared" si="7"/>
        <v>2024</v>
      </c>
      <c r="T168" s="7" t="str">
        <f t="shared" si="8"/>
        <v>Dec</v>
      </c>
    </row>
    <row r="169" spans="2:20" x14ac:dyDescent="0.3">
      <c r="B169" s="7">
        <v>168</v>
      </c>
      <c r="C169" s="7" t="s">
        <v>535</v>
      </c>
      <c r="D169" s="7" t="s">
        <v>536</v>
      </c>
      <c r="E169" s="7" t="str">
        <f t="shared" si="6"/>
        <v>Dec</v>
      </c>
      <c r="F169" s="7" t="s">
        <v>537</v>
      </c>
      <c r="G169" s="7" t="s">
        <v>36</v>
      </c>
      <c r="H169" s="7" t="s">
        <v>45</v>
      </c>
      <c r="I169" s="7" t="s">
        <v>28</v>
      </c>
      <c r="J169" s="7" t="s">
        <v>47</v>
      </c>
      <c r="K169" s="7" t="s">
        <v>53</v>
      </c>
      <c r="L169" s="7">
        <v>1888.11</v>
      </c>
      <c r="M169" s="7">
        <v>5</v>
      </c>
      <c r="N169" s="7">
        <v>0.05</v>
      </c>
      <c r="O169" s="7">
        <v>235.15</v>
      </c>
      <c r="P169" s="7" t="s">
        <v>31</v>
      </c>
      <c r="Q169" s="7" t="s">
        <v>77</v>
      </c>
      <c r="R169" s="7">
        <v>5</v>
      </c>
      <c r="S169" s="7">
        <f t="shared" si="7"/>
        <v>2025</v>
      </c>
      <c r="T169" s="7" t="str">
        <f t="shared" si="8"/>
        <v>Dec</v>
      </c>
    </row>
    <row r="170" spans="2:20" x14ac:dyDescent="0.3">
      <c r="B170" s="7">
        <v>169</v>
      </c>
      <c r="C170" s="7" t="s">
        <v>538</v>
      </c>
      <c r="D170" s="7" t="s">
        <v>484</v>
      </c>
      <c r="E170" s="7" t="str">
        <f t="shared" si="6"/>
        <v>Dec</v>
      </c>
      <c r="F170" s="7" t="s">
        <v>539</v>
      </c>
      <c r="G170" s="7" t="s">
        <v>102</v>
      </c>
      <c r="H170" s="7" t="s">
        <v>58</v>
      </c>
      <c r="I170" s="7" t="s">
        <v>116</v>
      </c>
      <c r="J170" s="7" t="s">
        <v>29</v>
      </c>
      <c r="K170" s="7" t="s">
        <v>60</v>
      </c>
      <c r="L170" s="7">
        <v>483.63</v>
      </c>
      <c r="M170" s="7">
        <v>1</v>
      </c>
      <c r="N170" s="7">
        <v>0.27</v>
      </c>
      <c r="O170" s="7">
        <v>68.739999999999995</v>
      </c>
      <c r="P170" s="7" t="s">
        <v>31</v>
      </c>
      <c r="Q170" s="7" t="s">
        <v>32</v>
      </c>
      <c r="R170" s="7">
        <v>10</v>
      </c>
      <c r="S170" s="7">
        <f t="shared" si="7"/>
        <v>2024</v>
      </c>
      <c r="T170" s="7" t="str">
        <f t="shared" si="8"/>
        <v>Dec</v>
      </c>
    </row>
    <row r="171" spans="2:20" x14ac:dyDescent="0.3">
      <c r="B171" s="7">
        <v>170</v>
      </c>
      <c r="C171" s="7" t="s">
        <v>540</v>
      </c>
      <c r="D171" s="7" t="s">
        <v>541</v>
      </c>
      <c r="E171" s="7" t="str">
        <f t="shared" si="6"/>
        <v>Jan</v>
      </c>
      <c r="F171" s="7" t="s">
        <v>542</v>
      </c>
      <c r="G171" s="7" t="s">
        <v>102</v>
      </c>
      <c r="H171" s="7" t="s">
        <v>45</v>
      </c>
      <c r="I171" s="7" t="s">
        <v>106</v>
      </c>
      <c r="J171" s="7" t="s">
        <v>21</v>
      </c>
      <c r="K171" s="7" t="s">
        <v>39</v>
      </c>
      <c r="L171" s="7">
        <v>904.33</v>
      </c>
      <c r="M171" s="7">
        <v>1</v>
      </c>
      <c r="N171" s="7">
        <v>0.3</v>
      </c>
      <c r="O171" s="7">
        <v>256.83999999999997</v>
      </c>
      <c r="P171" s="7" t="s">
        <v>31</v>
      </c>
      <c r="Q171" s="7" t="s">
        <v>32</v>
      </c>
      <c r="R171" s="7">
        <v>4</v>
      </c>
      <c r="S171" s="7">
        <f t="shared" si="7"/>
        <v>2024</v>
      </c>
      <c r="T171" s="7" t="str">
        <f t="shared" si="8"/>
        <v>Jan</v>
      </c>
    </row>
    <row r="172" spans="2:20" x14ac:dyDescent="0.3">
      <c r="B172" s="7">
        <v>171</v>
      </c>
      <c r="C172" s="7" t="s">
        <v>543</v>
      </c>
      <c r="D172" s="7" t="s">
        <v>544</v>
      </c>
      <c r="E172" s="7" t="str">
        <f t="shared" si="6"/>
        <v>Aug</v>
      </c>
      <c r="F172" s="7" t="s">
        <v>545</v>
      </c>
      <c r="G172" s="7" t="s">
        <v>64</v>
      </c>
      <c r="H172" s="7" t="s">
        <v>37</v>
      </c>
      <c r="I172" s="7" t="s">
        <v>59</v>
      </c>
      <c r="J172" s="7" t="s">
        <v>66</v>
      </c>
      <c r="K172" s="7" t="s">
        <v>53</v>
      </c>
      <c r="L172" s="7">
        <v>828.59</v>
      </c>
      <c r="M172" s="7">
        <v>2</v>
      </c>
      <c r="N172" s="7">
        <v>0.28000000000000003</v>
      </c>
      <c r="O172" s="7">
        <v>266.44</v>
      </c>
      <c r="P172" s="7" t="s">
        <v>31</v>
      </c>
      <c r="Q172" s="7" t="s">
        <v>24</v>
      </c>
      <c r="R172" s="7">
        <v>10</v>
      </c>
      <c r="S172" s="7">
        <f t="shared" si="7"/>
        <v>2024</v>
      </c>
      <c r="T172" s="7" t="str">
        <f t="shared" si="8"/>
        <v>Aug</v>
      </c>
    </row>
    <row r="173" spans="2:20" x14ac:dyDescent="0.3">
      <c r="B173" s="7">
        <v>172</v>
      </c>
      <c r="C173" s="7" t="s">
        <v>546</v>
      </c>
      <c r="D173" s="7" t="s">
        <v>506</v>
      </c>
      <c r="E173" s="7" t="str">
        <f t="shared" si="6"/>
        <v>Jun</v>
      </c>
      <c r="F173" s="7" t="s">
        <v>547</v>
      </c>
      <c r="G173" s="7" t="s">
        <v>36</v>
      </c>
      <c r="H173" s="7" t="s">
        <v>51</v>
      </c>
      <c r="I173" s="7" t="s">
        <v>59</v>
      </c>
      <c r="J173" s="7" t="s">
        <v>47</v>
      </c>
      <c r="K173" s="7" t="s">
        <v>67</v>
      </c>
      <c r="L173" s="7">
        <v>823.24</v>
      </c>
      <c r="M173" s="7">
        <v>2</v>
      </c>
      <c r="N173" s="7">
        <v>0.17</v>
      </c>
      <c r="O173" s="7">
        <v>202.54</v>
      </c>
      <c r="P173" s="7" t="s">
        <v>54</v>
      </c>
      <c r="Q173" s="7" t="s">
        <v>77</v>
      </c>
      <c r="R173" s="7">
        <v>6</v>
      </c>
      <c r="S173" s="7">
        <f t="shared" si="7"/>
        <v>2024</v>
      </c>
      <c r="T173" s="7" t="str">
        <f t="shared" si="8"/>
        <v>Jun</v>
      </c>
    </row>
    <row r="174" spans="2:20" x14ac:dyDescent="0.3">
      <c r="B174" s="7">
        <v>173</v>
      </c>
      <c r="C174" s="7" t="s">
        <v>548</v>
      </c>
      <c r="D174" s="7" t="s">
        <v>549</v>
      </c>
      <c r="E174" s="7" t="str">
        <f t="shared" si="6"/>
        <v>Feb</v>
      </c>
      <c r="F174" s="7" t="s">
        <v>550</v>
      </c>
      <c r="G174" s="7" t="s">
        <v>18</v>
      </c>
      <c r="H174" s="7" t="s">
        <v>19</v>
      </c>
      <c r="I174" s="7" t="s">
        <v>59</v>
      </c>
      <c r="J174" s="7" t="s">
        <v>29</v>
      </c>
      <c r="K174" s="7" t="s">
        <v>76</v>
      </c>
      <c r="L174" s="7">
        <v>594.92999999999995</v>
      </c>
      <c r="M174" s="7">
        <v>1</v>
      </c>
      <c r="N174" s="7">
        <v>0.22</v>
      </c>
      <c r="O174" s="7">
        <v>123.36</v>
      </c>
      <c r="P174" s="7" t="s">
        <v>54</v>
      </c>
      <c r="Q174" s="7" t="s">
        <v>24</v>
      </c>
      <c r="R174" s="7">
        <v>10</v>
      </c>
      <c r="S174" s="7">
        <f t="shared" si="7"/>
        <v>2024</v>
      </c>
      <c r="T174" s="7" t="str">
        <f t="shared" si="8"/>
        <v>Feb</v>
      </c>
    </row>
    <row r="175" spans="2:20" x14ac:dyDescent="0.3">
      <c r="B175" s="7">
        <v>174</v>
      </c>
      <c r="C175" s="7" t="s">
        <v>551</v>
      </c>
      <c r="D175" s="7" t="s">
        <v>552</v>
      </c>
      <c r="E175" s="7" t="str">
        <f t="shared" si="6"/>
        <v>Mar</v>
      </c>
      <c r="F175" s="7" t="s">
        <v>553</v>
      </c>
      <c r="G175" s="7" t="s">
        <v>102</v>
      </c>
      <c r="H175" s="7" t="s">
        <v>45</v>
      </c>
      <c r="I175" s="7" t="s">
        <v>28</v>
      </c>
      <c r="J175" s="7" t="s">
        <v>81</v>
      </c>
      <c r="K175" s="7" t="s">
        <v>22</v>
      </c>
      <c r="L175" s="7">
        <v>2274.7399999999998</v>
      </c>
      <c r="M175" s="7">
        <v>4</v>
      </c>
      <c r="N175" s="7">
        <v>0.14000000000000001</v>
      </c>
      <c r="O175" s="7">
        <v>265.68</v>
      </c>
      <c r="P175" s="7" t="s">
        <v>31</v>
      </c>
      <c r="Q175" s="7" t="s">
        <v>32</v>
      </c>
      <c r="R175" s="7">
        <v>2</v>
      </c>
      <c r="S175" s="7">
        <f t="shared" si="7"/>
        <v>2024</v>
      </c>
      <c r="T175" s="7" t="str">
        <f t="shared" si="8"/>
        <v>Mar</v>
      </c>
    </row>
    <row r="176" spans="2:20" x14ac:dyDescent="0.3">
      <c r="B176" s="7">
        <v>175</v>
      </c>
      <c r="C176" s="7" t="s">
        <v>554</v>
      </c>
      <c r="D176" s="7" t="s">
        <v>555</v>
      </c>
      <c r="E176" s="7" t="str">
        <f t="shared" si="6"/>
        <v>May</v>
      </c>
      <c r="F176" s="7" t="s">
        <v>556</v>
      </c>
      <c r="G176" s="7" t="s">
        <v>18</v>
      </c>
      <c r="H176" s="7" t="s">
        <v>19</v>
      </c>
      <c r="I176" s="7" t="s">
        <v>52</v>
      </c>
      <c r="J176" s="7" t="s">
        <v>66</v>
      </c>
      <c r="K176" s="7" t="s">
        <v>22</v>
      </c>
      <c r="L176" s="7">
        <v>1559.68</v>
      </c>
      <c r="M176" s="7">
        <v>2</v>
      </c>
      <c r="N176" s="7">
        <v>0.01</v>
      </c>
      <c r="O176" s="7">
        <v>442.51</v>
      </c>
      <c r="P176" s="7" t="s">
        <v>23</v>
      </c>
      <c r="Q176" s="7" t="s">
        <v>32</v>
      </c>
      <c r="R176" s="7">
        <v>4</v>
      </c>
      <c r="S176" s="7">
        <f t="shared" si="7"/>
        <v>2025</v>
      </c>
      <c r="T176" s="7" t="str">
        <f t="shared" si="8"/>
        <v>May</v>
      </c>
    </row>
    <row r="177" spans="2:20" x14ac:dyDescent="0.3">
      <c r="B177" s="7">
        <v>176</v>
      </c>
      <c r="C177" s="7" t="s">
        <v>557</v>
      </c>
      <c r="D177" s="7" t="s">
        <v>133</v>
      </c>
      <c r="E177" s="7" t="str">
        <f t="shared" si="6"/>
        <v>Sep</v>
      </c>
      <c r="F177" s="7" t="s">
        <v>558</v>
      </c>
      <c r="G177" s="7" t="s">
        <v>18</v>
      </c>
      <c r="H177" s="7" t="s">
        <v>19</v>
      </c>
      <c r="I177" s="7" t="s">
        <v>38</v>
      </c>
      <c r="J177" s="7" t="s">
        <v>47</v>
      </c>
      <c r="K177" s="7" t="s">
        <v>22</v>
      </c>
      <c r="L177" s="7">
        <v>170.03</v>
      </c>
      <c r="M177" s="7">
        <v>3</v>
      </c>
      <c r="N177" s="7">
        <v>0.13</v>
      </c>
      <c r="O177" s="7">
        <v>53.54</v>
      </c>
      <c r="P177" s="7" t="s">
        <v>31</v>
      </c>
      <c r="Q177" s="7" t="s">
        <v>77</v>
      </c>
      <c r="R177" s="7">
        <v>8</v>
      </c>
      <c r="S177" s="7">
        <f t="shared" si="7"/>
        <v>2025</v>
      </c>
      <c r="T177" s="7" t="str">
        <f t="shared" si="8"/>
        <v>Sep</v>
      </c>
    </row>
    <row r="178" spans="2:20" x14ac:dyDescent="0.3">
      <c r="B178" s="7">
        <v>177</v>
      </c>
      <c r="C178" s="7" t="s">
        <v>559</v>
      </c>
      <c r="D178" s="7" t="s">
        <v>560</v>
      </c>
      <c r="E178" s="7" t="str">
        <f t="shared" si="6"/>
        <v>Jan</v>
      </c>
      <c r="F178" s="7" t="s">
        <v>561</v>
      </c>
      <c r="G178" s="7" t="s">
        <v>64</v>
      </c>
      <c r="H178" s="7" t="s">
        <v>45</v>
      </c>
      <c r="I178" s="7" t="s">
        <v>46</v>
      </c>
      <c r="J178" s="7" t="s">
        <v>29</v>
      </c>
      <c r="K178" s="7" t="s">
        <v>60</v>
      </c>
      <c r="L178" s="7">
        <v>773.71</v>
      </c>
      <c r="M178" s="7">
        <v>1</v>
      </c>
      <c r="N178" s="7">
        <v>0.27</v>
      </c>
      <c r="O178" s="7">
        <v>211.53</v>
      </c>
      <c r="P178" s="7" t="s">
        <v>54</v>
      </c>
      <c r="Q178" s="7" t="s">
        <v>40</v>
      </c>
      <c r="R178" s="7">
        <v>4</v>
      </c>
      <c r="S178" s="7">
        <f t="shared" si="7"/>
        <v>2025</v>
      </c>
      <c r="T178" s="7" t="str">
        <f t="shared" si="8"/>
        <v>Jan</v>
      </c>
    </row>
    <row r="179" spans="2:20" x14ac:dyDescent="0.3">
      <c r="B179" s="7">
        <v>178</v>
      </c>
      <c r="C179" s="7" t="s">
        <v>562</v>
      </c>
      <c r="D179" s="7" t="s">
        <v>563</v>
      </c>
      <c r="E179" s="7" t="str">
        <f t="shared" si="6"/>
        <v>Sep</v>
      </c>
      <c r="F179" s="7" t="s">
        <v>564</v>
      </c>
      <c r="G179" s="7" t="s">
        <v>64</v>
      </c>
      <c r="H179" s="7" t="s">
        <v>19</v>
      </c>
      <c r="I179" s="7" t="s">
        <v>106</v>
      </c>
      <c r="J179" s="7" t="s">
        <v>66</v>
      </c>
      <c r="K179" s="7" t="s">
        <v>39</v>
      </c>
      <c r="L179" s="7">
        <v>2726.98</v>
      </c>
      <c r="M179" s="7">
        <v>4</v>
      </c>
      <c r="N179" s="7">
        <v>0.13</v>
      </c>
      <c r="O179" s="7">
        <v>297.20999999999998</v>
      </c>
      <c r="P179" s="7" t="s">
        <v>54</v>
      </c>
      <c r="Q179" s="7" t="s">
        <v>40</v>
      </c>
      <c r="R179" s="7">
        <v>5</v>
      </c>
      <c r="S179" s="7">
        <f t="shared" si="7"/>
        <v>2024</v>
      </c>
      <c r="T179" s="7" t="str">
        <f t="shared" si="8"/>
        <v>Sep</v>
      </c>
    </row>
    <row r="180" spans="2:20" x14ac:dyDescent="0.3">
      <c r="B180" s="7">
        <v>179</v>
      </c>
      <c r="C180" s="7" t="s">
        <v>565</v>
      </c>
      <c r="D180" s="7" t="s">
        <v>566</v>
      </c>
      <c r="E180" s="7" t="str">
        <f t="shared" si="6"/>
        <v>Sep</v>
      </c>
      <c r="F180" s="7" t="s">
        <v>567</v>
      </c>
      <c r="G180" s="7" t="s">
        <v>102</v>
      </c>
      <c r="H180" s="7" t="s">
        <v>37</v>
      </c>
      <c r="I180" s="7" t="s">
        <v>38</v>
      </c>
      <c r="J180" s="7" t="s">
        <v>29</v>
      </c>
      <c r="K180" s="7" t="s">
        <v>53</v>
      </c>
      <c r="L180" s="7">
        <v>481.7</v>
      </c>
      <c r="M180" s="7">
        <v>4</v>
      </c>
      <c r="N180" s="7">
        <v>0.28999999999999998</v>
      </c>
      <c r="O180" s="7">
        <v>58.68</v>
      </c>
      <c r="P180" s="7" t="s">
        <v>54</v>
      </c>
      <c r="Q180" s="7" t="s">
        <v>32</v>
      </c>
      <c r="R180" s="7">
        <v>6</v>
      </c>
      <c r="S180" s="7">
        <f t="shared" si="7"/>
        <v>2025</v>
      </c>
      <c r="T180" s="7" t="str">
        <f t="shared" si="8"/>
        <v>Sep</v>
      </c>
    </row>
    <row r="181" spans="2:20" x14ac:dyDescent="0.3">
      <c r="B181" s="7">
        <v>180</v>
      </c>
      <c r="C181" s="7" t="s">
        <v>568</v>
      </c>
      <c r="D181" s="7" t="s">
        <v>569</v>
      </c>
      <c r="E181" s="7" t="str">
        <f t="shared" si="6"/>
        <v>Dec</v>
      </c>
      <c r="F181" s="7" t="s">
        <v>570</v>
      </c>
      <c r="G181" s="7" t="s">
        <v>36</v>
      </c>
      <c r="H181" s="7" t="s">
        <v>51</v>
      </c>
      <c r="I181" s="7" t="s">
        <v>38</v>
      </c>
      <c r="J181" s="7" t="s">
        <v>29</v>
      </c>
      <c r="K181" s="7" t="s">
        <v>22</v>
      </c>
      <c r="L181" s="7">
        <v>1067.74</v>
      </c>
      <c r="M181" s="7">
        <v>3</v>
      </c>
      <c r="N181" s="7">
        <v>0.1</v>
      </c>
      <c r="O181" s="7">
        <v>123.59</v>
      </c>
      <c r="P181" s="7" t="s">
        <v>54</v>
      </c>
      <c r="Q181" s="7" t="s">
        <v>77</v>
      </c>
      <c r="R181" s="7">
        <v>4</v>
      </c>
      <c r="S181" s="7">
        <f t="shared" si="7"/>
        <v>2024</v>
      </c>
      <c r="T181" s="7" t="str">
        <f t="shared" si="8"/>
        <v>Dec</v>
      </c>
    </row>
    <row r="182" spans="2:20" x14ac:dyDescent="0.3">
      <c r="B182" s="7">
        <v>181</v>
      </c>
      <c r="C182" s="7" t="s">
        <v>571</v>
      </c>
      <c r="D182" s="7" t="s">
        <v>572</v>
      </c>
      <c r="E182" s="7" t="str">
        <f t="shared" si="6"/>
        <v>Sep</v>
      </c>
      <c r="F182" s="7" t="s">
        <v>573</v>
      </c>
      <c r="G182" s="7" t="s">
        <v>36</v>
      </c>
      <c r="H182" s="7" t="s">
        <v>71</v>
      </c>
      <c r="I182" s="7" t="s">
        <v>116</v>
      </c>
      <c r="J182" s="7" t="s">
        <v>66</v>
      </c>
      <c r="K182" s="7" t="s">
        <v>82</v>
      </c>
      <c r="L182" s="7">
        <v>593.48</v>
      </c>
      <c r="M182" s="7">
        <v>3</v>
      </c>
      <c r="N182" s="7">
        <v>0.28000000000000003</v>
      </c>
      <c r="O182" s="7">
        <v>158.86000000000001</v>
      </c>
      <c r="P182" s="7" t="s">
        <v>54</v>
      </c>
      <c r="Q182" s="7" t="s">
        <v>24</v>
      </c>
      <c r="R182" s="7">
        <v>10</v>
      </c>
      <c r="S182" s="7">
        <f t="shared" si="7"/>
        <v>2024</v>
      </c>
      <c r="T182" s="7" t="str">
        <f t="shared" si="8"/>
        <v>Sep</v>
      </c>
    </row>
    <row r="183" spans="2:20" x14ac:dyDescent="0.3">
      <c r="B183" s="7">
        <v>182</v>
      </c>
      <c r="C183" s="7" t="s">
        <v>574</v>
      </c>
      <c r="D183" s="7" t="s">
        <v>575</v>
      </c>
      <c r="E183" s="7" t="str">
        <f t="shared" si="6"/>
        <v>Mar</v>
      </c>
      <c r="F183" s="7" t="s">
        <v>576</v>
      </c>
      <c r="G183" s="7" t="s">
        <v>44</v>
      </c>
      <c r="H183" s="7" t="s">
        <v>37</v>
      </c>
      <c r="I183" s="7" t="s">
        <v>106</v>
      </c>
      <c r="J183" s="7" t="s">
        <v>29</v>
      </c>
      <c r="K183" s="7" t="s">
        <v>53</v>
      </c>
      <c r="L183" s="7">
        <v>851.13</v>
      </c>
      <c r="M183" s="7">
        <v>1</v>
      </c>
      <c r="N183" s="7">
        <v>0.02</v>
      </c>
      <c r="O183" s="7">
        <v>125.83</v>
      </c>
      <c r="P183" s="7" t="s">
        <v>31</v>
      </c>
      <c r="Q183" s="7" t="s">
        <v>32</v>
      </c>
      <c r="R183" s="7">
        <v>2</v>
      </c>
      <c r="S183" s="7">
        <f t="shared" si="7"/>
        <v>2024</v>
      </c>
      <c r="T183" s="7" t="str">
        <f t="shared" si="8"/>
        <v>Mar</v>
      </c>
    </row>
    <row r="184" spans="2:20" x14ac:dyDescent="0.3">
      <c r="B184" s="7">
        <v>183</v>
      </c>
      <c r="C184" s="7" t="s">
        <v>577</v>
      </c>
      <c r="D184" s="7" t="s">
        <v>578</v>
      </c>
      <c r="E184" s="7" t="str">
        <f t="shared" si="6"/>
        <v>Mar</v>
      </c>
      <c r="F184" s="7" t="s">
        <v>579</v>
      </c>
      <c r="G184" s="7" t="s">
        <v>64</v>
      </c>
      <c r="H184" s="7" t="s">
        <v>51</v>
      </c>
      <c r="I184" s="7" t="s">
        <v>38</v>
      </c>
      <c r="J184" s="7" t="s">
        <v>47</v>
      </c>
      <c r="K184" s="7" t="s">
        <v>76</v>
      </c>
      <c r="L184" s="7">
        <v>452.73</v>
      </c>
      <c r="M184" s="7">
        <v>1</v>
      </c>
      <c r="N184" s="7">
        <v>0.03</v>
      </c>
      <c r="O184" s="7">
        <v>77.430000000000007</v>
      </c>
      <c r="P184" s="7" t="s">
        <v>23</v>
      </c>
      <c r="Q184" s="7" t="s">
        <v>24</v>
      </c>
      <c r="R184" s="7">
        <v>8</v>
      </c>
      <c r="S184" s="7">
        <f t="shared" si="7"/>
        <v>2025</v>
      </c>
      <c r="T184" s="7" t="str">
        <f t="shared" si="8"/>
        <v>Mar</v>
      </c>
    </row>
    <row r="185" spans="2:20" x14ac:dyDescent="0.3">
      <c r="B185" s="7">
        <v>184</v>
      </c>
      <c r="C185" s="7" t="s">
        <v>580</v>
      </c>
      <c r="D185" s="7" t="s">
        <v>581</v>
      </c>
      <c r="E185" s="7" t="str">
        <f t="shared" si="6"/>
        <v>Nov</v>
      </c>
      <c r="F185" s="7" t="s">
        <v>582</v>
      </c>
      <c r="G185" s="7" t="s">
        <v>102</v>
      </c>
      <c r="H185" s="7" t="s">
        <v>71</v>
      </c>
      <c r="I185" s="7" t="s">
        <v>20</v>
      </c>
      <c r="J185" s="7" t="s">
        <v>66</v>
      </c>
      <c r="K185" s="7" t="s">
        <v>76</v>
      </c>
      <c r="L185" s="7">
        <v>2110.59</v>
      </c>
      <c r="M185" s="7">
        <v>4</v>
      </c>
      <c r="N185" s="7">
        <v>0.11</v>
      </c>
      <c r="O185" s="7">
        <v>464.2</v>
      </c>
      <c r="P185" s="7" t="s">
        <v>23</v>
      </c>
      <c r="Q185" s="7" t="s">
        <v>32</v>
      </c>
      <c r="R185" s="7">
        <v>5</v>
      </c>
      <c r="S185" s="7">
        <f t="shared" si="7"/>
        <v>2025</v>
      </c>
      <c r="T185" s="7" t="str">
        <f t="shared" si="8"/>
        <v>Nov</v>
      </c>
    </row>
    <row r="186" spans="2:20" x14ac:dyDescent="0.3">
      <c r="B186" s="7">
        <v>185</v>
      </c>
      <c r="C186" s="7" t="s">
        <v>583</v>
      </c>
      <c r="D186" s="7" t="s">
        <v>584</v>
      </c>
      <c r="E186" s="7" t="str">
        <f t="shared" si="6"/>
        <v>Oct</v>
      </c>
      <c r="F186" s="7" t="s">
        <v>585</v>
      </c>
      <c r="G186" s="7" t="s">
        <v>36</v>
      </c>
      <c r="H186" s="7" t="s">
        <v>51</v>
      </c>
      <c r="I186" s="7" t="s">
        <v>59</v>
      </c>
      <c r="J186" s="7" t="s">
        <v>21</v>
      </c>
      <c r="K186" s="7" t="s">
        <v>60</v>
      </c>
      <c r="L186" s="7">
        <v>2664.84</v>
      </c>
      <c r="M186" s="7">
        <v>5</v>
      </c>
      <c r="N186" s="7">
        <v>0.14000000000000001</v>
      </c>
      <c r="O186" s="7">
        <v>371.06</v>
      </c>
      <c r="P186" s="7" t="s">
        <v>23</v>
      </c>
      <c r="Q186" s="7" t="s">
        <v>24</v>
      </c>
      <c r="R186" s="7">
        <v>7</v>
      </c>
      <c r="S186" s="7">
        <f t="shared" si="7"/>
        <v>2025</v>
      </c>
      <c r="T186" s="7" t="str">
        <f t="shared" si="8"/>
        <v>Oct</v>
      </c>
    </row>
    <row r="187" spans="2:20" x14ac:dyDescent="0.3">
      <c r="B187" s="7">
        <v>186</v>
      </c>
      <c r="C187" s="7" t="s">
        <v>586</v>
      </c>
      <c r="D187" s="7" t="s">
        <v>587</v>
      </c>
      <c r="E187" s="7" t="str">
        <f t="shared" si="6"/>
        <v>Nov</v>
      </c>
      <c r="F187" s="7" t="s">
        <v>588</v>
      </c>
      <c r="G187" s="7" t="s">
        <v>44</v>
      </c>
      <c r="H187" s="7" t="s">
        <v>45</v>
      </c>
      <c r="I187" s="7" t="s">
        <v>59</v>
      </c>
      <c r="J187" s="7" t="s">
        <v>29</v>
      </c>
      <c r="K187" s="7" t="s">
        <v>30</v>
      </c>
      <c r="L187" s="7">
        <v>2285.94</v>
      </c>
      <c r="M187" s="7">
        <v>4</v>
      </c>
      <c r="N187" s="7">
        <v>0.26</v>
      </c>
      <c r="O187" s="7">
        <v>363.17</v>
      </c>
      <c r="P187" s="7" t="s">
        <v>54</v>
      </c>
      <c r="Q187" s="7" t="s">
        <v>77</v>
      </c>
      <c r="R187" s="7">
        <v>6</v>
      </c>
      <c r="S187" s="7">
        <f t="shared" si="7"/>
        <v>2024</v>
      </c>
      <c r="T187" s="7" t="str">
        <f t="shared" si="8"/>
        <v>Nov</v>
      </c>
    </row>
    <row r="188" spans="2:20" x14ac:dyDescent="0.3">
      <c r="B188" s="7">
        <v>187</v>
      </c>
      <c r="C188" s="7" t="s">
        <v>589</v>
      </c>
      <c r="D188" s="7" t="s">
        <v>590</v>
      </c>
      <c r="E188" s="7" t="str">
        <f t="shared" si="6"/>
        <v>Oct</v>
      </c>
      <c r="F188" s="7" t="s">
        <v>591</v>
      </c>
      <c r="G188" s="7" t="s">
        <v>102</v>
      </c>
      <c r="H188" s="7" t="s">
        <v>51</v>
      </c>
      <c r="I188" s="7" t="s">
        <v>116</v>
      </c>
      <c r="J188" s="7" t="s">
        <v>81</v>
      </c>
      <c r="K188" s="7" t="s">
        <v>67</v>
      </c>
      <c r="L188" s="7">
        <v>357.1</v>
      </c>
      <c r="M188" s="7">
        <v>3</v>
      </c>
      <c r="N188" s="7">
        <v>0.18</v>
      </c>
      <c r="O188" s="7">
        <v>40.5</v>
      </c>
      <c r="P188" s="7" t="s">
        <v>54</v>
      </c>
      <c r="Q188" s="7" t="s">
        <v>77</v>
      </c>
      <c r="R188" s="7">
        <v>4</v>
      </c>
      <c r="S188" s="7">
        <f t="shared" si="7"/>
        <v>2025</v>
      </c>
      <c r="T188" s="7" t="str">
        <f t="shared" si="8"/>
        <v>Oct</v>
      </c>
    </row>
    <row r="189" spans="2:20" x14ac:dyDescent="0.3">
      <c r="B189" s="7">
        <v>188</v>
      </c>
      <c r="C189" s="7" t="s">
        <v>592</v>
      </c>
      <c r="D189" s="7" t="s">
        <v>593</v>
      </c>
      <c r="E189" s="7" t="str">
        <f t="shared" si="6"/>
        <v>Jul</v>
      </c>
      <c r="F189" s="7" t="s">
        <v>594</v>
      </c>
      <c r="G189" s="7" t="s">
        <v>64</v>
      </c>
      <c r="H189" s="7" t="s">
        <v>65</v>
      </c>
      <c r="I189" s="7" t="s">
        <v>38</v>
      </c>
      <c r="J189" s="7" t="s">
        <v>66</v>
      </c>
      <c r="K189" s="7" t="s">
        <v>22</v>
      </c>
      <c r="L189" s="7">
        <v>773.92</v>
      </c>
      <c r="M189" s="7">
        <v>3</v>
      </c>
      <c r="N189" s="7">
        <v>7.0000000000000007E-2</v>
      </c>
      <c r="O189" s="7">
        <v>270.29000000000002</v>
      </c>
      <c r="P189" s="7" t="s">
        <v>23</v>
      </c>
      <c r="Q189" s="7" t="s">
        <v>77</v>
      </c>
      <c r="R189" s="7">
        <v>1</v>
      </c>
      <c r="S189" s="7">
        <f t="shared" si="7"/>
        <v>2025</v>
      </c>
      <c r="T189" s="7" t="str">
        <f t="shared" si="8"/>
        <v>Jul</v>
      </c>
    </row>
    <row r="190" spans="2:20" x14ac:dyDescent="0.3">
      <c r="B190" s="7">
        <v>189</v>
      </c>
      <c r="C190" s="7" t="s">
        <v>595</v>
      </c>
      <c r="D190" s="7" t="s">
        <v>596</v>
      </c>
      <c r="E190" s="7" t="str">
        <f t="shared" si="6"/>
        <v>Jan</v>
      </c>
      <c r="F190" s="7" t="s">
        <v>597</v>
      </c>
      <c r="G190" s="7" t="s">
        <v>64</v>
      </c>
      <c r="H190" s="7" t="s">
        <v>65</v>
      </c>
      <c r="I190" s="7" t="s">
        <v>52</v>
      </c>
      <c r="J190" s="7" t="s">
        <v>66</v>
      </c>
      <c r="K190" s="7" t="s">
        <v>60</v>
      </c>
      <c r="L190" s="7">
        <v>950.08</v>
      </c>
      <c r="M190" s="7">
        <v>2</v>
      </c>
      <c r="N190" s="7">
        <v>0.16</v>
      </c>
      <c r="O190" s="7">
        <v>271.39</v>
      </c>
      <c r="P190" s="7" t="s">
        <v>23</v>
      </c>
      <c r="Q190" s="7" t="s">
        <v>77</v>
      </c>
      <c r="R190" s="7">
        <v>1</v>
      </c>
      <c r="S190" s="7">
        <f t="shared" si="7"/>
        <v>2024</v>
      </c>
      <c r="T190" s="7" t="str">
        <f t="shared" si="8"/>
        <v>Jan</v>
      </c>
    </row>
    <row r="191" spans="2:20" x14ac:dyDescent="0.3">
      <c r="B191" s="7">
        <v>190</v>
      </c>
      <c r="C191" s="7" t="s">
        <v>598</v>
      </c>
      <c r="D191" s="7" t="s">
        <v>599</v>
      </c>
      <c r="E191" s="7" t="str">
        <f t="shared" si="6"/>
        <v>Jan</v>
      </c>
      <c r="F191" s="7" t="s">
        <v>600</v>
      </c>
      <c r="G191" s="7" t="s">
        <v>64</v>
      </c>
      <c r="H191" s="7" t="s">
        <v>58</v>
      </c>
      <c r="I191" s="7" t="s">
        <v>52</v>
      </c>
      <c r="J191" s="7" t="s">
        <v>21</v>
      </c>
      <c r="K191" s="7" t="s">
        <v>22</v>
      </c>
      <c r="L191" s="7">
        <v>1428.04</v>
      </c>
      <c r="M191" s="7">
        <v>2</v>
      </c>
      <c r="N191" s="7">
        <v>0.27</v>
      </c>
      <c r="O191" s="7">
        <v>383.73</v>
      </c>
      <c r="P191" s="7" t="s">
        <v>23</v>
      </c>
      <c r="Q191" s="7" t="s">
        <v>86</v>
      </c>
      <c r="R191" s="7">
        <v>9</v>
      </c>
      <c r="S191" s="7">
        <f t="shared" si="7"/>
        <v>2024</v>
      </c>
      <c r="T191" s="7" t="str">
        <f t="shared" si="8"/>
        <v>Jan</v>
      </c>
    </row>
    <row r="192" spans="2:20" x14ac:dyDescent="0.3">
      <c r="B192" s="7">
        <v>191</v>
      </c>
      <c r="C192" s="7" t="s">
        <v>601</v>
      </c>
      <c r="D192" s="7" t="s">
        <v>602</v>
      </c>
      <c r="E192" s="7" t="str">
        <f t="shared" si="6"/>
        <v>Sep</v>
      </c>
      <c r="F192" s="7" t="s">
        <v>603</v>
      </c>
      <c r="G192" s="7" t="s">
        <v>64</v>
      </c>
      <c r="H192" s="7" t="s">
        <v>65</v>
      </c>
      <c r="I192" s="7" t="s">
        <v>52</v>
      </c>
      <c r="J192" s="7" t="s">
        <v>81</v>
      </c>
      <c r="K192" s="7" t="s">
        <v>60</v>
      </c>
      <c r="L192" s="7">
        <v>1855.72</v>
      </c>
      <c r="M192" s="7">
        <v>2</v>
      </c>
      <c r="N192" s="7">
        <v>0.03</v>
      </c>
      <c r="O192" s="7">
        <v>401.3</v>
      </c>
      <c r="P192" s="7" t="s">
        <v>23</v>
      </c>
      <c r="Q192" s="7" t="s">
        <v>32</v>
      </c>
      <c r="R192" s="7">
        <v>2</v>
      </c>
      <c r="S192" s="7">
        <f t="shared" si="7"/>
        <v>2024</v>
      </c>
      <c r="T192" s="7" t="str">
        <f t="shared" si="8"/>
        <v>Sep</v>
      </c>
    </row>
    <row r="193" spans="2:20" x14ac:dyDescent="0.3">
      <c r="B193" s="7">
        <v>192</v>
      </c>
      <c r="C193" s="7" t="s">
        <v>604</v>
      </c>
      <c r="D193" s="7" t="s">
        <v>605</v>
      </c>
      <c r="E193" s="7" t="str">
        <f t="shared" si="6"/>
        <v>Jan</v>
      </c>
      <c r="F193" s="7" t="s">
        <v>606</v>
      </c>
      <c r="G193" s="7" t="s">
        <v>36</v>
      </c>
      <c r="H193" s="7" t="s">
        <v>45</v>
      </c>
      <c r="I193" s="7" t="s">
        <v>46</v>
      </c>
      <c r="J193" s="7" t="s">
        <v>66</v>
      </c>
      <c r="K193" s="7" t="s">
        <v>76</v>
      </c>
      <c r="L193" s="7">
        <v>502.71</v>
      </c>
      <c r="M193" s="7">
        <v>2</v>
      </c>
      <c r="N193" s="7">
        <v>0.28000000000000003</v>
      </c>
      <c r="O193" s="7">
        <v>161.30000000000001</v>
      </c>
      <c r="P193" s="7" t="s">
        <v>23</v>
      </c>
      <c r="Q193" s="7" t="s">
        <v>24</v>
      </c>
      <c r="R193" s="7">
        <v>1</v>
      </c>
      <c r="S193" s="7">
        <f t="shared" si="7"/>
        <v>2025</v>
      </c>
      <c r="T193" s="7" t="str">
        <f t="shared" si="8"/>
        <v>Jan</v>
      </c>
    </row>
    <row r="194" spans="2:20" x14ac:dyDescent="0.3">
      <c r="B194" s="7">
        <v>193</v>
      </c>
      <c r="C194" s="7" t="s">
        <v>607</v>
      </c>
      <c r="D194" s="7" t="s">
        <v>608</v>
      </c>
      <c r="E194" s="7" t="str">
        <f t="shared" si="6"/>
        <v>Feb</v>
      </c>
      <c r="F194" s="7" t="s">
        <v>609</v>
      </c>
      <c r="G194" s="7" t="s">
        <v>36</v>
      </c>
      <c r="H194" s="7" t="s">
        <v>58</v>
      </c>
      <c r="I194" s="7" t="s">
        <v>52</v>
      </c>
      <c r="J194" s="7" t="s">
        <v>47</v>
      </c>
      <c r="K194" s="7" t="s">
        <v>53</v>
      </c>
      <c r="L194" s="7">
        <v>473.99</v>
      </c>
      <c r="M194" s="7">
        <v>5</v>
      </c>
      <c r="N194" s="7">
        <v>0.18</v>
      </c>
      <c r="O194" s="7">
        <v>48.07</v>
      </c>
      <c r="P194" s="7" t="s">
        <v>31</v>
      </c>
      <c r="Q194" s="7" t="s">
        <v>86</v>
      </c>
      <c r="R194" s="7">
        <v>2</v>
      </c>
      <c r="S194" s="7">
        <f t="shared" si="7"/>
        <v>2024</v>
      </c>
      <c r="T194" s="7" t="str">
        <f t="shared" si="8"/>
        <v>Feb</v>
      </c>
    </row>
    <row r="195" spans="2:20" x14ac:dyDescent="0.3">
      <c r="B195" s="7">
        <v>194</v>
      </c>
      <c r="C195" s="7" t="s">
        <v>610</v>
      </c>
      <c r="D195" s="7" t="s">
        <v>611</v>
      </c>
      <c r="E195" s="7" t="str">
        <f t="shared" ref="E195:E258" si="9">TEXT(D195,"mmm")</f>
        <v>Jun</v>
      </c>
      <c r="F195" s="7" t="s">
        <v>612</v>
      </c>
      <c r="G195" s="7" t="s">
        <v>44</v>
      </c>
      <c r="H195" s="7" t="s">
        <v>51</v>
      </c>
      <c r="I195" s="7" t="s">
        <v>28</v>
      </c>
      <c r="J195" s="7" t="s">
        <v>81</v>
      </c>
      <c r="K195" s="7" t="s">
        <v>82</v>
      </c>
      <c r="L195" s="7">
        <v>319.10000000000002</v>
      </c>
      <c r="M195" s="7">
        <v>1</v>
      </c>
      <c r="N195" s="7">
        <v>0.26</v>
      </c>
      <c r="O195" s="7">
        <v>54.46</v>
      </c>
      <c r="P195" s="7" t="s">
        <v>23</v>
      </c>
      <c r="Q195" s="7" t="s">
        <v>77</v>
      </c>
      <c r="R195" s="7">
        <v>2</v>
      </c>
      <c r="S195" s="7">
        <f t="shared" ref="S195:S258" si="10">YEAR(D195)</f>
        <v>2024</v>
      </c>
      <c r="T195" s="7" t="str">
        <f t="shared" ref="T195:T258" si="11">TEXT(D195,"mmm")</f>
        <v>Jun</v>
      </c>
    </row>
    <row r="196" spans="2:20" x14ac:dyDescent="0.3">
      <c r="B196" s="7">
        <v>195</v>
      </c>
      <c r="C196" s="7" t="s">
        <v>613</v>
      </c>
      <c r="D196" s="7" t="s">
        <v>614</v>
      </c>
      <c r="E196" s="7" t="str">
        <f t="shared" si="9"/>
        <v>Jun</v>
      </c>
      <c r="F196" s="7" t="s">
        <v>615</v>
      </c>
      <c r="G196" s="7" t="s">
        <v>36</v>
      </c>
      <c r="H196" s="7" t="s">
        <v>45</v>
      </c>
      <c r="I196" s="7" t="s">
        <v>106</v>
      </c>
      <c r="J196" s="7" t="s">
        <v>66</v>
      </c>
      <c r="K196" s="7" t="s">
        <v>53</v>
      </c>
      <c r="L196" s="7">
        <v>3926.58</v>
      </c>
      <c r="M196" s="7">
        <v>5</v>
      </c>
      <c r="N196" s="7">
        <v>0.03</v>
      </c>
      <c r="O196" s="7">
        <v>667.03</v>
      </c>
      <c r="P196" s="7" t="s">
        <v>54</v>
      </c>
      <c r="Q196" s="7" t="s">
        <v>40</v>
      </c>
      <c r="R196" s="7">
        <v>2</v>
      </c>
      <c r="S196" s="7">
        <f t="shared" si="10"/>
        <v>2024</v>
      </c>
      <c r="T196" s="7" t="str">
        <f t="shared" si="11"/>
        <v>Jun</v>
      </c>
    </row>
    <row r="197" spans="2:20" x14ac:dyDescent="0.3">
      <c r="B197" s="7">
        <v>196</v>
      </c>
      <c r="C197" s="7" t="s">
        <v>616</v>
      </c>
      <c r="D197" s="7" t="s">
        <v>617</v>
      </c>
      <c r="E197" s="7" t="str">
        <f t="shared" si="9"/>
        <v>Apr</v>
      </c>
      <c r="F197" s="7" t="s">
        <v>618</v>
      </c>
      <c r="G197" s="7" t="s">
        <v>64</v>
      </c>
      <c r="H197" s="7" t="s">
        <v>45</v>
      </c>
      <c r="I197" s="7" t="s">
        <v>38</v>
      </c>
      <c r="J197" s="7" t="s">
        <v>21</v>
      </c>
      <c r="K197" s="7" t="s">
        <v>22</v>
      </c>
      <c r="L197" s="7">
        <v>562.73</v>
      </c>
      <c r="M197" s="7">
        <v>2</v>
      </c>
      <c r="N197" s="7">
        <v>0.11</v>
      </c>
      <c r="O197" s="7">
        <v>181.77</v>
      </c>
      <c r="P197" s="7" t="s">
        <v>23</v>
      </c>
      <c r="Q197" s="7" t="s">
        <v>86</v>
      </c>
      <c r="R197" s="7">
        <v>1</v>
      </c>
      <c r="S197" s="7">
        <f t="shared" si="10"/>
        <v>2024</v>
      </c>
      <c r="T197" s="7" t="str">
        <f t="shared" si="11"/>
        <v>Apr</v>
      </c>
    </row>
    <row r="198" spans="2:20" x14ac:dyDescent="0.3">
      <c r="B198" s="7">
        <v>197</v>
      </c>
      <c r="C198" s="7" t="s">
        <v>619</v>
      </c>
      <c r="D198" s="7" t="s">
        <v>620</v>
      </c>
      <c r="E198" s="7" t="str">
        <f t="shared" si="9"/>
        <v>Apr</v>
      </c>
      <c r="F198" s="7" t="s">
        <v>621</v>
      </c>
      <c r="G198" s="7" t="s">
        <v>44</v>
      </c>
      <c r="H198" s="7" t="s">
        <v>19</v>
      </c>
      <c r="I198" s="7" t="s">
        <v>20</v>
      </c>
      <c r="J198" s="7" t="s">
        <v>66</v>
      </c>
      <c r="K198" s="7" t="s">
        <v>82</v>
      </c>
      <c r="L198" s="7">
        <v>29.32</v>
      </c>
      <c r="M198" s="7">
        <v>1</v>
      </c>
      <c r="N198" s="7">
        <v>0.21</v>
      </c>
      <c r="O198" s="7">
        <v>4.3899999999999997</v>
      </c>
      <c r="P198" s="7" t="s">
        <v>23</v>
      </c>
      <c r="Q198" s="7" t="s">
        <v>40</v>
      </c>
      <c r="R198" s="7">
        <v>2</v>
      </c>
      <c r="S198" s="7">
        <f t="shared" si="10"/>
        <v>2024</v>
      </c>
      <c r="T198" s="7" t="str">
        <f t="shared" si="11"/>
        <v>Apr</v>
      </c>
    </row>
    <row r="199" spans="2:20" x14ac:dyDescent="0.3">
      <c r="B199" s="7">
        <v>198</v>
      </c>
      <c r="C199" s="7" t="s">
        <v>622</v>
      </c>
      <c r="D199" s="7" t="s">
        <v>623</v>
      </c>
      <c r="E199" s="7" t="str">
        <f t="shared" si="9"/>
        <v>Apr</v>
      </c>
      <c r="F199" s="7" t="s">
        <v>624</v>
      </c>
      <c r="G199" s="7" t="s">
        <v>64</v>
      </c>
      <c r="H199" s="7" t="s">
        <v>58</v>
      </c>
      <c r="I199" s="7" t="s">
        <v>116</v>
      </c>
      <c r="J199" s="7" t="s">
        <v>66</v>
      </c>
      <c r="K199" s="7" t="s">
        <v>30</v>
      </c>
      <c r="L199" s="7">
        <v>2670.55</v>
      </c>
      <c r="M199" s="7">
        <v>4</v>
      </c>
      <c r="N199" s="7">
        <v>0.17</v>
      </c>
      <c r="O199" s="7">
        <v>485.04</v>
      </c>
      <c r="P199" s="7" t="s">
        <v>31</v>
      </c>
      <c r="Q199" s="7" t="s">
        <v>86</v>
      </c>
      <c r="R199" s="7">
        <v>6</v>
      </c>
      <c r="S199" s="7">
        <f t="shared" si="10"/>
        <v>2024</v>
      </c>
      <c r="T199" s="7" t="str">
        <f t="shared" si="11"/>
        <v>Apr</v>
      </c>
    </row>
    <row r="200" spans="2:20" x14ac:dyDescent="0.3">
      <c r="B200" s="7">
        <v>199</v>
      </c>
      <c r="C200" s="7" t="s">
        <v>625</v>
      </c>
      <c r="D200" s="7" t="s">
        <v>626</v>
      </c>
      <c r="E200" s="7" t="str">
        <f t="shared" si="9"/>
        <v>Nov</v>
      </c>
      <c r="F200" s="7" t="s">
        <v>627</v>
      </c>
      <c r="G200" s="7" t="s">
        <v>64</v>
      </c>
      <c r="H200" s="7" t="s">
        <v>51</v>
      </c>
      <c r="I200" s="7" t="s">
        <v>116</v>
      </c>
      <c r="J200" s="7" t="s">
        <v>29</v>
      </c>
      <c r="K200" s="7" t="s">
        <v>82</v>
      </c>
      <c r="L200" s="7">
        <v>3786.18</v>
      </c>
      <c r="M200" s="7">
        <v>4</v>
      </c>
      <c r="N200" s="7">
        <v>0.2</v>
      </c>
      <c r="O200" s="7">
        <v>1155.0999999999999</v>
      </c>
      <c r="P200" s="7" t="s">
        <v>31</v>
      </c>
      <c r="Q200" s="7" t="s">
        <v>40</v>
      </c>
      <c r="R200" s="7">
        <v>6</v>
      </c>
      <c r="S200" s="7">
        <f t="shared" si="10"/>
        <v>2024</v>
      </c>
      <c r="T200" s="7" t="str">
        <f t="shared" si="11"/>
        <v>Nov</v>
      </c>
    </row>
    <row r="201" spans="2:20" x14ac:dyDescent="0.3">
      <c r="B201" s="7">
        <v>200</v>
      </c>
      <c r="C201" s="7" t="s">
        <v>628</v>
      </c>
      <c r="D201" s="7" t="s">
        <v>203</v>
      </c>
      <c r="E201" s="7" t="str">
        <f t="shared" si="9"/>
        <v>Mar</v>
      </c>
      <c r="F201" s="7" t="s">
        <v>629</v>
      </c>
      <c r="G201" s="7" t="s">
        <v>44</v>
      </c>
      <c r="H201" s="7" t="s">
        <v>51</v>
      </c>
      <c r="I201" s="7" t="s">
        <v>20</v>
      </c>
      <c r="J201" s="7" t="s">
        <v>81</v>
      </c>
      <c r="K201" s="7" t="s">
        <v>76</v>
      </c>
      <c r="L201" s="7">
        <v>501.06</v>
      </c>
      <c r="M201" s="7">
        <v>1</v>
      </c>
      <c r="N201" s="7">
        <v>0.1</v>
      </c>
      <c r="O201" s="7">
        <v>146.91999999999999</v>
      </c>
      <c r="P201" s="7" t="s">
        <v>54</v>
      </c>
      <c r="Q201" s="7" t="s">
        <v>77</v>
      </c>
      <c r="R201" s="7">
        <v>6</v>
      </c>
      <c r="S201" s="7">
        <f t="shared" si="10"/>
        <v>2024</v>
      </c>
      <c r="T201" s="7" t="str">
        <f t="shared" si="11"/>
        <v>Mar</v>
      </c>
    </row>
    <row r="202" spans="2:20" x14ac:dyDescent="0.3">
      <c r="B202" s="7">
        <v>201</v>
      </c>
      <c r="C202" s="7" t="s">
        <v>630</v>
      </c>
      <c r="D202" s="7" t="s">
        <v>631</v>
      </c>
      <c r="E202" s="7" t="str">
        <f t="shared" si="9"/>
        <v>Jun</v>
      </c>
      <c r="F202" s="7" t="s">
        <v>632</v>
      </c>
      <c r="G202" s="7" t="s">
        <v>36</v>
      </c>
      <c r="H202" s="7" t="s">
        <v>51</v>
      </c>
      <c r="I202" s="7" t="s">
        <v>59</v>
      </c>
      <c r="J202" s="7" t="s">
        <v>66</v>
      </c>
      <c r="K202" s="7" t="s">
        <v>72</v>
      </c>
      <c r="L202" s="7">
        <v>728.27</v>
      </c>
      <c r="M202" s="7">
        <v>1</v>
      </c>
      <c r="N202" s="7">
        <v>0.23</v>
      </c>
      <c r="O202" s="7">
        <v>230.83</v>
      </c>
      <c r="P202" s="7" t="s">
        <v>23</v>
      </c>
      <c r="Q202" s="7" t="s">
        <v>86</v>
      </c>
      <c r="R202" s="7">
        <v>7</v>
      </c>
      <c r="S202" s="7">
        <f t="shared" si="10"/>
        <v>2025</v>
      </c>
      <c r="T202" s="7" t="str">
        <f t="shared" si="11"/>
        <v>Jun</v>
      </c>
    </row>
    <row r="203" spans="2:20" x14ac:dyDescent="0.3">
      <c r="B203" s="7">
        <v>202</v>
      </c>
      <c r="C203" s="7" t="s">
        <v>633</v>
      </c>
      <c r="D203" s="7" t="s">
        <v>634</v>
      </c>
      <c r="E203" s="7" t="str">
        <f t="shared" si="9"/>
        <v>Feb</v>
      </c>
      <c r="F203" s="7" t="s">
        <v>635</v>
      </c>
      <c r="G203" s="7" t="s">
        <v>18</v>
      </c>
      <c r="H203" s="7" t="s">
        <v>19</v>
      </c>
      <c r="I203" s="7" t="s">
        <v>59</v>
      </c>
      <c r="J203" s="7" t="s">
        <v>21</v>
      </c>
      <c r="K203" s="7" t="s">
        <v>60</v>
      </c>
      <c r="L203" s="7">
        <v>996.77</v>
      </c>
      <c r="M203" s="7">
        <v>1</v>
      </c>
      <c r="N203" s="7">
        <v>7.0000000000000007E-2</v>
      </c>
      <c r="O203" s="7">
        <v>220.41</v>
      </c>
      <c r="P203" s="7" t="s">
        <v>31</v>
      </c>
      <c r="Q203" s="7" t="s">
        <v>24</v>
      </c>
      <c r="R203" s="7">
        <v>3</v>
      </c>
      <c r="S203" s="7">
        <f t="shared" si="10"/>
        <v>2024</v>
      </c>
      <c r="T203" s="7" t="str">
        <f t="shared" si="11"/>
        <v>Feb</v>
      </c>
    </row>
    <row r="204" spans="2:20" x14ac:dyDescent="0.3">
      <c r="B204" s="7">
        <v>203</v>
      </c>
      <c r="C204" s="7" t="s">
        <v>636</v>
      </c>
      <c r="D204" s="7" t="s">
        <v>637</v>
      </c>
      <c r="E204" s="7" t="str">
        <f t="shared" si="9"/>
        <v>Mar</v>
      </c>
      <c r="F204" s="7" t="s">
        <v>638</v>
      </c>
      <c r="G204" s="7" t="s">
        <v>64</v>
      </c>
      <c r="H204" s="7" t="s">
        <v>37</v>
      </c>
      <c r="I204" s="7" t="s">
        <v>38</v>
      </c>
      <c r="J204" s="7" t="s">
        <v>21</v>
      </c>
      <c r="K204" s="7" t="s">
        <v>60</v>
      </c>
      <c r="L204" s="7">
        <v>2678.2</v>
      </c>
      <c r="M204" s="7">
        <v>3</v>
      </c>
      <c r="N204" s="7">
        <v>0.18</v>
      </c>
      <c r="O204" s="7">
        <v>870.67</v>
      </c>
      <c r="P204" s="7" t="s">
        <v>31</v>
      </c>
      <c r="Q204" s="7" t="s">
        <v>24</v>
      </c>
      <c r="R204" s="7">
        <v>4</v>
      </c>
      <c r="S204" s="7">
        <f t="shared" si="10"/>
        <v>2024</v>
      </c>
      <c r="T204" s="7" t="str">
        <f t="shared" si="11"/>
        <v>Mar</v>
      </c>
    </row>
    <row r="205" spans="2:20" x14ac:dyDescent="0.3">
      <c r="B205" s="7">
        <v>204</v>
      </c>
      <c r="C205" s="7" t="s">
        <v>639</v>
      </c>
      <c r="D205" s="7" t="s">
        <v>640</v>
      </c>
      <c r="E205" s="7" t="str">
        <f t="shared" si="9"/>
        <v>Nov</v>
      </c>
      <c r="F205" s="7" t="s">
        <v>641</v>
      </c>
      <c r="G205" s="7" t="s">
        <v>36</v>
      </c>
      <c r="H205" s="7" t="s">
        <v>19</v>
      </c>
      <c r="I205" s="7" t="s">
        <v>106</v>
      </c>
      <c r="J205" s="7" t="s">
        <v>21</v>
      </c>
      <c r="K205" s="7" t="s">
        <v>39</v>
      </c>
      <c r="L205" s="7">
        <v>444.16</v>
      </c>
      <c r="M205" s="7">
        <v>1</v>
      </c>
      <c r="N205" s="7">
        <v>0.28999999999999998</v>
      </c>
      <c r="O205" s="7">
        <v>136.16999999999999</v>
      </c>
      <c r="P205" s="7" t="s">
        <v>54</v>
      </c>
      <c r="Q205" s="7" t="s">
        <v>86</v>
      </c>
      <c r="R205" s="7">
        <v>7</v>
      </c>
      <c r="S205" s="7">
        <f t="shared" si="10"/>
        <v>2024</v>
      </c>
      <c r="T205" s="7" t="str">
        <f t="shared" si="11"/>
        <v>Nov</v>
      </c>
    </row>
    <row r="206" spans="2:20" x14ac:dyDescent="0.3">
      <c r="B206" s="7">
        <v>205</v>
      </c>
      <c r="C206" s="7" t="s">
        <v>642</v>
      </c>
      <c r="D206" s="7" t="s">
        <v>643</v>
      </c>
      <c r="E206" s="7" t="str">
        <f t="shared" si="9"/>
        <v>Oct</v>
      </c>
      <c r="F206" s="7" t="s">
        <v>644</v>
      </c>
      <c r="G206" s="7" t="s">
        <v>44</v>
      </c>
      <c r="H206" s="7" t="s">
        <v>37</v>
      </c>
      <c r="I206" s="7" t="s">
        <v>116</v>
      </c>
      <c r="J206" s="7" t="s">
        <v>47</v>
      </c>
      <c r="K206" s="7" t="s">
        <v>72</v>
      </c>
      <c r="L206" s="7">
        <v>1881.39</v>
      </c>
      <c r="M206" s="7">
        <v>2</v>
      </c>
      <c r="N206" s="7">
        <v>0.15</v>
      </c>
      <c r="O206" s="7">
        <v>324.69</v>
      </c>
      <c r="P206" s="7" t="s">
        <v>54</v>
      </c>
      <c r="Q206" s="7" t="s">
        <v>32</v>
      </c>
      <c r="R206" s="7">
        <v>10</v>
      </c>
      <c r="S206" s="7">
        <f t="shared" si="10"/>
        <v>2025</v>
      </c>
      <c r="T206" s="7" t="str">
        <f t="shared" si="11"/>
        <v>Oct</v>
      </c>
    </row>
    <row r="207" spans="2:20" x14ac:dyDescent="0.3">
      <c r="B207" s="7">
        <v>206</v>
      </c>
      <c r="C207" s="7" t="s">
        <v>645</v>
      </c>
      <c r="D207" s="7" t="s">
        <v>646</v>
      </c>
      <c r="E207" s="7" t="str">
        <f t="shared" si="9"/>
        <v>Jan</v>
      </c>
      <c r="F207" s="7" t="s">
        <v>647</v>
      </c>
      <c r="G207" s="7" t="s">
        <v>44</v>
      </c>
      <c r="H207" s="7" t="s">
        <v>58</v>
      </c>
      <c r="I207" s="7" t="s">
        <v>20</v>
      </c>
      <c r="J207" s="7" t="s">
        <v>66</v>
      </c>
      <c r="K207" s="7" t="s">
        <v>60</v>
      </c>
      <c r="L207" s="7">
        <v>852.14</v>
      </c>
      <c r="M207" s="7">
        <v>2</v>
      </c>
      <c r="N207" s="7">
        <v>0.21</v>
      </c>
      <c r="O207" s="7">
        <v>219.91</v>
      </c>
      <c r="P207" s="7" t="s">
        <v>23</v>
      </c>
      <c r="Q207" s="7" t="s">
        <v>77</v>
      </c>
      <c r="R207" s="7">
        <v>10</v>
      </c>
      <c r="S207" s="7">
        <f t="shared" si="10"/>
        <v>2025</v>
      </c>
      <c r="T207" s="7" t="str">
        <f t="shared" si="11"/>
        <v>Jan</v>
      </c>
    </row>
    <row r="208" spans="2:20" x14ac:dyDescent="0.3">
      <c r="B208" s="7">
        <v>207</v>
      </c>
      <c r="C208" s="7" t="s">
        <v>648</v>
      </c>
      <c r="D208" s="7" t="s">
        <v>649</v>
      </c>
      <c r="E208" s="7" t="str">
        <f t="shared" si="9"/>
        <v>Oct</v>
      </c>
      <c r="F208" s="7" t="s">
        <v>650</v>
      </c>
      <c r="G208" s="7" t="s">
        <v>36</v>
      </c>
      <c r="H208" s="7" t="s">
        <v>71</v>
      </c>
      <c r="I208" s="7" t="s">
        <v>52</v>
      </c>
      <c r="J208" s="7" t="s">
        <v>29</v>
      </c>
      <c r="K208" s="7" t="s">
        <v>22</v>
      </c>
      <c r="L208" s="7">
        <v>2073.46</v>
      </c>
      <c r="M208" s="7">
        <v>3</v>
      </c>
      <c r="N208" s="7">
        <v>0.06</v>
      </c>
      <c r="O208" s="7">
        <v>255.81</v>
      </c>
      <c r="P208" s="7" t="s">
        <v>31</v>
      </c>
      <c r="Q208" s="7" t="s">
        <v>24</v>
      </c>
      <c r="R208" s="7">
        <v>9</v>
      </c>
      <c r="S208" s="7">
        <f t="shared" si="10"/>
        <v>2025</v>
      </c>
      <c r="T208" s="7" t="str">
        <f t="shared" si="11"/>
        <v>Oct</v>
      </c>
    </row>
    <row r="209" spans="2:20" x14ac:dyDescent="0.3">
      <c r="B209" s="7">
        <v>208</v>
      </c>
      <c r="C209" s="7" t="s">
        <v>651</v>
      </c>
      <c r="D209" s="7" t="s">
        <v>652</v>
      </c>
      <c r="E209" s="7" t="str">
        <f t="shared" si="9"/>
        <v>Jun</v>
      </c>
      <c r="F209" s="7" t="s">
        <v>591</v>
      </c>
      <c r="G209" s="7" t="s">
        <v>102</v>
      </c>
      <c r="H209" s="7" t="s">
        <v>19</v>
      </c>
      <c r="I209" s="7" t="s">
        <v>52</v>
      </c>
      <c r="J209" s="7" t="s">
        <v>81</v>
      </c>
      <c r="K209" s="7" t="s">
        <v>72</v>
      </c>
      <c r="L209" s="7">
        <v>2149.69</v>
      </c>
      <c r="M209" s="7">
        <v>3</v>
      </c>
      <c r="N209" s="7">
        <v>0.21</v>
      </c>
      <c r="O209" s="7">
        <v>584.94000000000005</v>
      </c>
      <c r="P209" s="7" t="s">
        <v>23</v>
      </c>
      <c r="Q209" s="7" t="s">
        <v>24</v>
      </c>
      <c r="R209" s="7">
        <v>6</v>
      </c>
      <c r="S209" s="7">
        <f t="shared" si="10"/>
        <v>2024</v>
      </c>
      <c r="T209" s="7" t="str">
        <f t="shared" si="11"/>
        <v>Jun</v>
      </c>
    </row>
    <row r="210" spans="2:20" x14ac:dyDescent="0.3">
      <c r="B210" s="7">
        <v>209</v>
      </c>
      <c r="C210" s="7" t="s">
        <v>653</v>
      </c>
      <c r="D210" s="7" t="s">
        <v>654</v>
      </c>
      <c r="E210" s="7" t="str">
        <f t="shared" si="9"/>
        <v>Jun</v>
      </c>
      <c r="F210" s="7" t="s">
        <v>655</v>
      </c>
      <c r="G210" s="7" t="s">
        <v>18</v>
      </c>
      <c r="H210" s="7" t="s">
        <v>45</v>
      </c>
      <c r="I210" s="7" t="s">
        <v>116</v>
      </c>
      <c r="J210" s="7" t="s">
        <v>29</v>
      </c>
      <c r="K210" s="7" t="s">
        <v>67</v>
      </c>
      <c r="L210" s="7">
        <v>1884.71</v>
      </c>
      <c r="M210" s="7">
        <v>4</v>
      </c>
      <c r="N210" s="7">
        <v>0.24</v>
      </c>
      <c r="O210" s="7">
        <v>448.52</v>
      </c>
      <c r="P210" s="7" t="s">
        <v>31</v>
      </c>
      <c r="Q210" s="7" t="s">
        <v>24</v>
      </c>
      <c r="R210" s="7">
        <v>1</v>
      </c>
      <c r="S210" s="7">
        <f t="shared" si="10"/>
        <v>2024</v>
      </c>
      <c r="T210" s="7" t="str">
        <f t="shared" si="11"/>
        <v>Jun</v>
      </c>
    </row>
    <row r="211" spans="2:20" x14ac:dyDescent="0.3">
      <c r="B211" s="7">
        <v>210</v>
      </c>
      <c r="C211" s="7" t="s">
        <v>656</v>
      </c>
      <c r="D211" s="7" t="s">
        <v>620</v>
      </c>
      <c r="E211" s="7" t="str">
        <f t="shared" si="9"/>
        <v>Apr</v>
      </c>
      <c r="F211" s="7" t="s">
        <v>657</v>
      </c>
      <c r="G211" s="7" t="s">
        <v>36</v>
      </c>
      <c r="H211" s="7" t="s">
        <v>19</v>
      </c>
      <c r="I211" s="7" t="s">
        <v>116</v>
      </c>
      <c r="J211" s="7" t="s">
        <v>81</v>
      </c>
      <c r="K211" s="7" t="s">
        <v>82</v>
      </c>
      <c r="L211" s="7">
        <v>179.28</v>
      </c>
      <c r="M211" s="7">
        <v>1</v>
      </c>
      <c r="N211" s="7">
        <v>0.16</v>
      </c>
      <c r="O211" s="7">
        <v>30.24</v>
      </c>
      <c r="P211" s="7" t="s">
        <v>31</v>
      </c>
      <c r="Q211" s="7" t="s">
        <v>32</v>
      </c>
      <c r="R211" s="7">
        <v>6</v>
      </c>
      <c r="S211" s="7">
        <f t="shared" si="10"/>
        <v>2024</v>
      </c>
      <c r="T211" s="7" t="str">
        <f t="shared" si="11"/>
        <v>Apr</v>
      </c>
    </row>
    <row r="212" spans="2:20" x14ac:dyDescent="0.3">
      <c r="B212" s="7">
        <v>211</v>
      </c>
      <c r="C212" s="7" t="s">
        <v>658</v>
      </c>
      <c r="D212" s="7" t="s">
        <v>379</v>
      </c>
      <c r="E212" s="7" t="str">
        <f t="shared" si="9"/>
        <v>Oct</v>
      </c>
      <c r="F212" s="7" t="s">
        <v>659</v>
      </c>
      <c r="G212" s="7" t="s">
        <v>36</v>
      </c>
      <c r="H212" s="7" t="s">
        <v>58</v>
      </c>
      <c r="I212" s="7" t="s">
        <v>20</v>
      </c>
      <c r="J212" s="7" t="s">
        <v>47</v>
      </c>
      <c r="K212" s="7" t="s">
        <v>39</v>
      </c>
      <c r="L212" s="7">
        <v>974.35</v>
      </c>
      <c r="M212" s="7">
        <v>2</v>
      </c>
      <c r="N212" s="7">
        <v>0.23</v>
      </c>
      <c r="O212" s="7">
        <v>321.55</v>
      </c>
      <c r="P212" s="7" t="s">
        <v>54</v>
      </c>
      <c r="Q212" s="7" t="s">
        <v>24</v>
      </c>
      <c r="R212" s="7">
        <v>5</v>
      </c>
      <c r="S212" s="7">
        <f t="shared" si="10"/>
        <v>2025</v>
      </c>
      <c r="T212" s="7" t="str">
        <f t="shared" si="11"/>
        <v>Oct</v>
      </c>
    </row>
    <row r="213" spans="2:20" x14ac:dyDescent="0.3">
      <c r="B213" s="7">
        <v>212</v>
      </c>
      <c r="C213" s="7" t="s">
        <v>660</v>
      </c>
      <c r="D213" s="7" t="s">
        <v>252</v>
      </c>
      <c r="E213" s="7" t="str">
        <f t="shared" si="9"/>
        <v>Oct</v>
      </c>
      <c r="F213" s="7" t="s">
        <v>661</v>
      </c>
      <c r="G213" s="7" t="s">
        <v>102</v>
      </c>
      <c r="H213" s="7" t="s">
        <v>19</v>
      </c>
      <c r="I213" s="7" t="s">
        <v>28</v>
      </c>
      <c r="J213" s="7" t="s">
        <v>21</v>
      </c>
      <c r="K213" s="7" t="s">
        <v>82</v>
      </c>
      <c r="L213" s="7">
        <v>1388.39</v>
      </c>
      <c r="M213" s="7">
        <v>3</v>
      </c>
      <c r="N213" s="7">
        <v>0.14000000000000001</v>
      </c>
      <c r="O213" s="7">
        <v>271.45999999999998</v>
      </c>
      <c r="P213" s="7" t="s">
        <v>54</v>
      </c>
      <c r="Q213" s="7" t="s">
        <v>32</v>
      </c>
      <c r="R213" s="7">
        <v>6</v>
      </c>
      <c r="S213" s="7">
        <f t="shared" si="10"/>
        <v>2025</v>
      </c>
      <c r="T213" s="7" t="str">
        <f t="shared" si="11"/>
        <v>Oct</v>
      </c>
    </row>
    <row r="214" spans="2:20" x14ac:dyDescent="0.3">
      <c r="B214" s="7">
        <v>213</v>
      </c>
      <c r="C214" s="7" t="s">
        <v>662</v>
      </c>
      <c r="D214" s="7" t="s">
        <v>663</v>
      </c>
      <c r="E214" s="7" t="str">
        <f t="shared" si="9"/>
        <v>May</v>
      </c>
      <c r="F214" s="7" t="s">
        <v>664</v>
      </c>
      <c r="G214" s="7" t="s">
        <v>64</v>
      </c>
      <c r="H214" s="7" t="s">
        <v>37</v>
      </c>
      <c r="I214" s="7" t="s">
        <v>20</v>
      </c>
      <c r="J214" s="7" t="s">
        <v>47</v>
      </c>
      <c r="K214" s="7" t="s">
        <v>39</v>
      </c>
      <c r="L214" s="7">
        <v>1565.37</v>
      </c>
      <c r="M214" s="7">
        <v>5</v>
      </c>
      <c r="N214" s="7">
        <v>0.15</v>
      </c>
      <c r="O214" s="7">
        <v>171.9</v>
      </c>
      <c r="P214" s="7" t="s">
        <v>23</v>
      </c>
      <c r="Q214" s="7" t="s">
        <v>32</v>
      </c>
      <c r="R214" s="7">
        <v>2</v>
      </c>
      <c r="S214" s="7">
        <f t="shared" si="10"/>
        <v>2024</v>
      </c>
      <c r="T214" s="7" t="str">
        <f t="shared" si="11"/>
        <v>May</v>
      </c>
    </row>
    <row r="215" spans="2:20" x14ac:dyDescent="0.3">
      <c r="B215" s="7">
        <v>214</v>
      </c>
      <c r="C215" s="7" t="s">
        <v>665</v>
      </c>
      <c r="D215" s="7" t="s">
        <v>438</v>
      </c>
      <c r="E215" s="7" t="str">
        <f t="shared" si="9"/>
        <v>Aug</v>
      </c>
      <c r="F215" s="7" t="s">
        <v>666</v>
      </c>
      <c r="G215" s="7" t="s">
        <v>64</v>
      </c>
      <c r="H215" s="7" t="s">
        <v>19</v>
      </c>
      <c r="I215" s="7" t="s">
        <v>116</v>
      </c>
      <c r="J215" s="7" t="s">
        <v>29</v>
      </c>
      <c r="K215" s="7" t="s">
        <v>72</v>
      </c>
      <c r="L215" s="7">
        <v>2879.79</v>
      </c>
      <c r="M215" s="7">
        <v>4</v>
      </c>
      <c r="N215" s="7">
        <v>0.21</v>
      </c>
      <c r="O215" s="7">
        <v>934.38</v>
      </c>
      <c r="P215" s="7" t="s">
        <v>54</v>
      </c>
      <c r="Q215" s="7" t="s">
        <v>32</v>
      </c>
      <c r="R215" s="7">
        <v>1</v>
      </c>
      <c r="S215" s="7">
        <f t="shared" si="10"/>
        <v>2024</v>
      </c>
      <c r="T215" s="7" t="str">
        <f t="shared" si="11"/>
        <v>Aug</v>
      </c>
    </row>
    <row r="216" spans="2:20" x14ac:dyDescent="0.3">
      <c r="B216" s="7">
        <v>215</v>
      </c>
      <c r="C216" s="7" t="s">
        <v>667</v>
      </c>
      <c r="D216" s="7" t="s">
        <v>668</v>
      </c>
      <c r="E216" s="7" t="str">
        <f t="shared" si="9"/>
        <v>Apr</v>
      </c>
      <c r="F216" s="7" t="s">
        <v>669</v>
      </c>
      <c r="G216" s="7" t="s">
        <v>64</v>
      </c>
      <c r="H216" s="7" t="s">
        <v>71</v>
      </c>
      <c r="I216" s="7" t="s">
        <v>46</v>
      </c>
      <c r="J216" s="7" t="s">
        <v>29</v>
      </c>
      <c r="K216" s="7" t="s">
        <v>76</v>
      </c>
      <c r="L216" s="7">
        <v>2135.98</v>
      </c>
      <c r="M216" s="7">
        <v>3</v>
      </c>
      <c r="N216" s="7">
        <v>0.01</v>
      </c>
      <c r="O216" s="7">
        <v>414.94</v>
      </c>
      <c r="P216" s="7" t="s">
        <v>23</v>
      </c>
      <c r="Q216" s="7" t="s">
        <v>24</v>
      </c>
      <c r="R216" s="7">
        <v>3</v>
      </c>
      <c r="S216" s="7">
        <f t="shared" si="10"/>
        <v>2025</v>
      </c>
      <c r="T216" s="7" t="str">
        <f t="shared" si="11"/>
        <v>Apr</v>
      </c>
    </row>
    <row r="217" spans="2:20" x14ac:dyDescent="0.3">
      <c r="B217" s="7">
        <v>216</v>
      </c>
      <c r="C217" s="7" t="s">
        <v>670</v>
      </c>
      <c r="D217" s="7" t="s">
        <v>671</v>
      </c>
      <c r="E217" s="7" t="str">
        <f t="shared" si="9"/>
        <v>Sep</v>
      </c>
      <c r="F217" s="7" t="s">
        <v>672</v>
      </c>
      <c r="G217" s="7" t="s">
        <v>18</v>
      </c>
      <c r="H217" s="7" t="s">
        <v>65</v>
      </c>
      <c r="I217" s="7" t="s">
        <v>59</v>
      </c>
      <c r="J217" s="7" t="s">
        <v>81</v>
      </c>
      <c r="K217" s="7" t="s">
        <v>22</v>
      </c>
      <c r="L217" s="7">
        <v>4761.3500000000004</v>
      </c>
      <c r="M217" s="7">
        <v>5</v>
      </c>
      <c r="N217" s="7">
        <v>0.11</v>
      </c>
      <c r="O217" s="7">
        <v>1526.94</v>
      </c>
      <c r="P217" s="7" t="s">
        <v>31</v>
      </c>
      <c r="Q217" s="7" t="s">
        <v>24</v>
      </c>
      <c r="R217" s="7">
        <v>2</v>
      </c>
      <c r="S217" s="7">
        <f t="shared" si="10"/>
        <v>2025</v>
      </c>
      <c r="T217" s="7" t="str">
        <f t="shared" si="11"/>
        <v>Sep</v>
      </c>
    </row>
    <row r="218" spans="2:20" x14ac:dyDescent="0.3">
      <c r="B218" s="7">
        <v>217</v>
      </c>
      <c r="C218" s="7" t="s">
        <v>673</v>
      </c>
      <c r="D218" s="7" t="s">
        <v>674</v>
      </c>
      <c r="E218" s="7" t="str">
        <f t="shared" si="9"/>
        <v>Mar</v>
      </c>
      <c r="F218" s="7" t="s">
        <v>675</v>
      </c>
      <c r="G218" s="7" t="s">
        <v>18</v>
      </c>
      <c r="H218" s="7" t="s">
        <v>45</v>
      </c>
      <c r="I218" s="7" t="s">
        <v>46</v>
      </c>
      <c r="J218" s="7" t="s">
        <v>66</v>
      </c>
      <c r="K218" s="7" t="s">
        <v>72</v>
      </c>
      <c r="L218" s="7">
        <v>1643.35</v>
      </c>
      <c r="M218" s="7">
        <v>3</v>
      </c>
      <c r="N218" s="7">
        <v>0.23</v>
      </c>
      <c r="O218" s="7">
        <v>395.49</v>
      </c>
      <c r="P218" s="7" t="s">
        <v>31</v>
      </c>
      <c r="Q218" s="7" t="s">
        <v>32</v>
      </c>
      <c r="R218" s="7">
        <v>9</v>
      </c>
      <c r="S218" s="7">
        <f t="shared" si="10"/>
        <v>2025</v>
      </c>
      <c r="T218" s="7" t="str">
        <f t="shared" si="11"/>
        <v>Mar</v>
      </c>
    </row>
    <row r="219" spans="2:20" x14ac:dyDescent="0.3">
      <c r="B219" s="7">
        <v>218</v>
      </c>
      <c r="C219" s="7" t="s">
        <v>676</v>
      </c>
      <c r="D219" s="7" t="s">
        <v>677</v>
      </c>
      <c r="E219" s="7" t="str">
        <f t="shared" si="9"/>
        <v>Oct</v>
      </c>
      <c r="F219" s="7" t="s">
        <v>678</v>
      </c>
      <c r="G219" s="7" t="s">
        <v>44</v>
      </c>
      <c r="H219" s="7" t="s">
        <v>58</v>
      </c>
      <c r="I219" s="7" t="s">
        <v>28</v>
      </c>
      <c r="J219" s="7" t="s">
        <v>21</v>
      </c>
      <c r="K219" s="7" t="s">
        <v>30</v>
      </c>
      <c r="L219" s="7">
        <v>1177.18</v>
      </c>
      <c r="M219" s="7">
        <v>5</v>
      </c>
      <c r="N219" s="7">
        <v>0.05</v>
      </c>
      <c r="O219" s="7">
        <v>177.1</v>
      </c>
      <c r="P219" s="7" t="s">
        <v>23</v>
      </c>
      <c r="Q219" s="7" t="s">
        <v>32</v>
      </c>
      <c r="R219" s="7">
        <v>5</v>
      </c>
      <c r="S219" s="7">
        <f t="shared" si="10"/>
        <v>2025</v>
      </c>
      <c r="T219" s="7" t="str">
        <f t="shared" si="11"/>
        <v>Oct</v>
      </c>
    </row>
    <row r="220" spans="2:20" x14ac:dyDescent="0.3">
      <c r="B220" s="7">
        <v>219</v>
      </c>
      <c r="C220" s="7" t="s">
        <v>679</v>
      </c>
      <c r="D220" s="7" t="s">
        <v>680</v>
      </c>
      <c r="E220" s="7" t="str">
        <f t="shared" si="9"/>
        <v>Dec</v>
      </c>
      <c r="F220" s="7" t="s">
        <v>681</v>
      </c>
      <c r="G220" s="7" t="s">
        <v>44</v>
      </c>
      <c r="H220" s="7" t="s">
        <v>19</v>
      </c>
      <c r="I220" s="7" t="s">
        <v>38</v>
      </c>
      <c r="J220" s="7" t="s">
        <v>29</v>
      </c>
      <c r="K220" s="7" t="s">
        <v>60</v>
      </c>
      <c r="L220" s="7">
        <v>4990.12</v>
      </c>
      <c r="M220" s="7">
        <v>5</v>
      </c>
      <c r="N220" s="7">
        <v>0.12</v>
      </c>
      <c r="O220" s="7">
        <v>853.04</v>
      </c>
      <c r="P220" s="7" t="s">
        <v>54</v>
      </c>
      <c r="Q220" s="7" t="s">
        <v>40</v>
      </c>
      <c r="R220" s="7">
        <v>6</v>
      </c>
      <c r="S220" s="7">
        <f t="shared" si="10"/>
        <v>2025</v>
      </c>
      <c r="T220" s="7" t="str">
        <f t="shared" si="11"/>
        <v>Dec</v>
      </c>
    </row>
    <row r="221" spans="2:20" x14ac:dyDescent="0.3">
      <c r="B221" s="7">
        <v>220</v>
      </c>
      <c r="C221" s="7" t="s">
        <v>682</v>
      </c>
      <c r="D221" s="7" t="s">
        <v>683</v>
      </c>
      <c r="E221" s="7" t="str">
        <f t="shared" si="9"/>
        <v>Oct</v>
      </c>
      <c r="F221" s="7" t="s">
        <v>684</v>
      </c>
      <c r="G221" s="7" t="s">
        <v>18</v>
      </c>
      <c r="H221" s="7" t="s">
        <v>51</v>
      </c>
      <c r="I221" s="7" t="s">
        <v>59</v>
      </c>
      <c r="J221" s="7" t="s">
        <v>47</v>
      </c>
      <c r="K221" s="7" t="s">
        <v>53</v>
      </c>
      <c r="L221" s="7">
        <v>4249.12</v>
      </c>
      <c r="M221" s="7">
        <v>5</v>
      </c>
      <c r="N221" s="7">
        <v>0.24</v>
      </c>
      <c r="O221" s="7">
        <v>576.6</v>
      </c>
      <c r="P221" s="7" t="s">
        <v>31</v>
      </c>
      <c r="Q221" s="7" t="s">
        <v>77</v>
      </c>
      <c r="R221" s="7">
        <v>9</v>
      </c>
      <c r="S221" s="7">
        <f t="shared" si="10"/>
        <v>2024</v>
      </c>
      <c r="T221" s="7" t="str">
        <f t="shared" si="11"/>
        <v>Oct</v>
      </c>
    </row>
    <row r="222" spans="2:20" x14ac:dyDescent="0.3">
      <c r="B222" s="7">
        <v>221</v>
      </c>
      <c r="C222" s="7" t="s">
        <v>685</v>
      </c>
      <c r="D222" s="7" t="s">
        <v>686</v>
      </c>
      <c r="E222" s="7" t="str">
        <f t="shared" si="9"/>
        <v>Sep</v>
      </c>
      <c r="F222" s="7" t="s">
        <v>687</v>
      </c>
      <c r="G222" s="7" t="s">
        <v>18</v>
      </c>
      <c r="H222" s="7" t="s">
        <v>37</v>
      </c>
      <c r="I222" s="7" t="s">
        <v>59</v>
      </c>
      <c r="J222" s="7" t="s">
        <v>47</v>
      </c>
      <c r="K222" s="7" t="s">
        <v>39</v>
      </c>
      <c r="L222" s="7">
        <v>1696.32</v>
      </c>
      <c r="M222" s="7">
        <v>3</v>
      </c>
      <c r="N222" s="7">
        <v>0.19</v>
      </c>
      <c r="O222" s="7">
        <v>389.18</v>
      </c>
      <c r="P222" s="7" t="s">
        <v>23</v>
      </c>
      <c r="Q222" s="7" t="s">
        <v>32</v>
      </c>
      <c r="R222" s="7">
        <v>2</v>
      </c>
      <c r="S222" s="7">
        <f t="shared" si="10"/>
        <v>2024</v>
      </c>
      <c r="T222" s="7" t="str">
        <f t="shared" si="11"/>
        <v>Sep</v>
      </c>
    </row>
    <row r="223" spans="2:20" x14ac:dyDescent="0.3">
      <c r="B223" s="7">
        <v>222</v>
      </c>
      <c r="C223" s="7" t="s">
        <v>688</v>
      </c>
      <c r="D223" s="7" t="s">
        <v>689</v>
      </c>
      <c r="E223" s="7" t="str">
        <f t="shared" si="9"/>
        <v>Oct</v>
      </c>
      <c r="F223" s="7" t="s">
        <v>690</v>
      </c>
      <c r="G223" s="7" t="s">
        <v>36</v>
      </c>
      <c r="H223" s="7" t="s">
        <v>71</v>
      </c>
      <c r="I223" s="7" t="s">
        <v>28</v>
      </c>
      <c r="J223" s="7" t="s">
        <v>47</v>
      </c>
      <c r="K223" s="7" t="s">
        <v>82</v>
      </c>
      <c r="L223" s="7">
        <v>4833.34</v>
      </c>
      <c r="M223" s="7">
        <v>5</v>
      </c>
      <c r="N223" s="7">
        <v>0.11</v>
      </c>
      <c r="O223" s="7">
        <v>988.91</v>
      </c>
      <c r="P223" s="7" t="s">
        <v>31</v>
      </c>
      <c r="Q223" s="7" t="s">
        <v>86</v>
      </c>
      <c r="R223" s="7">
        <v>5</v>
      </c>
      <c r="S223" s="7">
        <f t="shared" si="10"/>
        <v>2024</v>
      </c>
      <c r="T223" s="7" t="str">
        <f t="shared" si="11"/>
        <v>Oct</v>
      </c>
    </row>
    <row r="224" spans="2:20" x14ac:dyDescent="0.3">
      <c r="B224" s="7">
        <v>223</v>
      </c>
      <c r="C224" s="7" t="s">
        <v>691</v>
      </c>
      <c r="D224" s="7" t="s">
        <v>692</v>
      </c>
      <c r="E224" s="7" t="str">
        <f t="shared" si="9"/>
        <v>Aug</v>
      </c>
      <c r="F224" s="7" t="s">
        <v>693</v>
      </c>
      <c r="G224" s="7" t="s">
        <v>102</v>
      </c>
      <c r="H224" s="7" t="s">
        <v>51</v>
      </c>
      <c r="I224" s="7" t="s">
        <v>20</v>
      </c>
      <c r="J224" s="7" t="s">
        <v>81</v>
      </c>
      <c r="K224" s="7" t="s">
        <v>30</v>
      </c>
      <c r="L224" s="7">
        <v>593.73</v>
      </c>
      <c r="M224" s="7">
        <v>4</v>
      </c>
      <c r="N224" s="7">
        <v>0.17</v>
      </c>
      <c r="O224" s="7">
        <v>117.62</v>
      </c>
      <c r="P224" s="7" t="s">
        <v>23</v>
      </c>
      <c r="Q224" s="7" t="s">
        <v>32</v>
      </c>
      <c r="R224" s="7">
        <v>10</v>
      </c>
      <c r="S224" s="7">
        <f t="shared" si="10"/>
        <v>2025</v>
      </c>
      <c r="T224" s="7" t="str">
        <f t="shared" si="11"/>
        <v>Aug</v>
      </c>
    </row>
    <row r="225" spans="2:20" x14ac:dyDescent="0.3">
      <c r="B225" s="7">
        <v>224</v>
      </c>
      <c r="C225" s="7" t="s">
        <v>694</v>
      </c>
      <c r="D225" s="7" t="s">
        <v>637</v>
      </c>
      <c r="E225" s="7" t="str">
        <f t="shared" si="9"/>
        <v>Mar</v>
      </c>
      <c r="F225" s="7" t="s">
        <v>695</v>
      </c>
      <c r="G225" s="7" t="s">
        <v>36</v>
      </c>
      <c r="H225" s="7" t="s">
        <v>71</v>
      </c>
      <c r="I225" s="7" t="s">
        <v>20</v>
      </c>
      <c r="J225" s="7" t="s">
        <v>81</v>
      </c>
      <c r="K225" s="7" t="s">
        <v>53</v>
      </c>
      <c r="L225" s="7">
        <v>1623.87</v>
      </c>
      <c r="M225" s="7">
        <v>3</v>
      </c>
      <c r="N225" s="7">
        <v>0.13</v>
      </c>
      <c r="O225" s="7">
        <v>507.1</v>
      </c>
      <c r="P225" s="7" t="s">
        <v>23</v>
      </c>
      <c r="Q225" s="7" t="s">
        <v>32</v>
      </c>
      <c r="R225" s="7">
        <v>1</v>
      </c>
      <c r="S225" s="7">
        <f t="shared" si="10"/>
        <v>2024</v>
      </c>
      <c r="T225" s="7" t="str">
        <f t="shared" si="11"/>
        <v>Mar</v>
      </c>
    </row>
    <row r="226" spans="2:20" x14ac:dyDescent="0.3">
      <c r="B226" s="7">
        <v>225</v>
      </c>
      <c r="C226" s="7" t="s">
        <v>696</v>
      </c>
      <c r="D226" s="7" t="s">
        <v>697</v>
      </c>
      <c r="E226" s="7" t="str">
        <f t="shared" si="9"/>
        <v>May</v>
      </c>
      <c r="F226" s="7" t="s">
        <v>112</v>
      </c>
      <c r="G226" s="7" t="s">
        <v>18</v>
      </c>
      <c r="H226" s="7" t="s">
        <v>19</v>
      </c>
      <c r="I226" s="7" t="s">
        <v>20</v>
      </c>
      <c r="J226" s="7" t="s">
        <v>81</v>
      </c>
      <c r="K226" s="7" t="s">
        <v>67</v>
      </c>
      <c r="L226" s="7">
        <v>132.06</v>
      </c>
      <c r="M226" s="7">
        <v>1</v>
      </c>
      <c r="N226" s="7">
        <v>0.26</v>
      </c>
      <c r="O226" s="7">
        <v>17.670000000000002</v>
      </c>
      <c r="P226" s="7" t="s">
        <v>23</v>
      </c>
      <c r="Q226" s="7" t="s">
        <v>40</v>
      </c>
      <c r="R226" s="7">
        <v>8</v>
      </c>
      <c r="S226" s="7">
        <f t="shared" si="10"/>
        <v>2025</v>
      </c>
      <c r="T226" s="7" t="str">
        <f t="shared" si="11"/>
        <v>May</v>
      </c>
    </row>
    <row r="227" spans="2:20" x14ac:dyDescent="0.3">
      <c r="B227" s="7">
        <v>226</v>
      </c>
      <c r="C227" s="7" t="s">
        <v>698</v>
      </c>
      <c r="D227" s="7" t="s">
        <v>157</v>
      </c>
      <c r="E227" s="7" t="str">
        <f t="shared" si="9"/>
        <v>May</v>
      </c>
      <c r="F227" s="7" t="s">
        <v>699</v>
      </c>
      <c r="G227" s="7" t="s">
        <v>102</v>
      </c>
      <c r="H227" s="7" t="s">
        <v>45</v>
      </c>
      <c r="I227" s="7" t="s">
        <v>106</v>
      </c>
      <c r="J227" s="7" t="s">
        <v>21</v>
      </c>
      <c r="K227" s="7" t="s">
        <v>30</v>
      </c>
      <c r="L227" s="7">
        <v>673.81</v>
      </c>
      <c r="M227" s="7">
        <v>2</v>
      </c>
      <c r="N227" s="7">
        <v>0.23</v>
      </c>
      <c r="O227" s="7">
        <v>113.17</v>
      </c>
      <c r="P227" s="7" t="s">
        <v>31</v>
      </c>
      <c r="Q227" s="7" t="s">
        <v>32</v>
      </c>
      <c r="R227" s="7">
        <v>7</v>
      </c>
      <c r="S227" s="7">
        <f t="shared" si="10"/>
        <v>2024</v>
      </c>
      <c r="T227" s="7" t="str">
        <f t="shared" si="11"/>
        <v>May</v>
      </c>
    </row>
    <row r="228" spans="2:20" x14ac:dyDescent="0.3">
      <c r="B228" s="7">
        <v>227</v>
      </c>
      <c r="C228" s="7" t="s">
        <v>700</v>
      </c>
      <c r="D228" s="7" t="s">
        <v>701</v>
      </c>
      <c r="E228" s="7" t="str">
        <f t="shared" si="9"/>
        <v>Mar</v>
      </c>
      <c r="F228" s="7" t="s">
        <v>702</v>
      </c>
      <c r="G228" s="7" t="s">
        <v>36</v>
      </c>
      <c r="H228" s="7" t="s">
        <v>51</v>
      </c>
      <c r="I228" s="7" t="s">
        <v>116</v>
      </c>
      <c r="J228" s="7" t="s">
        <v>29</v>
      </c>
      <c r="K228" s="7" t="s">
        <v>72</v>
      </c>
      <c r="L228" s="7">
        <v>1087.23</v>
      </c>
      <c r="M228" s="7">
        <v>3</v>
      </c>
      <c r="N228" s="7">
        <v>0.06</v>
      </c>
      <c r="O228" s="7">
        <v>269.66000000000003</v>
      </c>
      <c r="P228" s="7" t="s">
        <v>31</v>
      </c>
      <c r="Q228" s="7" t="s">
        <v>40</v>
      </c>
      <c r="R228" s="7">
        <v>8</v>
      </c>
      <c r="S228" s="7">
        <f t="shared" si="10"/>
        <v>2024</v>
      </c>
      <c r="T228" s="7" t="str">
        <f t="shared" si="11"/>
        <v>Mar</v>
      </c>
    </row>
    <row r="229" spans="2:20" x14ac:dyDescent="0.3">
      <c r="B229" s="7">
        <v>228</v>
      </c>
      <c r="C229" s="7" t="s">
        <v>703</v>
      </c>
      <c r="D229" s="7" t="s">
        <v>258</v>
      </c>
      <c r="E229" s="7" t="str">
        <f t="shared" si="9"/>
        <v>May</v>
      </c>
      <c r="F229" s="7" t="s">
        <v>704</v>
      </c>
      <c r="G229" s="7" t="s">
        <v>102</v>
      </c>
      <c r="H229" s="7" t="s">
        <v>45</v>
      </c>
      <c r="I229" s="7" t="s">
        <v>20</v>
      </c>
      <c r="J229" s="7" t="s">
        <v>47</v>
      </c>
      <c r="K229" s="7" t="s">
        <v>30</v>
      </c>
      <c r="L229" s="7">
        <v>48.39</v>
      </c>
      <c r="M229" s="7">
        <v>1</v>
      </c>
      <c r="N229" s="7">
        <v>0.25</v>
      </c>
      <c r="O229" s="7">
        <v>10.58</v>
      </c>
      <c r="P229" s="7" t="s">
        <v>31</v>
      </c>
      <c r="Q229" s="7" t="s">
        <v>86</v>
      </c>
      <c r="R229" s="7">
        <v>10</v>
      </c>
      <c r="S229" s="7">
        <f t="shared" si="10"/>
        <v>2024</v>
      </c>
      <c r="T229" s="7" t="str">
        <f t="shared" si="11"/>
        <v>May</v>
      </c>
    </row>
    <row r="230" spans="2:20" x14ac:dyDescent="0.3">
      <c r="B230" s="7">
        <v>229</v>
      </c>
      <c r="C230" s="7" t="s">
        <v>705</v>
      </c>
      <c r="D230" s="7" t="s">
        <v>533</v>
      </c>
      <c r="E230" s="7" t="str">
        <f t="shared" si="9"/>
        <v>Dec</v>
      </c>
      <c r="F230" s="7" t="s">
        <v>706</v>
      </c>
      <c r="G230" s="7" t="s">
        <v>102</v>
      </c>
      <c r="H230" s="7" t="s">
        <v>71</v>
      </c>
      <c r="I230" s="7" t="s">
        <v>46</v>
      </c>
      <c r="J230" s="7" t="s">
        <v>29</v>
      </c>
      <c r="K230" s="7" t="s">
        <v>30</v>
      </c>
      <c r="L230" s="7">
        <v>1424.06</v>
      </c>
      <c r="M230" s="7">
        <v>3</v>
      </c>
      <c r="N230" s="7">
        <v>0.25</v>
      </c>
      <c r="O230" s="7">
        <v>438.74</v>
      </c>
      <c r="P230" s="7" t="s">
        <v>23</v>
      </c>
      <c r="Q230" s="7" t="s">
        <v>40</v>
      </c>
      <c r="R230" s="7">
        <v>5</v>
      </c>
      <c r="S230" s="7">
        <f t="shared" si="10"/>
        <v>2024</v>
      </c>
      <c r="T230" s="7" t="str">
        <f t="shared" si="11"/>
        <v>Dec</v>
      </c>
    </row>
    <row r="231" spans="2:20" x14ac:dyDescent="0.3">
      <c r="B231" s="7">
        <v>230</v>
      </c>
      <c r="C231" s="7" t="s">
        <v>707</v>
      </c>
      <c r="D231" s="7" t="s">
        <v>708</v>
      </c>
      <c r="E231" s="7" t="str">
        <f t="shared" si="9"/>
        <v>Jul</v>
      </c>
      <c r="F231" s="7" t="s">
        <v>709</v>
      </c>
      <c r="G231" s="7" t="s">
        <v>18</v>
      </c>
      <c r="H231" s="7" t="s">
        <v>51</v>
      </c>
      <c r="I231" s="7" t="s">
        <v>20</v>
      </c>
      <c r="J231" s="7" t="s">
        <v>47</v>
      </c>
      <c r="K231" s="7" t="s">
        <v>72</v>
      </c>
      <c r="L231" s="7">
        <v>301.91000000000003</v>
      </c>
      <c r="M231" s="7">
        <v>1</v>
      </c>
      <c r="N231" s="7">
        <v>0.02</v>
      </c>
      <c r="O231" s="7">
        <v>85.62</v>
      </c>
      <c r="P231" s="7" t="s">
        <v>23</v>
      </c>
      <c r="Q231" s="7" t="s">
        <v>40</v>
      </c>
      <c r="R231" s="7">
        <v>5</v>
      </c>
      <c r="S231" s="7">
        <f t="shared" si="10"/>
        <v>2025</v>
      </c>
      <c r="T231" s="7" t="str">
        <f t="shared" si="11"/>
        <v>Jul</v>
      </c>
    </row>
    <row r="232" spans="2:20" x14ac:dyDescent="0.3">
      <c r="B232" s="7">
        <v>231</v>
      </c>
      <c r="C232" s="7" t="s">
        <v>710</v>
      </c>
      <c r="D232" s="7" t="s">
        <v>711</v>
      </c>
      <c r="E232" s="7" t="str">
        <f t="shared" si="9"/>
        <v>Sep</v>
      </c>
      <c r="F232" s="7" t="s">
        <v>712</v>
      </c>
      <c r="G232" s="7" t="s">
        <v>102</v>
      </c>
      <c r="H232" s="7" t="s">
        <v>19</v>
      </c>
      <c r="I232" s="7" t="s">
        <v>28</v>
      </c>
      <c r="J232" s="7" t="s">
        <v>81</v>
      </c>
      <c r="K232" s="7" t="s">
        <v>22</v>
      </c>
      <c r="L232" s="7">
        <v>1632.32</v>
      </c>
      <c r="M232" s="7">
        <v>2</v>
      </c>
      <c r="N232" s="7">
        <v>0.26</v>
      </c>
      <c r="O232" s="7">
        <v>169.17</v>
      </c>
      <c r="P232" s="7" t="s">
        <v>54</v>
      </c>
      <c r="Q232" s="7" t="s">
        <v>32</v>
      </c>
      <c r="R232" s="7">
        <v>10</v>
      </c>
      <c r="S232" s="7">
        <f t="shared" si="10"/>
        <v>2025</v>
      </c>
      <c r="T232" s="7" t="str">
        <f t="shared" si="11"/>
        <v>Sep</v>
      </c>
    </row>
    <row r="233" spans="2:20" x14ac:dyDescent="0.3">
      <c r="B233" s="7">
        <v>232</v>
      </c>
      <c r="C233" s="7" t="s">
        <v>713</v>
      </c>
      <c r="D233" s="7" t="s">
        <v>714</v>
      </c>
      <c r="E233" s="7" t="str">
        <f t="shared" si="9"/>
        <v>Apr</v>
      </c>
      <c r="F233" s="7" t="s">
        <v>715</v>
      </c>
      <c r="G233" s="7" t="s">
        <v>18</v>
      </c>
      <c r="H233" s="7" t="s">
        <v>65</v>
      </c>
      <c r="I233" s="7" t="s">
        <v>116</v>
      </c>
      <c r="J233" s="7" t="s">
        <v>21</v>
      </c>
      <c r="K233" s="7" t="s">
        <v>76</v>
      </c>
      <c r="L233" s="7">
        <v>1715.79</v>
      </c>
      <c r="M233" s="7">
        <v>3</v>
      </c>
      <c r="N233" s="7">
        <v>0.15</v>
      </c>
      <c r="O233" s="7">
        <v>552.97</v>
      </c>
      <c r="P233" s="7" t="s">
        <v>31</v>
      </c>
      <c r="Q233" s="7" t="s">
        <v>86</v>
      </c>
      <c r="R233" s="7">
        <v>6</v>
      </c>
      <c r="S233" s="7">
        <f t="shared" si="10"/>
        <v>2025</v>
      </c>
      <c r="T233" s="7" t="str">
        <f t="shared" si="11"/>
        <v>Apr</v>
      </c>
    </row>
    <row r="234" spans="2:20" x14ac:dyDescent="0.3">
      <c r="B234" s="7">
        <v>233</v>
      </c>
      <c r="C234" s="7" t="s">
        <v>716</v>
      </c>
      <c r="D234" s="7" t="s">
        <v>717</v>
      </c>
      <c r="E234" s="7" t="str">
        <f t="shared" si="9"/>
        <v>Jun</v>
      </c>
      <c r="F234" s="7" t="s">
        <v>718</v>
      </c>
      <c r="G234" s="7" t="s">
        <v>102</v>
      </c>
      <c r="H234" s="7" t="s">
        <v>45</v>
      </c>
      <c r="I234" s="7" t="s">
        <v>116</v>
      </c>
      <c r="J234" s="7" t="s">
        <v>47</v>
      </c>
      <c r="K234" s="7" t="s">
        <v>72</v>
      </c>
      <c r="L234" s="7">
        <v>191.72</v>
      </c>
      <c r="M234" s="7">
        <v>2</v>
      </c>
      <c r="N234" s="7">
        <v>0.11</v>
      </c>
      <c r="O234" s="7">
        <v>52.3</v>
      </c>
      <c r="P234" s="7" t="s">
        <v>31</v>
      </c>
      <c r="Q234" s="7" t="s">
        <v>32</v>
      </c>
      <c r="R234" s="7">
        <v>5</v>
      </c>
      <c r="S234" s="7">
        <f t="shared" si="10"/>
        <v>2025</v>
      </c>
      <c r="T234" s="7" t="str">
        <f t="shared" si="11"/>
        <v>Jun</v>
      </c>
    </row>
    <row r="235" spans="2:20" x14ac:dyDescent="0.3">
      <c r="B235" s="7">
        <v>234</v>
      </c>
      <c r="C235" s="7" t="s">
        <v>719</v>
      </c>
      <c r="D235" s="7" t="s">
        <v>611</v>
      </c>
      <c r="E235" s="7" t="str">
        <f t="shared" si="9"/>
        <v>Jun</v>
      </c>
      <c r="F235" s="7" t="s">
        <v>720</v>
      </c>
      <c r="G235" s="7" t="s">
        <v>44</v>
      </c>
      <c r="H235" s="7" t="s">
        <v>51</v>
      </c>
      <c r="I235" s="7" t="s">
        <v>20</v>
      </c>
      <c r="J235" s="7" t="s">
        <v>66</v>
      </c>
      <c r="K235" s="7" t="s">
        <v>76</v>
      </c>
      <c r="L235" s="7">
        <v>645.49</v>
      </c>
      <c r="M235" s="7">
        <v>2</v>
      </c>
      <c r="N235" s="7">
        <v>0.16</v>
      </c>
      <c r="O235" s="7">
        <v>138.72999999999999</v>
      </c>
      <c r="P235" s="7" t="s">
        <v>23</v>
      </c>
      <c r="Q235" s="7" t="s">
        <v>77</v>
      </c>
      <c r="R235" s="7">
        <v>6</v>
      </c>
      <c r="S235" s="7">
        <f t="shared" si="10"/>
        <v>2024</v>
      </c>
      <c r="T235" s="7" t="str">
        <f t="shared" si="11"/>
        <v>Jun</v>
      </c>
    </row>
    <row r="236" spans="2:20" x14ac:dyDescent="0.3">
      <c r="B236" s="7">
        <v>235</v>
      </c>
      <c r="C236" s="7" t="s">
        <v>721</v>
      </c>
      <c r="D236" s="7" t="s">
        <v>114</v>
      </c>
      <c r="E236" s="7" t="str">
        <f t="shared" si="9"/>
        <v>Jul</v>
      </c>
      <c r="F236" s="7" t="s">
        <v>722</v>
      </c>
      <c r="G236" s="7" t="s">
        <v>64</v>
      </c>
      <c r="H236" s="7" t="s">
        <v>65</v>
      </c>
      <c r="I236" s="7" t="s">
        <v>20</v>
      </c>
      <c r="J236" s="7" t="s">
        <v>81</v>
      </c>
      <c r="K236" s="7" t="s">
        <v>67</v>
      </c>
      <c r="L236" s="7">
        <v>1398.74</v>
      </c>
      <c r="M236" s="7">
        <v>2</v>
      </c>
      <c r="N236" s="7">
        <v>0.18</v>
      </c>
      <c r="O236" s="7">
        <v>438.1</v>
      </c>
      <c r="P236" s="7" t="s">
        <v>23</v>
      </c>
      <c r="Q236" s="7" t="s">
        <v>40</v>
      </c>
      <c r="R236" s="7">
        <v>3</v>
      </c>
      <c r="S236" s="7">
        <f t="shared" si="10"/>
        <v>2025</v>
      </c>
      <c r="T236" s="7" t="str">
        <f t="shared" si="11"/>
        <v>Jul</v>
      </c>
    </row>
    <row r="237" spans="2:20" x14ac:dyDescent="0.3">
      <c r="B237" s="7">
        <v>236</v>
      </c>
      <c r="C237" s="7" t="s">
        <v>723</v>
      </c>
      <c r="D237" s="7" t="s">
        <v>724</v>
      </c>
      <c r="E237" s="7" t="str">
        <f t="shared" si="9"/>
        <v>Aug</v>
      </c>
      <c r="F237" s="7" t="s">
        <v>725</v>
      </c>
      <c r="G237" s="7" t="s">
        <v>102</v>
      </c>
      <c r="H237" s="7" t="s">
        <v>45</v>
      </c>
      <c r="I237" s="7" t="s">
        <v>52</v>
      </c>
      <c r="J237" s="7" t="s">
        <v>21</v>
      </c>
      <c r="K237" s="7" t="s">
        <v>53</v>
      </c>
      <c r="L237" s="7">
        <v>887.41</v>
      </c>
      <c r="M237" s="7">
        <v>1</v>
      </c>
      <c r="N237" s="7">
        <v>0.01</v>
      </c>
      <c r="O237" s="7">
        <v>301.35000000000002</v>
      </c>
      <c r="P237" s="7" t="s">
        <v>31</v>
      </c>
      <c r="Q237" s="7" t="s">
        <v>77</v>
      </c>
      <c r="R237" s="7">
        <v>5</v>
      </c>
      <c r="S237" s="7">
        <f t="shared" si="10"/>
        <v>2024</v>
      </c>
      <c r="T237" s="7" t="str">
        <f t="shared" si="11"/>
        <v>Aug</v>
      </c>
    </row>
    <row r="238" spans="2:20" x14ac:dyDescent="0.3">
      <c r="B238" s="7">
        <v>237</v>
      </c>
      <c r="C238" s="7" t="s">
        <v>726</v>
      </c>
      <c r="D238" s="7" t="s">
        <v>727</v>
      </c>
      <c r="E238" s="7" t="str">
        <f t="shared" si="9"/>
        <v>Mar</v>
      </c>
      <c r="F238" s="7" t="s">
        <v>728</v>
      </c>
      <c r="G238" s="7" t="s">
        <v>64</v>
      </c>
      <c r="H238" s="7" t="s">
        <v>19</v>
      </c>
      <c r="I238" s="7" t="s">
        <v>20</v>
      </c>
      <c r="J238" s="7" t="s">
        <v>29</v>
      </c>
      <c r="K238" s="7" t="s">
        <v>39</v>
      </c>
      <c r="L238" s="7">
        <v>1115.8499999999999</v>
      </c>
      <c r="M238" s="7">
        <v>3</v>
      </c>
      <c r="N238" s="7">
        <v>0.01</v>
      </c>
      <c r="O238" s="7">
        <v>353.75</v>
      </c>
      <c r="P238" s="7" t="s">
        <v>23</v>
      </c>
      <c r="Q238" s="7" t="s">
        <v>77</v>
      </c>
      <c r="R238" s="7">
        <v>4</v>
      </c>
      <c r="S238" s="7">
        <f t="shared" si="10"/>
        <v>2025</v>
      </c>
      <c r="T238" s="7" t="str">
        <f t="shared" si="11"/>
        <v>Mar</v>
      </c>
    </row>
    <row r="239" spans="2:20" x14ac:dyDescent="0.3">
      <c r="B239" s="7">
        <v>238</v>
      </c>
      <c r="C239" s="7" t="s">
        <v>729</v>
      </c>
      <c r="D239" s="7" t="s">
        <v>730</v>
      </c>
      <c r="E239" s="7" t="str">
        <f t="shared" si="9"/>
        <v>Feb</v>
      </c>
      <c r="F239" s="7" t="s">
        <v>731</v>
      </c>
      <c r="G239" s="7" t="s">
        <v>18</v>
      </c>
      <c r="H239" s="7" t="s">
        <v>58</v>
      </c>
      <c r="I239" s="7" t="s">
        <v>38</v>
      </c>
      <c r="J239" s="7" t="s">
        <v>66</v>
      </c>
      <c r="K239" s="7" t="s">
        <v>39</v>
      </c>
      <c r="L239" s="7">
        <v>3221.87</v>
      </c>
      <c r="M239" s="7">
        <v>4</v>
      </c>
      <c r="N239" s="7">
        <v>0.21</v>
      </c>
      <c r="O239" s="7">
        <v>478.22</v>
      </c>
      <c r="P239" s="7" t="s">
        <v>54</v>
      </c>
      <c r="Q239" s="7" t="s">
        <v>77</v>
      </c>
      <c r="R239" s="7">
        <v>5</v>
      </c>
      <c r="S239" s="7">
        <f t="shared" si="10"/>
        <v>2025</v>
      </c>
      <c r="T239" s="7" t="str">
        <f t="shared" si="11"/>
        <v>Feb</v>
      </c>
    </row>
    <row r="240" spans="2:20" x14ac:dyDescent="0.3">
      <c r="B240" s="7">
        <v>239</v>
      </c>
      <c r="C240" s="7" t="s">
        <v>732</v>
      </c>
      <c r="D240" s="7" t="s">
        <v>733</v>
      </c>
      <c r="E240" s="7" t="str">
        <f t="shared" si="9"/>
        <v>Jul</v>
      </c>
      <c r="F240" s="7" t="s">
        <v>734</v>
      </c>
      <c r="G240" s="7" t="s">
        <v>64</v>
      </c>
      <c r="H240" s="7" t="s">
        <v>65</v>
      </c>
      <c r="I240" s="7" t="s">
        <v>38</v>
      </c>
      <c r="J240" s="7" t="s">
        <v>66</v>
      </c>
      <c r="K240" s="7" t="s">
        <v>76</v>
      </c>
      <c r="L240" s="7">
        <v>707.74</v>
      </c>
      <c r="M240" s="7">
        <v>4</v>
      </c>
      <c r="N240" s="7">
        <v>0.05</v>
      </c>
      <c r="O240" s="7">
        <v>85.51</v>
      </c>
      <c r="P240" s="7" t="s">
        <v>31</v>
      </c>
      <c r="Q240" s="7" t="s">
        <v>24</v>
      </c>
      <c r="R240" s="7">
        <v>5</v>
      </c>
      <c r="S240" s="7">
        <f t="shared" si="10"/>
        <v>2024</v>
      </c>
      <c r="T240" s="7" t="str">
        <f t="shared" si="11"/>
        <v>Jul</v>
      </c>
    </row>
    <row r="241" spans="2:20" x14ac:dyDescent="0.3">
      <c r="B241" s="7">
        <v>240</v>
      </c>
      <c r="C241" s="7" t="s">
        <v>735</v>
      </c>
      <c r="D241" s="7" t="s">
        <v>736</v>
      </c>
      <c r="E241" s="7" t="str">
        <f t="shared" si="9"/>
        <v>Nov</v>
      </c>
      <c r="F241" s="7" t="s">
        <v>737</v>
      </c>
      <c r="G241" s="7" t="s">
        <v>18</v>
      </c>
      <c r="H241" s="7" t="s">
        <v>37</v>
      </c>
      <c r="I241" s="7" t="s">
        <v>20</v>
      </c>
      <c r="J241" s="7" t="s">
        <v>21</v>
      </c>
      <c r="K241" s="7" t="s">
        <v>67</v>
      </c>
      <c r="L241" s="7">
        <v>1773.37</v>
      </c>
      <c r="M241" s="7">
        <v>3</v>
      </c>
      <c r="N241" s="7">
        <v>0.21</v>
      </c>
      <c r="O241" s="7">
        <v>182.35</v>
      </c>
      <c r="P241" s="7" t="s">
        <v>31</v>
      </c>
      <c r="Q241" s="7" t="s">
        <v>86</v>
      </c>
      <c r="R241" s="7">
        <v>6</v>
      </c>
      <c r="S241" s="7">
        <f t="shared" si="10"/>
        <v>2024</v>
      </c>
      <c r="T241" s="7" t="str">
        <f t="shared" si="11"/>
        <v>Nov</v>
      </c>
    </row>
    <row r="242" spans="2:20" x14ac:dyDescent="0.3">
      <c r="B242" s="7">
        <v>241</v>
      </c>
      <c r="C242" s="7" t="s">
        <v>738</v>
      </c>
      <c r="D242" s="7" t="s">
        <v>575</v>
      </c>
      <c r="E242" s="7" t="str">
        <f t="shared" si="9"/>
        <v>Mar</v>
      </c>
      <c r="F242" s="7" t="s">
        <v>739</v>
      </c>
      <c r="G242" s="7" t="s">
        <v>102</v>
      </c>
      <c r="H242" s="7" t="s">
        <v>45</v>
      </c>
      <c r="I242" s="7" t="s">
        <v>38</v>
      </c>
      <c r="J242" s="7" t="s">
        <v>66</v>
      </c>
      <c r="K242" s="7" t="s">
        <v>53</v>
      </c>
      <c r="L242" s="7">
        <v>842.01</v>
      </c>
      <c r="M242" s="7">
        <v>1</v>
      </c>
      <c r="N242" s="7">
        <v>0.11</v>
      </c>
      <c r="O242" s="7">
        <v>171.15</v>
      </c>
      <c r="P242" s="7" t="s">
        <v>54</v>
      </c>
      <c r="Q242" s="7" t="s">
        <v>77</v>
      </c>
      <c r="R242" s="7">
        <v>7</v>
      </c>
      <c r="S242" s="7">
        <f t="shared" si="10"/>
        <v>2024</v>
      </c>
      <c r="T242" s="7" t="str">
        <f t="shared" si="11"/>
        <v>Mar</v>
      </c>
    </row>
    <row r="243" spans="2:20" x14ac:dyDescent="0.3">
      <c r="B243" s="7">
        <v>242</v>
      </c>
      <c r="C243" s="7" t="s">
        <v>740</v>
      </c>
      <c r="D243" s="7" t="s">
        <v>654</v>
      </c>
      <c r="E243" s="7" t="str">
        <f t="shared" si="9"/>
        <v>Jun</v>
      </c>
      <c r="F243" s="7" t="s">
        <v>741</v>
      </c>
      <c r="G243" s="7" t="s">
        <v>102</v>
      </c>
      <c r="H243" s="7" t="s">
        <v>37</v>
      </c>
      <c r="I243" s="7" t="s">
        <v>28</v>
      </c>
      <c r="J243" s="7" t="s">
        <v>21</v>
      </c>
      <c r="K243" s="7" t="s">
        <v>53</v>
      </c>
      <c r="L243" s="7">
        <v>2927.25</v>
      </c>
      <c r="M243" s="7">
        <v>4</v>
      </c>
      <c r="N243" s="7">
        <v>0.03</v>
      </c>
      <c r="O243" s="7">
        <v>857.23</v>
      </c>
      <c r="P243" s="7" t="s">
        <v>54</v>
      </c>
      <c r="Q243" s="7" t="s">
        <v>32</v>
      </c>
      <c r="R243" s="7">
        <v>1</v>
      </c>
      <c r="S243" s="7">
        <f t="shared" si="10"/>
        <v>2024</v>
      </c>
      <c r="T243" s="7" t="str">
        <f t="shared" si="11"/>
        <v>Jun</v>
      </c>
    </row>
    <row r="244" spans="2:20" x14ac:dyDescent="0.3">
      <c r="B244" s="7">
        <v>243</v>
      </c>
      <c r="C244" s="7" t="s">
        <v>742</v>
      </c>
      <c r="D244" s="7" t="s">
        <v>197</v>
      </c>
      <c r="E244" s="7" t="str">
        <f t="shared" si="9"/>
        <v>Nov</v>
      </c>
      <c r="F244" s="7" t="s">
        <v>743</v>
      </c>
      <c r="G244" s="7" t="s">
        <v>18</v>
      </c>
      <c r="H244" s="7" t="s">
        <v>51</v>
      </c>
      <c r="I244" s="7" t="s">
        <v>20</v>
      </c>
      <c r="J244" s="7" t="s">
        <v>66</v>
      </c>
      <c r="K244" s="7" t="s">
        <v>60</v>
      </c>
      <c r="L244" s="7">
        <v>729.08</v>
      </c>
      <c r="M244" s="7">
        <v>1</v>
      </c>
      <c r="N244" s="7">
        <v>0.13</v>
      </c>
      <c r="O244" s="7">
        <v>86.83</v>
      </c>
      <c r="P244" s="7" t="s">
        <v>23</v>
      </c>
      <c r="Q244" s="7" t="s">
        <v>86</v>
      </c>
      <c r="R244" s="7">
        <v>2</v>
      </c>
      <c r="S244" s="7">
        <f t="shared" si="10"/>
        <v>2025</v>
      </c>
      <c r="T244" s="7" t="str">
        <f t="shared" si="11"/>
        <v>Nov</v>
      </c>
    </row>
    <row r="245" spans="2:20" x14ac:dyDescent="0.3">
      <c r="B245" s="7">
        <v>244</v>
      </c>
      <c r="C245" s="7" t="s">
        <v>744</v>
      </c>
      <c r="D245" s="7" t="s">
        <v>745</v>
      </c>
      <c r="E245" s="7" t="str">
        <f t="shared" si="9"/>
        <v>Jul</v>
      </c>
      <c r="F245" s="7" t="s">
        <v>746</v>
      </c>
      <c r="G245" s="7" t="s">
        <v>64</v>
      </c>
      <c r="H245" s="7" t="s">
        <v>71</v>
      </c>
      <c r="I245" s="7" t="s">
        <v>106</v>
      </c>
      <c r="J245" s="7" t="s">
        <v>66</v>
      </c>
      <c r="K245" s="7" t="s">
        <v>39</v>
      </c>
      <c r="L245" s="7">
        <v>173.35</v>
      </c>
      <c r="M245" s="7">
        <v>5</v>
      </c>
      <c r="N245" s="7">
        <v>0.15</v>
      </c>
      <c r="O245" s="7">
        <v>56.27</v>
      </c>
      <c r="P245" s="7" t="s">
        <v>23</v>
      </c>
      <c r="Q245" s="7" t="s">
        <v>86</v>
      </c>
      <c r="R245" s="7">
        <v>2</v>
      </c>
      <c r="S245" s="7">
        <f t="shared" si="10"/>
        <v>2025</v>
      </c>
      <c r="T245" s="7" t="str">
        <f t="shared" si="11"/>
        <v>Jul</v>
      </c>
    </row>
    <row r="246" spans="2:20" x14ac:dyDescent="0.3">
      <c r="B246" s="7">
        <v>245</v>
      </c>
      <c r="C246" s="7" t="s">
        <v>747</v>
      </c>
      <c r="D246" s="7" t="s">
        <v>212</v>
      </c>
      <c r="E246" s="7" t="str">
        <f t="shared" si="9"/>
        <v>Dec</v>
      </c>
      <c r="F246" s="7" t="s">
        <v>748</v>
      </c>
      <c r="G246" s="7" t="s">
        <v>36</v>
      </c>
      <c r="H246" s="7" t="s">
        <v>51</v>
      </c>
      <c r="I246" s="7" t="s">
        <v>46</v>
      </c>
      <c r="J246" s="7" t="s">
        <v>29</v>
      </c>
      <c r="K246" s="7" t="s">
        <v>72</v>
      </c>
      <c r="L246" s="7">
        <v>3416.31</v>
      </c>
      <c r="M246" s="7">
        <v>5</v>
      </c>
      <c r="N246" s="7">
        <v>0.18</v>
      </c>
      <c r="O246" s="7">
        <v>679.33</v>
      </c>
      <c r="P246" s="7" t="s">
        <v>31</v>
      </c>
      <c r="Q246" s="7" t="s">
        <v>40</v>
      </c>
      <c r="R246" s="7">
        <v>1</v>
      </c>
      <c r="S246" s="7">
        <f t="shared" si="10"/>
        <v>2024</v>
      </c>
      <c r="T246" s="7" t="str">
        <f t="shared" si="11"/>
        <v>Dec</v>
      </c>
    </row>
    <row r="247" spans="2:20" x14ac:dyDescent="0.3">
      <c r="B247" s="7">
        <v>246</v>
      </c>
      <c r="C247" s="7" t="s">
        <v>749</v>
      </c>
      <c r="D247" s="7" t="s">
        <v>750</v>
      </c>
      <c r="E247" s="7" t="str">
        <f t="shared" si="9"/>
        <v>Feb</v>
      </c>
      <c r="F247" s="7" t="s">
        <v>751</v>
      </c>
      <c r="G247" s="7" t="s">
        <v>44</v>
      </c>
      <c r="H247" s="7" t="s">
        <v>37</v>
      </c>
      <c r="I247" s="7" t="s">
        <v>59</v>
      </c>
      <c r="J247" s="7" t="s">
        <v>21</v>
      </c>
      <c r="K247" s="7" t="s">
        <v>30</v>
      </c>
      <c r="L247" s="7">
        <v>3095.74</v>
      </c>
      <c r="M247" s="7">
        <v>5</v>
      </c>
      <c r="N247" s="7">
        <v>0.02</v>
      </c>
      <c r="O247" s="7">
        <v>886.55</v>
      </c>
      <c r="P247" s="7" t="s">
        <v>54</v>
      </c>
      <c r="Q247" s="7" t="s">
        <v>77</v>
      </c>
      <c r="R247" s="7">
        <v>5</v>
      </c>
      <c r="S247" s="7">
        <f t="shared" si="10"/>
        <v>2024</v>
      </c>
      <c r="T247" s="7" t="str">
        <f t="shared" si="11"/>
        <v>Feb</v>
      </c>
    </row>
    <row r="248" spans="2:20" x14ac:dyDescent="0.3">
      <c r="B248" s="7">
        <v>247</v>
      </c>
      <c r="C248" s="7" t="s">
        <v>752</v>
      </c>
      <c r="D248" s="7" t="s">
        <v>753</v>
      </c>
      <c r="E248" s="7" t="str">
        <f t="shared" si="9"/>
        <v>Jan</v>
      </c>
      <c r="F248" s="7" t="s">
        <v>754</v>
      </c>
      <c r="G248" s="7" t="s">
        <v>44</v>
      </c>
      <c r="H248" s="7" t="s">
        <v>37</v>
      </c>
      <c r="I248" s="7" t="s">
        <v>20</v>
      </c>
      <c r="J248" s="7" t="s">
        <v>81</v>
      </c>
      <c r="K248" s="7" t="s">
        <v>72</v>
      </c>
      <c r="L248" s="7">
        <v>1278.8499999999999</v>
      </c>
      <c r="M248" s="7">
        <v>2</v>
      </c>
      <c r="N248" s="7">
        <v>0.22</v>
      </c>
      <c r="O248" s="7">
        <v>288.07</v>
      </c>
      <c r="P248" s="7" t="s">
        <v>23</v>
      </c>
      <c r="Q248" s="7" t="s">
        <v>40</v>
      </c>
      <c r="R248" s="7">
        <v>6</v>
      </c>
      <c r="S248" s="7">
        <f t="shared" si="10"/>
        <v>2024</v>
      </c>
      <c r="T248" s="7" t="str">
        <f t="shared" si="11"/>
        <v>Jan</v>
      </c>
    </row>
    <row r="249" spans="2:20" x14ac:dyDescent="0.3">
      <c r="B249" s="7">
        <v>248</v>
      </c>
      <c r="C249" s="7" t="s">
        <v>755</v>
      </c>
      <c r="D249" s="7" t="s">
        <v>756</v>
      </c>
      <c r="E249" s="7" t="str">
        <f t="shared" si="9"/>
        <v>Oct</v>
      </c>
      <c r="F249" s="7" t="s">
        <v>757</v>
      </c>
      <c r="G249" s="7" t="s">
        <v>64</v>
      </c>
      <c r="H249" s="7" t="s">
        <v>51</v>
      </c>
      <c r="I249" s="7" t="s">
        <v>116</v>
      </c>
      <c r="J249" s="7" t="s">
        <v>21</v>
      </c>
      <c r="K249" s="7" t="s">
        <v>82</v>
      </c>
      <c r="L249" s="7">
        <v>317.16000000000003</v>
      </c>
      <c r="M249" s="7">
        <v>1</v>
      </c>
      <c r="N249" s="7">
        <v>0.12</v>
      </c>
      <c r="O249" s="7">
        <v>105.48</v>
      </c>
      <c r="P249" s="7" t="s">
        <v>54</v>
      </c>
      <c r="Q249" s="7" t="s">
        <v>24</v>
      </c>
      <c r="R249" s="7">
        <v>2</v>
      </c>
      <c r="S249" s="7">
        <f t="shared" si="10"/>
        <v>2025</v>
      </c>
      <c r="T249" s="7" t="str">
        <f t="shared" si="11"/>
        <v>Oct</v>
      </c>
    </row>
    <row r="250" spans="2:20" x14ac:dyDescent="0.3">
      <c r="B250" s="7">
        <v>249</v>
      </c>
      <c r="C250" s="7" t="s">
        <v>758</v>
      </c>
      <c r="D250" s="7" t="s">
        <v>759</v>
      </c>
      <c r="E250" s="7" t="str">
        <f t="shared" si="9"/>
        <v>Sep</v>
      </c>
      <c r="F250" s="7" t="s">
        <v>760</v>
      </c>
      <c r="G250" s="7" t="s">
        <v>102</v>
      </c>
      <c r="H250" s="7" t="s">
        <v>51</v>
      </c>
      <c r="I250" s="7" t="s">
        <v>46</v>
      </c>
      <c r="J250" s="7" t="s">
        <v>66</v>
      </c>
      <c r="K250" s="7" t="s">
        <v>39</v>
      </c>
      <c r="L250" s="7">
        <v>248.73</v>
      </c>
      <c r="M250" s="7">
        <v>1</v>
      </c>
      <c r="N250" s="7">
        <v>0.19</v>
      </c>
      <c r="O250" s="7">
        <v>27.02</v>
      </c>
      <c r="P250" s="7" t="s">
        <v>54</v>
      </c>
      <c r="Q250" s="7" t="s">
        <v>77</v>
      </c>
      <c r="R250" s="7">
        <v>4</v>
      </c>
      <c r="S250" s="7">
        <f t="shared" si="10"/>
        <v>2024</v>
      </c>
      <c r="T250" s="7" t="str">
        <f t="shared" si="11"/>
        <v>Sep</v>
      </c>
    </row>
    <row r="251" spans="2:20" x14ac:dyDescent="0.3">
      <c r="B251" s="7">
        <v>250</v>
      </c>
      <c r="C251" s="7" t="s">
        <v>761</v>
      </c>
      <c r="D251" s="7" t="s">
        <v>762</v>
      </c>
      <c r="E251" s="7" t="str">
        <f t="shared" si="9"/>
        <v>Jan</v>
      </c>
      <c r="F251" s="7" t="s">
        <v>763</v>
      </c>
      <c r="G251" s="7" t="s">
        <v>44</v>
      </c>
      <c r="H251" s="7" t="s">
        <v>58</v>
      </c>
      <c r="I251" s="7" t="s">
        <v>106</v>
      </c>
      <c r="J251" s="7" t="s">
        <v>81</v>
      </c>
      <c r="K251" s="7" t="s">
        <v>53</v>
      </c>
      <c r="L251" s="7">
        <v>2071.63</v>
      </c>
      <c r="M251" s="7">
        <v>3</v>
      </c>
      <c r="N251" s="7">
        <v>0.19</v>
      </c>
      <c r="O251" s="7">
        <v>305.95999999999998</v>
      </c>
      <c r="P251" s="7" t="s">
        <v>23</v>
      </c>
      <c r="Q251" s="7" t="s">
        <v>77</v>
      </c>
      <c r="R251" s="7">
        <v>5</v>
      </c>
      <c r="S251" s="7">
        <f t="shared" si="10"/>
        <v>2025</v>
      </c>
      <c r="T251" s="7" t="str">
        <f t="shared" si="11"/>
        <v>Jan</v>
      </c>
    </row>
    <row r="252" spans="2:20" x14ac:dyDescent="0.3">
      <c r="B252" s="7">
        <v>251</v>
      </c>
      <c r="C252" s="7" t="s">
        <v>764</v>
      </c>
      <c r="D252" s="7" t="s">
        <v>765</v>
      </c>
      <c r="E252" s="7" t="str">
        <f t="shared" si="9"/>
        <v>Jul</v>
      </c>
      <c r="F252" s="7" t="s">
        <v>766</v>
      </c>
      <c r="G252" s="7" t="s">
        <v>64</v>
      </c>
      <c r="H252" s="7" t="s">
        <v>71</v>
      </c>
      <c r="I252" s="7" t="s">
        <v>52</v>
      </c>
      <c r="J252" s="7" t="s">
        <v>66</v>
      </c>
      <c r="K252" s="7" t="s">
        <v>72</v>
      </c>
      <c r="L252" s="7">
        <v>107.81</v>
      </c>
      <c r="M252" s="7">
        <v>3</v>
      </c>
      <c r="N252" s="7">
        <v>0.19</v>
      </c>
      <c r="O252" s="7">
        <v>24.25</v>
      </c>
      <c r="P252" s="7" t="s">
        <v>54</v>
      </c>
      <c r="Q252" s="7" t="s">
        <v>77</v>
      </c>
      <c r="R252" s="7">
        <v>5</v>
      </c>
      <c r="S252" s="7">
        <f t="shared" si="10"/>
        <v>2025</v>
      </c>
      <c r="T252" s="7" t="str">
        <f t="shared" si="11"/>
        <v>Jul</v>
      </c>
    </row>
    <row r="253" spans="2:20" x14ac:dyDescent="0.3">
      <c r="B253" s="7">
        <v>252</v>
      </c>
      <c r="C253" s="7" t="s">
        <v>767</v>
      </c>
      <c r="D253" s="7" t="s">
        <v>768</v>
      </c>
      <c r="E253" s="7" t="str">
        <f t="shared" si="9"/>
        <v>Jan</v>
      </c>
      <c r="F253" s="7" t="s">
        <v>769</v>
      </c>
      <c r="G253" s="7" t="s">
        <v>18</v>
      </c>
      <c r="H253" s="7" t="s">
        <v>19</v>
      </c>
      <c r="I253" s="7" t="s">
        <v>106</v>
      </c>
      <c r="J253" s="7" t="s">
        <v>47</v>
      </c>
      <c r="K253" s="7" t="s">
        <v>67</v>
      </c>
      <c r="L253" s="7">
        <v>2809.99</v>
      </c>
      <c r="M253" s="7">
        <v>3</v>
      </c>
      <c r="N253" s="7">
        <v>0.27</v>
      </c>
      <c r="O253" s="7">
        <v>660.65</v>
      </c>
      <c r="P253" s="7" t="s">
        <v>23</v>
      </c>
      <c r="Q253" s="7" t="s">
        <v>24</v>
      </c>
      <c r="R253" s="7">
        <v>1</v>
      </c>
      <c r="S253" s="7">
        <f t="shared" si="10"/>
        <v>2025</v>
      </c>
      <c r="T253" s="7" t="str">
        <f t="shared" si="11"/>
        <v>Jan</v>
      </c>
    </row>
    <row r="254" spans="2:20" x14ac:dyDescent="0.3">
      <c r="B254" s="7">
        <v>253</v>
      </c>
      <c r="C254" s="7" t="s">
        <v>770</v>
      </c>
      <c r="D254" s="7" t="s">
        <v>771</v>
      </c>
      <c r="E254" s="7" t="str">
        <f t="shared" si="9"/>
        <v>Mar</v>
      </c>
      <c r="F254" s="7" t="s">
        <v>772</v>
      </c>
      <c r="G254" s="7" t="s">
        <v>18</v>
      </c>
      <c r="H254" s="7" t="s">
        <v>19</v>
      </c>
      <c r="I254" s="7" t="s">
        <v>116</v>
      </c>
      <c r="J254" s="7" t="s">
        <v>66</v>
      </c>
      <c r="K254" s="7" t="s">
        <v>22</v>
      </c>
      <c r="L254" s="7">
        <v>3284.41</v>
      </c>
      <c r="M254" s="7">
        <v>4</v>
      </c>
      <c r="N254" s="7">
        <v>0.04</v>
      </c>
      <c r="O254" s="7">
        <v>839.93</v>
      </c>
      <c r="P254" s="7" t="s">
        <v>31</v>
      </c>
      <c r="Q254" s="7" t="s">
        <v>32</v>
      </c>
      <c r="R254" s="7">
        <v>10</v>
      </c>
      <c r="S254" s="7">
        <f t="shared" si="10"/>
        <v>2024</v>
      </c>
      <c r="T254" s="7" t="str">
        <f t="shared" si="11"/>
        <v>Mar</v>
      </c>
    </row>
    <row r="255" spans="2:20" x14ac:dyDescent="0.3">
      <c r="B255" s="7">
        <v>254</v>
      </c>
      <c r="C255" s="7" t="s">
        <v>773</v>
      </c>
      <c r="D255" s="7" t="s">
        <v>774</v>
      </c>
      <c r="E255" s="7" t="str">
        <f t="shared" si="9"/>
        <v>Dec</v>
      </c>
      <c r="F255" s="7" t="s">
        <v>775</v>
      </c>
      <c r="G255" s="7" t="s">
        <v>18</v>
      </c>
      <c r="H255" s="7" t="s">
        <v>19</v>
      </c>
      <c r="I255" s="7" t="s">
        <v>20</v>
      </c>
      <c r="J255" s="7" t="s">
        <v>21</v>
      </c>
      <c r="K255" s="7" t="s">
        <v>72</v>
      </c>
      <c r="L255" s="7">
        <v>1015.89</v>
      </c>
      <c r="M255" s="7">
        <v>2</v>
      </c>
      <c r="N255" s="7">
        <v>0.04</v>
      </c>
      <c r="O255" s="7">
        <v>216.45</v>
      </c>
      <c r="P255" s="7" t="s">
        <v>31</v>
      </c>
      <c r="Q255" s="7" t="s">
        <v>86</v>
      </c>
      <c r="R255" s="7">
        <v>6</v>
      </c>
      <c r="S255" s="7">
        <f t="shared" si="10"/>
        <v>2024</v>
      </c>
      <c r="T255" s="7" t="str">
        <f t="shared" si="11"/>
        <v>Dec</v>
      </c>
    </row>
    <row r="256" spans="2:20" x14ac:dyDescent="0.3">
      <c r="B256" s="7">
        <v>255</v>
      </c>
      <c r="C256" s="7" t="s">
        <v>776</v>
      </c>
      <c r="D256" s="7" t="s">
        <v>777</v>
      </c>
      <c r="E256" s="7" t="str">
        <f t="shared" si="9"/>
        <v>Mar</v>
      </c>
      <c r="F256" s="7" t="s">
        <v>778</v>
      </c>
      <c r="G256" s="7" t="s">
        <v>36</v>
      </c>
      <c r="H256" s="7" t="s">
        <v>37</v>
      </c>
      <c r="I256" s="7" t="s">
        <v>59</v>
      </c>
      <c r="J256" s="7" t="s">
        <v>81</v>
      </c>
      <c r="K256" s="7" t="s">
        <v>72</v>
      </c>
      <c r="L256" s="7">
        <v>1971.28</v>
      </c>
      <c r="M256" s="7">
        <v>3</v>
      </c>
      <c r="N256" s="7">
        <v>0.14000000000000001</v>
      </c>
      <c r="O256" s="7">
        <v>682.47</v>
      </c>
      <c r="P256" s="7" t="s">
        <v>23</v>
      </c>
      <c r="Q256" s="7" t="s">
        <v>77</v>
      </c>
      <c r="R256" s="7">
        <v>6</v>
      </c>
      <c r="S256" s="7">
        <f t="shared" si="10"/>
        <v>2024</v>
      </c>
      <c r="T256" s="7" t="str">
        <f t="shared" si="11"/>
        <v>Mar</v>
      </c>
    </row>
    <row r="257" spans="2:20" x14ac:dyDescent="0.3">
      <c r="B257" s="7">
        <v>256</v>
      </c>
      <c r="C257" s="7" t="s">
        <v>779</v>
      </c>
      <c r="D257" s="7" t="s">
        <v>780</v>
      </c>
      <c r="E257" s="7" t="str">
        <f t="shared" si="9"/>
        <v>May</v>
      </c>
      <c r="F257" s="7" t="s">
        <v>781</v>
      </c>
      <c r="G257" s="7" t="s">
        <v>44</v>
      </c>
      <c r="H257" s="7" t="s">
        <v>51</v>
      </c>
      <c r="I257" s="7" t="s">
        <v>106</v>
      </c>
      <c r="J257" s="7" t="s">
        <v>81</v>
      </c>
      <c r="K257" s="7" t="s">
        <v>39</v>
      </c>
      <c r="L257" s="7">
        <v>656.31</v>
      </c>
      <c r="M257" s="7">
        <v>1</v>
      </c>
      <c r="N257" s="7">
        <v>0.22</v>
      </c>
      <c r="O257" s="7">
        <v>181.07</v>
      </c>
      <c r="P257" s="7" t="s">
        <v>31</v>
      </c>
      <c r="Q257" s="7" t="s">
        <v>24</v>
      </c>
      <c r="R257" s="7">
        <v>10</v>
      </c>
      <c r="S257" s="7">
        <f t="shared" si="10"/>
        <v>2025</v>
      </c>
      <c r="T257" s="7" t="str">
        <f t="shared" si="11"/>
        <v>May</v>
      </c>
    </row>
    <row r="258" spans="2:20" x14ac:dyDescent="0.3">
      <c r="B258" s="7">
        <v>257</v>
      </c>
      <c r="C258" s="7" t="s">
        <v>782</v>
      </c>
      <c r="D258" s="7" t="s">
        <v>575</v>
      </c>
      <c r="E258" s="7" t="str">
        <f t="shared" si="9"/>
        <v>Mar</v>
      </c>
      <c r="F258" s="7" t="s">
        <v>783</v>
      </c>
      <c r="G258" s="7" t="s">
        <v>18</v>
      </c>
      <c r="H258" s="7" t="s">
        <v>51</v>
      </c>
      <c r="I258" s="7" t="s">
        <v>52</v>
      </c>
      <c r="J258" s="7" t="s">
        <v>29</v>
      </c>
      <c r="K258" s="7" t="s">
        <v>82</v>
      </c>
      <c r="L258" s="7">
        <v>2928.36</v>
      </c>
      <c r="M258" s="7">
        <v>3</v>
      </c>
      <c r="N258" s="7">
        <v>0.16</v>
      </c>
      <c r="O258" s="7">
        <v>454.79</v>
      </c>
      <c r="P258" s="7" t="s">
        <v>23</v>
      </c>
      <c r="Q258" s="7" t="s">
        <v>32</v>
      </c>
      <c r="R258" s="7">
        <v>7</v>
      </c>
      <c r="S258" s="7">
        <f t="shared" si="10"/>
        <v>2024</v>
      </c>
      <c r="T258" s="7" t="str">
        <f t="shared" si="11"/>
        <v>Mar</v>
      </c>
    </row>
    <row r="259" spans="2:20" x14ac:dyDescent="0.3">
      <c r="B259" s="7">
        <v>258</v>
      </c>
      <c r="C259" s="7" t="s">
        <v>784</v>
      </c>
      <c r="D259" s="7" t="s">
        <v>785</v>
      </c>
      <c r="E259" s="7" t="str">
        <f t="shared" ref="E259:E322" si="12">TEXT(D259,"mmm")</f>
        <v>Mar</v>
      </c>
      <c r="F259" s="7" t="s">
        <v>786</v>
      </c>
      <c r="G259" s="7" t="s">
        <v>102</v>
      </c>
      <c r="H259" s="7" t="s">
        <v>19</v>
      </c>
      <c r="I259" s="7" t="s">
        <v>46</v>
      </c>
      <c r="J259" s="7" t="s">
        <v>21</v>
      </c>
      <c r="K259" s="7" t="s">
        <v>76</v>
      </c>
      <c r="L259" s="7">
        <v>2968.76</v>
      </c>
      <c r="M259" s="7">
        <v>4</v>
      </c>
      <c r="N259" s="7">
        <v>0.14000000000000001</v>
      </c>
      <c r="O259" s="7">
        <v>708.69</v>
      </c>
      <c r="P259" s="7" t="s">
        <v>31</v>
      </c>
      <c r="Q259" s="7" t="s">
        <v>24</v>
      </c>
      <c r="R259" s="7">
        <v>5</v>
      </c>
      <c r="S259" s="7">
        <f t="shared" ref="S259:S322" si="13">YEAR(D259)</f>
        <v>2025</v>
      </c>
      <c r="T259" s="7" t="str">
        <f t="shared" ref="T259:T322" si="14">TEXT(D259,"mmm")</f>
        <v>Mar</v>
      </c>
    </row>
    <row r="260" spans="2:20" x14ac:dyDescent="0.3">
      <c r="B260" s="7">
        <v>259</v>
      </c>
      <c r="C260" s="7" t="s">
        <v>787</v>
      </c>
      <c r="D260" s="7" t="s">
        <v>788</v>
      </c>
      <c r="E260" s="7" t="str">
        <f t="shared" si="12"/>
        <v>Dec</v>
      </c>
      <c r="F260" s="7" t="s">
        <v>789</v>
      </c>
      <c r="G260" s="7" t="s">
        <v>102</v>
      </c>
      <c r="H260" s="7" t="s">
        <v>19</v>
      </c>
      <c r="I260" s="7" t="s">
        <v>38</v>
      </c>
      <c r="J260" s="7" t="s">
        <v>66</v>
      </c>
      <c r="K260" s="7" t="s">
        <v>60</v>
      </c>
      <c r="L260" s="7">
        <v>566.48</v>
      </c>
      <c r="M260" s="7">
        <v>1</v>
      </c>
      <c r="N260" s="7">
        <v>0.21</v>
      </c>
      <c r="O260" s="7">
        <v>120.59</v>
      </c>
      <c r="P260" s="7" t="s">
        <v>54</v>
      </c>
      <c r="Q260" s="7" t="s">
        <v>24</v>
      </c>
      <c r="R260" s="7">
        <v>10</v>
      </c>
      <c r="S260" s="7">
        <f t="shared" si="13"/>
        <v>2024</v>
      </c>
      <c r="T260" s="7" t="str">
        <f t="shared" si="14"/>
        <v>Dec</v>
      </c>
    </row>
    <row r="261" spans="2:20" x14ac:dyDescent="0.3">
      <c r="B261" s="7">
        <v>260</v>
      </c>
      <c r="C261" s="7" t="s">
        <v>790</v>
      </c>
      <c r="D261" s="7" t="s">
        <v>114</v>
      </c>
      <c r="E261" s="7" t="str">
        <f t="shared" si="12"/>
        <v>Jul</v>
      </c>
      <c r="F261" s="7" t="s">
        <v>791</v>
      </c>
      <c r="G261" s="7" t="s">
        <v>36</v>
      </c>
      <c r="H261" s="7" t="s">
        <v>58</v>
      </c>
      <c r="I261" s="7" t="s">
        <v>106</v>
      </c>
      <c r="J261" s="7" t="s">
        <v>29</v>
      </c>
      <c r="K261" s="7" t="s">
        <v>60</v>
      </c>
      <c r="L261" s="7">
        <v>762.27</v>
      </c>
      <c r="M261" s="7">
        <v>5</v>
      </c>
      <c r="N261" s="7">
        <v>0.22</v>
      </c>
      <c r="O261" s="7">
        <v>244.83</v>
      </c>
      <c r="P261" s="7" t="s">
        <v>31</v>
      </c>
      <c r="Q261" s="7" t="s">
        <v>24</v>
      </c>
      <c r="R261" s="7">
        <v>8</v>
      </c>
      <c r="S261" s="7">
        <f t="shared" si="13"/>
        <v>2025</v>
      </c>
      <c r="T261" s="7" t="str">
        <f t="shared" si="14"/>
        <v>Jul</v>
      </c>
    </row>
    <row r="262" spans="2:20" x14ac:dyDescent="0.3">
      <c r="B262" s="7">
        <v>261</v>
      </c>
      <c r="C262" s="7" t="s">
        <v>792</v>
      </c>
      <c r="D262" s="7" t="s">
        <v>793</v>
      </c>
      <c r="E262" s="7" t="str">
        <f t="shared" si="12"/>
        <v>Dec</v>
      </c>
      <c r="F262" s="7" t="s">
        <v>794</v>
      </c>
      <c r="G262" s="7" t="s">
        <v>64</v>
      </c>
      <c r="H262" s="7" t="s">
        <v>45</v>
      </c>
      <c r="I262" s="7" t="s">
        <v>20</v>
      </c>
      <c r="J262" s="7" t="s">
        <v>66</v>
      </c>
      <c r="K262" s="7" t="s">
        <v>82</v>
      </c>
      <c r="L262" s="7">
        <v>857.12</v>
      </c>
      <c r="M262" s="7">
        <v>5</v>
      </c>
      <c r="N262" s="7">
        <v>0.09</v>
      </c>
      <c r="O262" s="7">
        <v>201.7</v>
      </c>
      <c r="P262" s="7" t="s">
        <v>23</v>
      </c>
      <c r="Q262" s="7" t="s">
        <v>40</v>
      </c>
      <c r="R262" s="7">
        <v>7</v>
      </c>
      <c r="S262" s="7">
        <f t="shared" si="13"/>
        <v>2025</v>
      </c>
      <c r="T262" s="7" t="str">
        <f t="shared" si="14"/>
        <v>Dec</v>
      </c>
    </row>
    <row r="263" spans="2:20" x14ac:dyDescent="0.3">
      <c r="B263" s="7">
        <v>262</v>
      </c>
      <c r="C263" s="7" t="s">
        <v>795</v>
      </c>
      <c r="D263" s="7" t="s">
        <v>796</v>
      </c>
      <c r="E263" s="7" t="str">
        <f t="shared" si="12"/>
        <v>May</v>
      </c>
      <c r="F263" s="7" t="s">
        <v>797</v>
      </c>
      <c r="G263" s="7" t="s">
        <v>44</v>
      </c>
      <c r="H263" s="7" t="s">
        <v>45</v>
      </c>
      <c r="I263" s="7" t="s">
        <v>20</v>
      </c>
      <c r="J263" s="7" t="s">
        <v>66</v>
      </c>
      <c r="K263" s="7" t="s">
        <v>72</v>
      </c>
      <c r="L263" s="7">
        <v>1510.07</v>
      </c>
      <c r="M263" s="7">
        <v>4</v>
      </c>
      <c r="N263" s="7">
        <v>0.25</v>
      </c>
      <c r="O263" s="7">
        <v>184.12</v>
      </c>
      <c r="P263" s="7" t="s">
        <v>54</v>
      </c>
      <c r="Q263" s="7" t="s">
        <v>32</v>
      </c>
      <c r="R263" s="7">
        <v>1</v>
      </c>
      <c r="S263" s="7">
        <f t="shared" si="13"/>
        <v>2025</v>
      </c>
      <c r="T263" s="7" t="str">
        <f t="shared" si="14"/>
        <v>May</v>
      </c>
    </row>
    <row r="264" spans="2:20" x14ac:dyDescent="0.3">
      <c r="B264" s="7">
        <v>263</v>
      </c>
      <c r="C264" s="7" t="s">
        <v>798</v>
      </c>
      <c r="D264" s="7" t="s">
        <v>124</v>
      </c>
      <c r="E264" s="7" t="str">
        <f t="shared" si="12"/>
        <v>Mar</v>
      </c>
      <c r="F264" s="7" t="s">
        <v>799</v>
      </c>
      <c r="G264" s="7" t="s">
        <v>102</v>
      </c>
      <c r="H264" s="7" t="s">
        <v>45</v>
      </c>
      <c r="I264" s="7" t="s">
        <v>28</v>
      </c>
      <c r="J264" s="7" t="s">
        <v>47</v>
      </c>
      <c r="K264" s="7" t="s">
        <v>53</v>
      </c>
      <c r="L264" s="7">
        <v>1968.74</v>
      </c>
      <c r="M264" s="7">
        <v>2</v>
      </c>
      <c r="N264" s="7">
        <v>0.2</v>
      </c>
      <c r="O264" s="7">
        <v>200.93</v>
      </c>
      <c r="P264" s="7" t="s">
        <v>31</v>
      </c>
      <c r="Q264" s="7" t="s">
        <v>86</v>
      </c>
      <c r="R264" s="7">
        <v>5</v>
      </c>
      <c r="S264" s="7">
        <f t="shared" si="13"/>
        <v>2024</v>
      </c>
      <c r="T264" s="7" t="str">
        <f t="shared" si="14"/>
        <v>Mar</v>
      </c>
    </row>
    <row r="265" spans="2:20" x14ac:dyDescent="0.3">
      <c r="B265" s="7">
        <v>264</v>
      </c>
      <c r="C265" s="7" t="s">
        <v>800</v>
      </c>
      <c r="D265" s="7" t="s">
        <v>801</v>
      </c>
      <c r="E265" s="7" t="str">
        <f t="shared" si="12"/>
        <v>Aug</v>
      </c>
      <c r="F265" s="7" t="s">
        <v>802</v>
      </c>
      <c r="G265" s="7" t="s">
        <v>64</v>
      </c>
      <c r="H265" s="7" t="s">
        <v>45</v>
      </c>
      <c r="I265" s="7" t="s">
        <v>106</v>
      </c>
      <c r="J265" s="7" t="s">
        <v>21</v>
      </c>
      <c r="K265" s="7" t="s">
        <v>72</v>
      </c>
      <c r="L265" s="7">
        <v>4822.8599999999997</v>
      </c>
      <c r="M265" s="7">
        <v>5</v>
      </c>
      <c r="N265" s="7">
        <v>0.03</v>
      </c>
      <c r="O265" s="7">
        <v>549.9</v>
      </c>
      <c r="P265" s="7" t="s">
        <v>54</v>
      </c>
      <c r="Q265" s="7" t="s">
        <v>40</v>
      </c>
      <c r="R265" s="7">
        <v>7</v>
      </c>
      <c r="S265" s="7">
        <f t="shared" si="13"/>
        <v>2025</v>
      </c>
      <c r="T265" s="7" t="str">
        <f t="shared" si="14"/>
        <v>Aug</v>
      </c>
    </row>
    <row r="266" spans="2:20" x14ac:dyDescent="0.3">
      <c r="B266" s="7">
        <v>265</v>
      </c>
      <c r="C266" s="7" t="s">
        <v>803</v>
      </c>
      <c r="D266" s="7" t="s">
        <v>804</v>
      </c>
      <c r="E266" s="7" t="str">
        <f t="shared" si="12"/>
        <v>May</v>
      </c>
      <c r="F266" s="7" t="s">
        <v>805</v>
      </c>
      <c r="G266" s="7" t="s">
        <v>44</v>
      </c>
      <c r="H266" s="7" t="s">
        <v>45</v>
      </c>
      <c r="I266" s="7" t="s">
        <v>52</v>
      </c>
      <c r="J266" s="7" t="s">
        <v>47</v>
      </c>
      <c r="K266" s="7" t="s">
        <v>82</v>
      </c>
      <c r="L266" s="7">
        <v>2015.1</v>
      </c>
      <c r="M266" s="7">
        <v>4</v>
      </c>
      <c r="N266" s="7">
        <v>0.19</v>
      </c>
      <c r="O266" s="7">
        <v>656.31</v>
      </c>
      <c r="P266" s="7" t="s">
        <v>23</v>
      </c>
      <c r="Q266" s="7" t="s">
        <v>32</v>
      </c>
      <c r="R266" s="7">
        <v>9</v>
      </c>
      <c r="S266" s="7">
        <f t="shared" si="13"/>
        <v>2025</v>
      </c>
      <c r="T266" s="7" t="str">
        <f t="shared" si="14"/>
        <v>May</v>
      </c>
    </row>
    <row r="267" spans="2:20" x14ac:dyDescent="0.3">
      <c r="B267" s="7">
        <v>266</v>
      </c>
      <c r="C267" s="7" t="s">
        <v>806</v>
      </c>
      <c r="D267" s="7" t="s">
        <v>255</v>
      </c>
      <c r="E267" s="7" t="str">
        <f t="shared" si="12"/>
        <v>Dec</v>
      </c>
      <c r="F267" s="7" t="s">
        <v>807</v>
      </c>
      <c r="G267" s="7" t="s">
        <v>44</v>
      </c>
      <c r="H267" s="7" t="s">
        <v>51</v>
      </c>
      <c r="I267" s="7" t="s">
        <v>59</v>
      </c>
      <c r="J267" s="7" t="s">
        <v>29</v>
      </c>
      <c r="K267" s="7" t="s">
        <v>30</v>
      </c>
      <c r="L267" s="7">
        <v>3847.58</v>
      </c>
      <c r="M267" s="7">
        <v>4</v>
      </c>
      <c r="N267" s="7">
        <v>0.25</v>
      </c>
      <c r="O267" s="7">
        <v>763.8</v>
      </c>
      <c r="P267" s="7" t="s">
        <v>23</v>
      </c>
      <c r="Q267" s="7" t="s">
        <v>24</v>
      </c>
      <c r="R267" s="7">
        <v>9</v>
      </c>
      <c r="S267" s="7">
        <f t="shared" si="13"/>
        <v>2024</v>
      </c>
      <c r="T267" s="7" t="str">
        <f t="shared" si="14"/>
        <v>Dec</v>
      </c>
    </row>
    <row r="268" spans="2:20" x14ac:dyDescent="0.3">
      <c r="B268" s="7">
        <v>267</v>
      </c>
      <c r="C268" s="7" t="s">
        <v>808</v>
      </c>
      <c r="D268" s="7" t="s">
        <v>809</v>
      </c>
      <c r="E268" s="7" t="str">
        <f t="shared" si="12"/>
        <v>Nov</v>
      </c>
      <c r="F268" s="7" t="s">
        <v>810</v>
      </c>
      <c r="G268" s="7" t="s">
        <v>18</v>
      </c>
      <c r="H268" s="7" t="s">
        <v>19</v>
      </c>
      <c r="I268" s="7" t="s">
        <v>116</v>
      </c>
      <c r="J268" s="7" t="s">
        <v>29</v>
      </c>
      <c r="K268" s="7" t="s">
        <v>67</v>
      </c>
      <c r="L268" s="7">
        <v>2092.2399999999998</v>
      </c>
      <c r="M268" s="7">
        <v>4</v>
      </c>
      <c r="N268" s="7">
        <v>0.1</v>
      </c>
      <c r="O268" s="7">
        <v>597.16</v>
      </c>
      <c r="P268" s="7" t="s">
        <v>23</v>
      </c>
      <c r="Q268" s="7" t="s">
        <v>32</v>
      </c>
      <c r="R268" s="7">
        <v>6</v>
      </c>
      <c r="S268" s="7">
        <f t="shared" si="13"/>
        <v>2024</v>
      </c>
      <c r="T268" s="7" t="str">
        <f t="shared" si="14"/>
        <v>Nov</v>
      </c>
    </row>
    <row r="269" spans="2:20" x14ac:dyDescent="0.3">
      <c r="B269" s="7">
        <v>268</v>
      </c>
      <c r="C269" s="7" t="s">
        <v>811</v>
      </c>
      <c r="D269" s="7" t="s">
        <v>812</v>
      </c>
      <c r="E269" s="7" t="str">
        <f t="shared" si="12"/>
        <v>Aug</v>
      </c>
      <c r="F269" s="7" t="s">
        <v>813</v>
      </c>
      <c r="G269" s="7" t="s">
        <v>102</v>
      </c>
      <c r="H269" s="7" t="s">
        <v>37</v>
      </c>
      <c r="I269" s="7" t="s">
        <v>59</v>
      </c>
      <c r="J269" s="7" t="s">
        <v>47</v>
      </c>
      <c r="K269" s="7" t="s">
        <v>53</v>
      </c>
      <c r="L269" s="7">
        <v>2051.63</v>
      </c>
      <c r="M269" s="7">
        <v>3</v>
      </c>
      <c r="N269" s="7">
        <v>0.3</v>
      </c>
      <c r="O269" s="7">
        <v>297.41000000000003</v>
      </c>
      <c r="P269" s="7" t="s">
        <v>23</v>
      </c>
      <c r="Q269" s="7" t="s">
        <v>86</v>
      </c>
      <c r="R269" s="7">
        <v>9</v>
      </c>
      <c r="S269" s="7">
        <f t="shared" si="13"/>
        <v>2024</v>
      </c>
      <c r="T269" s="7" t="str">
        <f t="shared" si="14"/>
        <v>Aug</v>
      </c>
    </row>
    <row r="270" spans="2:20" x14ac:dyDescent="0.3">
      <c r="B270" s="7">
        <v>269</v>
      </c>
      <c r="C270" s="7" t="s">
        <v>814</v>
      </c>
      <c r="D270" s="7" t="s">
        <v>815</v>
      </c>
      <c r="E270" s="7" t="str">
        <f t="shared" si="12"/>
        <v>Nov</v>
      </c>
      <c r="F270" s="7" t="s">
        <v>816</v>
      </c>
      <c r="G270" s="7" t="s">
        <v>102</v>
      </c>
      <c r="H270" s="7" t="s">
        <v>65</v>
      </c>
      <c r="I270" s="7" t="s">
        <v>20</v>
      </c>
      <c r="J270" s="7" t="s">
        <v>21</v>
      </c>
      <c r="K270" s="7" t="s">
        <v>60</v>
      </c>
      <c r="L270" s="7">
        <v>948.14</v>
      </c>
      <c r="M270" s="7">
        <v>3</v>
      </c>
      <c r="N270" s="7">
        <v>0.11</v>
      </c>
      <c r="O270" s="7">
        <v>204.8</v>
      </c>
      <c r="P270" s="7" t="s">
        <v>31</v>
      </c>
      <c r="Q270" s="7" t="s">
        <v>24</v>
      </c>
      <c r="R270" s="7">
        <v>4</v>
      </c>
      <c r="S270" s="7">
        <f t="shared" si="13"/>
        <v>2024</v>
      </c>
      <c r="T270" s="7" t="str">
        <f t="shared" si="14"/>
        <v>Nov</v>
      </c>
    </row>
    <row r="271" spans="2:20" x14ac:dyDescent="0.3">
      <c r="B271" s="7">
        <v>270</v>
      </c>
      <c r="C271" s="7" t="s">
        <v>817</v>
      </c>
      <c r="D271" s="7" t="s">
        <v>818</v>
      </c>
      <c r="E271" s="7" t="str">
        <f t="shared" si="12"/>
        <v>Nov</v>
      </c>
      <c r="F271" s="7" t="s">
        <v>819</v>
      </c>
      <c r="G271" s="7" t="s">
        <v>36</v>
      </c>
      <c r="H271" s="7" t="s">
        <v>65</v>
      </c>
      <c r="I271" s="7" t="s">
        <v>116</v>
      </c>
      <c r="J271" s="7" t="s">
        <v>47</v>
      </c>
      <c r="K271" s="7" t="s">
        <v>82</v>
      </c>
      <c r="L271" s="7">
        <v>769.8</v>
      </c>
      <c r="M271" s="7">
        <v>1</v>
      </c>
      <c r="N271" s="7">
        <v>0.06</v>
      </c>
      <c r="O271" s="7">
        <v>97.55</v>
      </c>
      <c r="P271" s="7" t="s">
        <v>54</v>
      </c>
      <c r="Q271" s="7" t="s">
        <v>24</v>
      </c>
      <c r="R271" s="7">
        <v>1</v>
      </c>
      <c r="S271" s="7">
        <f t="shared" si="13"/>
        <v>2024</v>
      </c>
      <c r="T271" s="7" t="str">
        <f t="shared" si="14"/>
        <v>Nov</v>
      </c>
    </row>
    <row r="272" spans="2:20" x14ac:dyDescent="0.3">
      <c r="B272" s="7">
        <v>271</v>
      </c>
      <c r="C272" s="7" t="s">
        <v>820</v>
      </c>
      <c r="D272" s="7" t="s">
        <v>821</v>
      </c>
      <c r="E272" s="7" t="str">
        <f t="shared" si="12"/>
        <v>Feb</v>
      </c>
      <c r="F272" s="7" t="s">
        <v>822</v>
      </c>
      <c r="G272" s="7" t="s">
        <v>44</v>
      </c>
      <c r="H272" s="7" t="s">
        <v>51</v>
      </c>
      <c r="I272" s="7" t="s">
        <v>38</v>
      </c>
      <c r="J272" s="7" t="s">
        <v>81</v>
      </c>
      <c r="K272" s="7" t="s">
        <v>67</v>
      </c>
      <c r="L272" s="7">
        <v>653.21</v>
      </c>
      <c r="M272" s="7">
        <v>5</v>
      </c>
      <c r="N272" s="7">
        <v>0.24</v>
      </c>
      <c r="O272" s="7">
        <v>72.42</v>
      </c>
      <c r="P272" s="7" t="s">
        <v>31</v>
      </c>
      <c r="Q272" s="7" t="s">
        <v>77</v>
      </c>
      <c r="R272" s="7">
        <v>1</v>
      </c>
      <c r="S272" s="7">
        <f t="shared" si="13"/>
        <v>2025</v>
      </c>
      <c r="T272" s="7" t="str">
        <f t="shared" si="14"/>
        <v>Feb</v>
      </c>
    </row>
    <row r="273" spans="2:20" x14ac:dyDescent="0.3">
      <c r="B273" s="7">
        <v>272</v>
      </c>
      <c r="C273" s="7" t="s">
        <v>823</v>
      </c>
      <c r="D273" s="7" t="s">
        <v>824</v>
      </c>
      <c r="E273" s="7" t="str">
        <f t="shared" si="12"/>
        <v>Feb</v>
      </c>
      <c r="F273" s="7" t="s">
        <v>825</v>
      </c>
      <c r="G273" s="7" t="s">
        <v>102</v>
      </c>
      <c r="H273" s="7" t="s">
        <v>65</v>
      </c>
      <c r="I273" s="7" t="s">
        <v>38</v>
      </c>
      <c r="J273" s="7" t="s">
        <v>81</v>
      </c>
      <c r="K273" s="7" t="s">
        <v>76</v>
      </c>
      <c r="L273" s="7">
        <v>506.11</v>
      </c>
      <c r="M273" s="7">
        <v>5</v>
      </c>
      <c r="N273" s="7">
        <v>0.01</v>
      </c>
      <c r="O273" s="7">
        <v>50.74</v>
      </c>
      <c r="P273" s="7" t="s">
        <v>54</v>
      </c>
      <c r="Q273" s="7" t="s">
        <v>32</v>
      </c>
      <c r="R273" s="7">
        <v>10</v>
      </c>
      <c r="S273" s="7">
        <f t="shared" si="13"/>
        <v>2025</v>
      </c>
      <c r="T273" s="7" t="str">
        <f t="shared" si="14"/>
        <v>Feb</v>
      </c>
    </row>
    <row r="274" spans="2:20" x14ac:dyDescent="0.3">
      <c r="B274" s="7">
        <v>273</v>
      </c>
      <c r="C274" s="7" t="s">
        <v>826</v>
      </c>
      <c r="D274" s="7" t="s">
        <v>608</v>
      </c>
      <c r="E274" s="7" t="str">
        <f t="shared" si="12"/>
        <v>Feb</v>
      </c>
      <c r="F274" s="7" t="s">
        <v>827</v>
      </c>
      <c r="G274" s="7" t="s">
        <v>102</v>
      </c>
      <c r="H274" s="7" t="s">
        <v>58</v>
      </c>
      <c r="I274" s="7" t="s">
        <v>20</v>
      </c>
      <c r="J274" s="7" t="s">
        <v>66</v>
      </c>
      <c r="K274" s="7" t="s">
        <v>30</v>
      </c>
      <c r="L274" s="7">
        <v>2712.92</v>
      </c>
      <c r="M274" s="7">
        <v>5</v>
      </c>
      <c r="N274" s="7">
        <v>0.06</v>
      </c>
      <c r="O274" s="7">
        <v>385.99</v>
      </c>
      <c r="P274" s="7" t="s">
        <v>23</v>
      </c>
      <c r="Q274" s="7" t="s">
        <v>32</v>
      </c>
      <c r="R274" s="7">
        <v>10</v>
      </c>
      <c r="S274" s="7">
        <f t="shared" si="13"/>
        <v>2024</v>
      </c>
      <c r="T274" s="7" t="str">
        <f t="shared" si="14"/>
        <v>Feb</v>
      </c>
    </row>
    <row r="275" spans="2:20" x14ac:dyDescent="0.3">
      <c r="B275" s="7">
        <v>274</v>
      </c>
      <c r="C275" s="7" t="s">
        <v>828</v>
      </c>
      <c r="D275" s="7" t="s">
        <v>796</v>
      </c>
      <c r="E275" s="7" t="str">
        <f t="shared" si="12"/>
        <v>May</v>
      </c>
      <c r="F275" s="7" t="s">
        <v>829</v>
      </c>
      <c r="G275" s="7" t="s">
        <v>64</v>
      </c>
      <c r="H275" s="7" t="s">
        <v>19</v>
      </c>
      <c r="I275" s="7" t="s">
        <v>59</v>
      </c>
      <c r="J275" s="7" t="s">
        <v>47</v>
      </c>
      <c r="K275" s="7" t="s">
        <v>30</v>
      </c>
      <c r="L275" s="7">
        <v>254.01</v>
      </c>
      <c r="M275" s="7">
        <v>1</v>
      </c>
      <c r="N275" s="7">
        <v>0.15</v>
      </c>
      <c r="O275" s="7">
        <v>40.86</v>
      </c>
      <c r="P275" s="7" t="s">
        <v>31</v>
      </c>
      <c r="Q275" s="7" t="s">
        <v>77</v>
      </c>
      <c r="R275" s="7">
        <v>2</v>
      </c>
      <c r="S275" s="7">
        <f t="shared" si="13"/>
        <v>2025</v>
      </c>
      <c r="T275" s="7" t="str">
        <f t="shared" si="14"/>
        <v>May</v>
      </c>
    </row>
    <row r="276" spans="2:20" x14ac:dyDescent="0.3">
      <c r="B276" s="7">
        <v>275</v>
      </c>
      <c r="C276" s="7" t="s">
        <v>830</v>
      </c>
      <c r="D276" s="7" t="s">
        <v>127</v>
      </c>
      <c r="E276" s="7" t="str">
        <f t="shared" si="12"/>
        <v>Aug</v>
      </c>
      <c r="F276" s="7" t="s">
        <v>831</v>
      </c>
      <c r="G276" s="7" t="s">
        <v>18</v>
      </c>
      <c r="H276" s="7" t="s">
        <v>58</v>
      </c>
      <c r="I276" s="7" t="s">
        <v>116</v>
      </c>
      <c r="J276" s="7" t="s">
        <v>47</v>
      </c>
      <c r="K276" s="7" t="s">
        <v>72</v>
      </c>
      <c r="L276" s="7">
        <v>4585.93</v>
      </c>
      <c r="M276" s="7">
        <v>5</v>
      </c>
      <c r="N276" s="7">
        <v>0.17</v>
      </c>
      <c r="O276" s="7">
        <v>1067.73</v>
      </c>
      <c r="P276" s="7" t="s">
        <v>31</v>
      </c>
      <c r="Q276" s="7" t="s">
        <v>40</v>
      </c>
      <c r="R276" s="7">
        <v>2</v>
      </c>
      <c r="S276" s="7">
        <f t="shared" si="13"/>
        <v>2025</v>
      </c>
      <c r="T276" s="7" t="str">
        <f t="shared" si="14"/>
        <v>Aug</v>
      </c>
    </row>
    <row r="277" spans="2:20" x14ac:dyDescent="0.3">
      <c r="B277" s="7">
        <v>276</v>
      </c>
      <c r="C277" s="7" t="s">
        <v>832</v>
      </c>
      <c r="D277" s="7" t="s">
        <v>833</v>
      </c>
      <c r="E277" s="7" t="str">
        <f t="shared" si="12"/>
        <v>Jun</v>
      </c>
      <c r="F277" s="7" t="s">
        <v>834</v>
      </c>
      <c r="G277" s="7" t="s">
        <v>44</v>
      </c>
      <c r="H277" s="7" t="s">
        <v>58</v>
      </c>
      <c r="I277" s="7" t="s">
        <v>52</v>
      </c>
      <c r="J277" s="7" t="s">
        <v>29</v>
      </c>
      <c r="K277" s="7" t="s">
        <v>72</v>
      </c>
      <c r="L277" s="7">
        <v>3902.32</v>
      </c>
      <c r="M277" s="7">
        <v>5</v>
      </c>
      <c r="N277" s="7">
        <v>0.2</v>
      </c>
      <c r="O277" s="7">
        <v>580</v>
      </c>
      <c r="P277" s="7" t="s">
        <v>31</v>
      </c>
      <c r="Q277" s="7" t="s">
        <v>32</v>
      </c>
      <c r="R277" s="7">
        <v>5</v>
      </c>
      <c r="S277" s="7">
        <f t="shared" si="13"/>
        <v>2025</v>
      </c>
      <c r="T277" s="7" t="str">
        <f t="shared" si="14"/>
        <v>Jun</v>
      </c>
    </row>
    <row r="278" spans="2:20" x14ac:dyDescent="0.3">
      <c r="B278" s="7">
        <v>277</v>
      </c>
      <c r="C278" s="7" t="s">
        <v>835</v>
      </c>
      <c r="D278" s="7" t="s">
        <v>412</v>
      </c>
      <c r="E278" s="7" t="str">
        <f t="shared" si="12"/>
        <v>May</v>
      </c>
      <c r="F278" s="7" t="s">
        <v>836</v>
      </c>
      <c r="G278" s="7" t="s">
        <v>64</v>
      </c>
      <c r="H278" s="7" t="s">
        <v>58</v>
      </c>
      <c r="I278" s="7" t="s">
        <v>46</v>
      </c>
      <c r="J278" s="7" t="s">
        <v>21</v>
      </c>
      <c r="K278" s="7" t="s">
        <v>76</v>
      </c>
      <c r="L278" s="7">
        <v>2501.77</v>
      </c>
      <c r="M278" s="7">
        <v>4</v>
      </c>
      <c r="N278" s="7">
        <v>0.15</v>
      </c>
      <c r="O278" s="7">
        <v>500.26</v>
      </c>
      <c r="P278" s="7" t="s">
        <v>23</v>
      </c>
      <c r="Q278" s="7" t="s">
        <v>32</v>
      </c>
      <c r="R278" s="7">
        <v>6</v>
      </c>
      <c r="S278" s="7">
        <f t="shared" si="13"/>
        <v>2025</v>
      </c>
      <c r="T278" s="7" t="str">
        <f t="shared" si="14"/>
        <v>May</v>
      </c>
    </row>
    <row r="279" spans="2:20" x14ac:dyDescent="0.3">
      <c r="B279" s="7">
        <v>278</v>
      </c>
      <c r="C279" s="7" t="s">
        <v>837</v>
      </c>
      <c r="D279" s="7" t="s">
        <v>838</v>
      </c>
      <c r="E279" s="7" t="str">
        <f t="shared" si="12"/>
        <v>Nov</v>
      </c>
      <c r="F279" s="7" t="s">
        <v>839</v>
      </c>
      <c r="G279" s="7" t="s">
        <v>44</v>
      </c>
      <c r="H279" s="7" t="s">
        <v>19</v>
      </c>
      <c r="I279" s="7" t="s">
        <v>106</v>
      </c>
      <c r="J279" s="7" t="s">
        <v>66</v>
      </c>
      <c r="K279" s="7" t="s">
        <v>72</v>
      </c>
      <c r="L279" s="7">
        <v>1690.77</v>
      </c>
      <c r="M279" s="7">
        <v>5</v>
      </c>
      <c r="N279" s="7">
        <v>0.24</v>
      </c>
      <c r="O279" s="7">
        <v>373.77</v>
      </c>
      <c r="P279" s="7" t="s">
        <v>54</v>
      </c>
      <c r="Q279" s="7" t="s">
        <v>24</v>
      </c>
      <c r="R279" s="7">
        <v>10</v>
      </c>
      <c r="S279" s="7">
        <f t="shared" si="13"/>
        <v>2025</v>
      </c>
      <c r="T279" s="7" t="str">
        <f t="shared" si="14"/>
        <v>Nov</v>
      </c>
    </row>
    <row r="280" spans="2:20" x14ac:dyDescent="0.3">
      <c r="B280" s="7">
        <v>279</v>
      </c>
      <c r="C280" s="7" t="s">
        <v>840</v>
      </c>
      <c r="D280" s="7" t="s">
        <v>841</v>
      </c>
      <c r="E280" s="7" t="str">
        <f t="shared" si="12"/>
        <v>Apr</v>
      </c>
      <c r="F280" s="7" t="s">
        <v>842</v>
      </c>
      <c r="G280" s="7" t="s">
        <v>36</v>
      </c>
      <c r="H280" s="7" t="s">
        <v>45</v>
      </c>
      <c r="I280" s="7" t="s">
        <v>38</v>
      </c>
      <c r="J280" s="7" t="s">
        <v>66</v>
      </c>
      <c r="K280" s="7" t="s">
        <v>60</v>
      </c>
      <c r="L280" s="7">
        <v>704.97</v>
      </c>
      <c r="M280" s="7">
        <v>4</v>
      </c>
      <c r="N280" s="7">
        <v>0.28000000000000003</v>
      </c>
      <c r="O280" s="7">
        <v>92.47</v>
      </c>
      <c r="P280" s="7" t="s">
        <v>23</v>
      </c>
      <c r="Q280" s="7" t="s">
        <v>24</v>
      </c>
      <c r="R280" s="7">
        <v>10</v>
      </c>
      <c r="S280" s="7">
        <f t="shared" si="13"/>
        <v>2024</v>
      </c>
      <c r="T280" s="7" t="str">
        <f t="shared" si="14"/>
        <v>Apr</v>
      </c>
    </row>
    <row r="281" spans="2:20" x14ac:dyDescent="0.3">
      <c r="B281" s="7">
        <v>280</v>
      </c>
      <c r="C281" s="7" t="s">
        <v>843</v>
      </c>
      <c r="D281" s="7" t="s">
        <v>844</v>
      </c>
      <c r="E281" s="7" t="str">
        <f t="shared" si="12"/>
        <v>Feb</v>
      </c>
      <c r="F281" s="7" t="s">
        <v>845</v>
      </c>
      <c r="G281" s="7" t="s">
        <v>64</v>
      </c>
      <c r="H281" s="7" t="s">
        <v>45</v>
      </c>
      <c r="I281" s="7" t="s">
        <v>52</v>
      </c>
      <c r="J281" s="7" t="s">
        <v>21</v>
      </c>
      <c r="K281" s="7" t="s">
        <v>67</v>
      </c>
      <c r="L281" s="7">
        <v>294.37</v>
      </c>
      <c r="M281" s="7">
        <v>3</v>
      </c>
      <c r="N281" s="7">
        <v>0.02</v>
      </c>
      <c r="O281" s="7">
        <v>42.22</v>
      </c>
      <c r="P281" s="7" t="s">
        <v>23</v>
      </c>
      <c r="Q281" s="7" t="s">
        <v>40</v>
      </c>
      <c r="R281" s="7">
        <v>7</v>
      </c>
      <c r="S281" s="7">
        <f t="shared" si="13"/>
        <v>2024</v>
      </c>
      <c r="T281" s="7" t="str">
        <f t="shared" si="14"/>
        <v>Feb</v>
      </c>
    </row>
    <row r="282" spans="2:20" x14ac:dyDescent="0.3">
      <c r="B282" s="7">
        <v>281</v>
      </c>
      <c r="C282" s="7" t="s">
        <v>846</v>
      </c>
      <c r="D282" s="7" t="s">
        <v>847</v>
      </c>
      <c r="E282" s="7" t="str">
        <f t="shared" si="12"/>
        <v>Apr</v>
      </c>
      <c r="F282" s="7" t="s">
        <v>848</v>
      </c>
      <c r="G282" s="7" t="s">
        <v>102</v>
      </c>
      <c r="H282" s="7" t="s">
        <v>45</v>
      </c>
      <c r="I282" s="7" t="s">
        <v>52</v>
      </c>
      <c r="J282" s="7" t="s">
        <v>29</v>
      </c>
      <c r="K282" s="7" t="s">
        <v>67</v>
      </c>
      <c r="L282" s="7">
        <v>317.98</v>
      </c>
      <c r="M282" s="7">
        <v>3</v>
      </c>
      <c r="N282" s="7">
        <v>0.26</v>
      </c>
      <c r="O282" s="7">
        <v>88.46</v>
      </c>
      <c r="P282" s="7" t="s">
        <v>23</v>
      </c>
      <c r="Q282" s="7" t="s">
        <v>77</v>
      </c>
      <c r="R282" s="7">
        <v>2</v>
      </c>
      <c r="S282" s="7">
        <f t="shared" si="13"/>
        <v>2024</v>
      </c>
      <c r="T282" s="7" t="str">
        <f t="shared" si="14"/>
        <v>Apr</v>
      </c>
    </row>
    <row r="283" spans="2:20" x14ac:dyDescent="0.3">
      <c r="B283" s="7">
        <v>282</v>
      </c>
      <c r="C283" s="7" t="s">
        <v>849</v>
      </c>
      <c r="D283" s="7" t="s">
        <v>762</v>
      </c>
      <c r="E283" s="7" t="str">
        <f t="shared" si="12"/>
        <v>Jan</v>
      </c>
      <c r="F283" s="7" t="s">
        <v>850</v>
      </c>
      <c r="G283" s="7" t="s">
        <v>64</v>
      </c>
      <c r="H283" s="7" t="s">
        <v>51</v>
      </c>
      <c r="I283" s="7" t="s">
        <v>106</v>
      </c>
      <c r="J283" s="7" t="s">
        <v>66</v>
      </c>
      <c r="K283" s="7" t="s">
        <v>53</v>
      </c>
      <c r="L283" s="7">
        <v>1629.25</v>
      </c>
      <c r="M283" s="7">
        <v>2</v>
      </c>
      <c r="N283" s="7">
        <v>0.17</v>
      </c>
      <c r="O283" s="7">
        <v>558.33000000000004</v>
      </c>
      <c r="P283" s="7" t="s">
        <v>31</v>
      </c>
      <c r="Q283" s="7" t="s">
        <v>24</v>
      </c>
      <c r="R283" s="7">
        <v>8</v>
      </c>
      <c r="S283" s="7">
        <f t="shared" si="13"/>
        <v>2025</v>
      </c>
      <c r="T283" s="7" t="str">
        <f t="shared" si="14"/>
        <v>Jan</v>
      </c>
    </row>
    <row r="284" spans="2:20" x14ac:dyDescent="0.3">
      <c r="B284" s="7">
        <v>283</v>
      </c>
      <c r="C284" s="7" t="s">
        <v>851</v>
      </c>
      <c r="D284" s="7" t="s">
        <v>852</v>
      </c>
      <c r="E284" s="7" t="str">
        <f t="shared" si="12"/>
        <v>Jan</v>
      </c>
      <c r="F284" s="7" t="s">
        <v>853</v>
      </c>
      <c r="G284" s="7" t="s">
        <v>102</v>
      </c>
      <c r="H284" s="7" t="s">
        <v>51</v>
      </c>
      <c r="I284" s="7" t="s">
        <v>20</v>
      </c>
      <c r="J284" s="7" t="s">
        <v>66</v>
      </c>
      <c r="K284" s="7" t="s">
        <v>53</v>
      </c>
      <c r="L284" s="7">
        <v>75.42</v>
      </c>
      <c r="M284" s="7">
        <v>1</v>
      </c>
      <c r="N284" s="7">
        <v>0.05</v>
      </c>
      <c r="O284" s="7">
        <v>20.02</v>
      </c>
      <c r="P284" s="7" t="s">
        <v>54</v>
      </c>
      <c r="Q284" s="7" t="s">
        <v>24</v>
      </c>
      <c r="R284" s="7">
        <v>2</v>
      </c>
      <c r="S284" s="7">
        <f t="shared" si="13"/>
        <v>2024</v>
      </c>
      <c r="T284" s="7" t="str">
        <f t="shared" si="14"/>
        <v>Jan</v>
      </c>
    </row>
    <row r="285" spans="2:20" x14ac:dyDescent="0.3">
      <c r="B285" s="7">
        <v>284</v>
      </c>
      <c r="C285" s="7" t="s">
        <v>854</v>
      </c>
      <c r="D285" s="7" t="s">
        <v>753</v>
      </c>
      <c r="E285" s="7" t="str">
        <f t="shared" si="12"/>
        <v>Jan</v>
      </c>
      <c r="F285" s="7" t="s">
        <v>855</v>
      </c>
      <c r="G285" s="7" t="s">
        <v>44</v>
      </c>
      <c r="H285" s="7" t="s">
        <v>51</v>
      </c>
      <c r="I285" s="7" t="s">
        <v>106</v>
      </c>
      <c r="J285" s="7" t="s">
        <v>81</v>
      </c>
      <c r="K285" s="7" t="s">
        <v>30</v>
      </c>
      <c r="L285" s="7">
        <v>2423.59</v>
      </c>
      <c r="M285" s="7">
        <v>3</v>
      </c>
      <c r="N285" s="7">
        <v>0.11</v>
      </c>
      <c r="O285" s="7">
        <v>643.23</v>
      </c>
      <c r="P285" s="7" t="s">
        <v>54</v>
      </c>
      <c r="Q285" s="7" t="s">
        <v>77</v>
      </c>
      <c r="R285" s="7">
        <v>1</v>
      </c>
      <c r="S285" s="7">
        <f t="shared" si="13"/>
        <v>2024</v>
      </c>
      <c r="T285" s="7" t="str">
        <f t="shared" si="14"/>
        <v>Jan</v>
      </c>
    </row>
    <row r="286" spans="2:20" x14ac:dyDescent="0.3">
      <c r="B286" s="7">
        <v>285</v>
      </c>
      <c r="C286" s="7" t="s">
        <v>856</v>
      </c>
      <c r="D286" s="7" t="s">
        <v>631</v>
      </c>
      <c r="E286" s="7" t="str">
        <f t="shared" si="12"/>
        <v>Jun</v>
      </c>
      <c r="F286" s="7" t="s">
        <v>857</v>
      </c>
      <c r="G286" s="7" t="s">
        <v>44</v>
      </c>
      <c r="H286" s="7" t="s">
        <v>51</v>
      </c>
      <c r="I286" s="7" t="s">
        <v>116</v>
      </c>
      <c r="J286" s="7" t="s">
        <v>66</v>
      </c>
      <c r="K286" s="7" t="s">
        <v>72</v>
      </c>
      <c r="L286" s="7">
        <v>2383.21</v>
      </c>
      <c r="M286" s="7">
        <v>3</v>
      </c>
      <c r="N286" s="7">
        <v>0.09</v>
      </c>
      <c r="O286" s="7">
        <v>763.18</v>
      </c>
      <c r="P286" s="7" t="s">
        <v>31</v>
      </c>
      <c r="Q286" s="7" t="s">
        <v>77</v>
      </c>
      <c r="R286" s="7">
        <v>9</v>
      </c>
      <c r="S286" s="7">
        <f t="shared" si="13"/>
        <v>2025</v>
      </c>
      <c r="T286" s="7" t="str">
        <f t="shared" si="14"/>
        <v>Jun</v>
      </c>
    </row>
    <row r="287" spans="2:20" x14ac:dyDescent="0.3">
      <c r="B287" s="7">
        <v>286</v>
      </c>
      <c r="C287" s="7" t="s">
        <v>858</v>
      </c>
      <c r="D287" s="7" t="s">
        <v>841</v>
      </c>
      <c r="E287" s="7" t="str">
        <f t="shared" si="12"/>
        <v>Apr</v>
      </c>
      <c r="F287" s="7" t="s">
        <v>859</v>
      </c>
      <c r="G287" s="7" t="s">
        <v>64</v>
      </c>
      <c r="H287" s="7" t="s">
        <v>45</v>
      </c>
      <c r="I287" s="7" t="s">
        <v>52</v>
      </c>
      <c r="J287" s="7" t="s">
        <v>47</v>
      </c>
      <c r="K287" s="7" t="s">
        <v>82</v>
      </c>
      <c r="L287" s="7">
        <v>282.99</v>
      </c>
      <c r="M287" s="7">
        <v>1</v>
      </c>
      <c r="N287" s="7">
        <v>0.17</v>
      </c>
      <c r="O287" s="7">
        <v>70.56</v>
      </c>
      <c r="P287" s="7" t="s">
        <v>23</v>
      </c>
      <c r="Q287" s="7" t="s">
        <v>40</v>
      </c>
      <c r="R287" s="7">
        <v>4</v>
      </c>
      <c r="S287" s="7">
        <f t="shared" si="13"/>
        <v>2024</v>
      </c>
      <c r="T287" s="7" t="str">
        <f t="shared" si="14"/>
        <v>Apr</v>
      </c>
    </row>
    <row r="288" spans="2:20" x14ac:dyDescent="0.3">
      <c r="B288" s="7">
        <v>287</v>
      </c>
      <c r="C288" s="7" t="s">
        <v>860</v>
      </c>
      <c r="D288" s="7" t="s">
        <v>444</v>
      </c>
      <c r="E288" s="7" t="str">
        <f t="shared" si="12"/>
        <v>Aug</v>
      </c>
      <c r="F288" s="7" t="s">
        <v>861</v>
      </c>
      <c r="G288" s="7" t="s">
        <v>102</v>
      </c>
      <c r="H288" s="7" t="s">
        <v>58</v>
      </c>
      <c r="I288" s="7" t="s">
        <v>46</v>
      </c>
      <c r="J288" s="7" t="s">
        <v>81</v>
      </c>
      <c r="K288" s="7" t="s">
        <v>82</v>
      </c>
      <c r="L288" s="7">
        <v>3082.32</v>
      </c>
      <c r="M288" s="7">
        <v>5</v>
      </c>
      <c r="N288" s="7">
        <v>0.03</v>
      </c>
      <c r="O288" s="7">
        <v>790.11</v>
      </c>
      <c r="P288" s="7" t="s">
        <v>54</v>
      </c>
      <c r="Q288" s="7" t="s">
        <v>32</v>
      </c>
      <c r="R288" s="7">
        <v>9</v>
      </c>
      <c r="S288" s="7">
        <f t="shared" si="13"/>
        <v>2025</v>
      </c>
      <c r="T288" s="7" t="str">
        <f t="shared" si="14"/>
        <v>Aug</v>
      </c>
    </row>
    <row r="289" spans="2:20" x14ac:dyDescent="0.3">
      <c r="B289" s="7">
        <v>288</v>
      </c>
      <c r="C289" s="7" t="s">
        <v>862</v>
      </c>
      <c r="D289" s="7" t="s">
        <v>863</v>
      </c>
      <c r="E289" s="7" t="str">
        <f t="shared" si="12"/>
        <v>Nov</v>
      </c>
      <c r="F289" s="7" t="s">
        <v>864</v>
      </c>
      <c r="G289" s="7" t="s">
        <v>102</v>
      </c>
      <c r="H289" s="7" t="s">
        <v>19</v>
      </c>
      <c r="I289" s="7" t="s">
        <v>38</v>
      </c>
      <c r="J289" s="7" t="s">
        <v>66</v>
      </c>
      <c r="K289" s="7" t="s">
        <v>30</v>
      </c>
      <c r="L289" s="7">
        <v>337.37</v>
      </c>
      <c r="M289" s="7">
        <v>3</v>
      </c>
      <c r="N289" s="7">
        <v>0.3</v>
      </c>
      <c r="O289" s="7">
        <v>79.489999999999995</v>
      </c>
      <c r="P289" s="7" t="s">
        <v>23</v>
      </c>
      <c r="Q289" s="7" t="s">
        <v>77</v>
      </c>
      <c r="R289" s="7">
        <v>5</v>
      </c>
      <c r="S289" s="7">
        <f t="shared" si="13"/>
        <v>2024</v>
      </c>
      <c r="T289" s="7" t="str">
        <f t="shared" si="14"/>
        <v>Nov</v>
      </c>
    </row>
    <row r="290" spans="2:20" x14ac:dyDescent="0.3">
      <c r="B290" s="7">
        <v>289</v>
      </c>
      <c r="C290" s="7" t="s">
        <v>865</v>
      </c>
      <c r="D290" s="7" t="s">
        <v>866</v>
      </c>
      <c r="E290" s="7" t="str">
        <f t="shared" si="12"/>
        <v>Dec</v>
      </c>
      <c r="F290" s="7" t="s">
        <v>867</v>
      </c>
      <c r="G290" s="7" t="s">
        <v>64</v>
      </c>
      <c r="H290" s="7" t="s">
        <v>37</v>
      </c>
      <c r="I290" s="7" t="s">
        <v>59</v>
      </c>
      <c r="J290" s="7" t="s">
        <v>29</v>
      </c>
      <c r="K290" s="7" t="s">
        <v>82</v>
      </c>
      <c r="L290" s="7">
        <v>1695.92</v>
      </c>
      <c r="M290" s="7">
        <v>2</v>
      </c>
      <c r="N290" s="7">
        <v>0.09</v>
      </c>
      <c r="O290" s="7">
        <v>210.75</v>
      </c>
      <c r="P290" s="7" t="s">
        <v>23</v>
      </c>
      <c r="Q290" s="7" t="s">
        <v>40</v>
      </c>
      <c r="R290" s="7">
        <v>8</v>
      </c>
      <c r="S290" s="7">
        <f t="shared" si="13"/>
        <v>2025</v>
      </c>
      <c r="T290" s="7" t="str">
        <f t="shared" si="14"/>
        <v>Dec</v>
      </c>
    </row>
    <row r="291" spans="2:20" x14ac:dyDescent="0.3">
      <c r="B291" s="7">
        <v>290</v>
      </c>
      <c r="C291" s="7" t="s">
        <v>868</v>
      </c>
      <c r="D291" s="7" t="s">
        <v>686</v>
      </c>
      <c r="E291" s="7" t="str">
        <f t="shared" si="12"/>
        <v>Sep</v>
      </c>
      <c r="F291" s="7" t="s">
        <v>869</v>
      </c>
      <c r="G291" s="7" t="s">
        <v>18</v>
      </c>
      <c r="H291" s="7" t="s">
        <v>51</v>
      </c>
      <c r="I291" s="7" t="s">
        <v>59</v>
      </c>
      <c r="J291" s="7" t="s">
        <v>21</v>
      </c>
      <c r="K291" s="7" t="s">
        <v>39</v>
      </c>
      <c r="L291" s="7">
        <v>2858.33</v>
      </c>
      <c r="M291" s="7">
        <v>3</v>
      </c>
      <c r="N291" s="7">
        <v>0.14000000000000001</v>
      </c>
      <c r="O291" s="7">
        <v>416.02</v>
      </c>
      <c r="P291" s="7" t="s">
        <v>54</v>
      </c>
      <c r="Q291" s="7" t="s">
        <v>24</v>
      </c>
      <c r="R291" s="7">
        <v>5</v>
      </c>
      <c r="S291" s="7">
        <f t="shared" si="13"/>
        <v>2024</v>
      </c>
      <c r="T291" s="7" t="str">
        <f t="shared" si="14"/>
        <v>Sep</v>
      </c>
    </row>
    <row r="292" spans="2:20" x14ac:dyDescent="0.3">
      <c r="B292" s="7">
        <v>291</v>
      </c>
      <c r="C292" s="7" t="s">
        <v>870</v>
      </c>
      <c r="D292" s="7" t="s">
        <v>871</v>
      </c>
      <c r="E292" s="7" t="str">
        <f t="shared" si="12"/>
        <v>Jan</v>
      </c>
      <c r="F292" s="7" t="s">
        <v>872</v>
      </c>
      <c r="G292" s="7" t="s">
        <v>102</v>
      </c>
      <c r="H292" s="7" t="s">
        <v>58</v>
      </c>
      <c r="I292" s="7" t="s">
        <v>38</v>
      </c>
      <c r="J292" s="7" t="s">
        <v>47</v>
      </c>
      <c r="K292" s="7" t="s">
        <v>60</v>
      </c>
      <c r="L292" s="7">
        <v>1689.76</v>
      </c>
      <c r="M292" s="7">
        <v>2</v>
      </c>
      <c r="N292" s="7">
        <v>0.22</v>
      </c>
      <c r="O292" s="7">
        <v>202.45</v>
      </c>
      <c r="P292" s="7" t="s">
        <v>31</v>
      </c>
      <c r="Q292" s="7" t="s">
        <v>77</v>
      </c>
      <c r="R292" s="7">
        <v>3</v>
      </c>
      <c r="S292" s="7">
        <f t="shared" si="13"/>
        <v>2024</v>
      </c>
      <c r="T292" s="7" t="str">
        <f t="shared" si="14"/>
        <v>Jan</v>
      </c>
    </row>
    <row r="293" spans="2:20" x14ac:dyDescent="0.3">
      <c r="B293" s="7">
        <v>292</v>
      </c>
      <c r="C293" s="7" t="s">
        <v>873</v>
      </c>
      <c r="D293" s="7" t="s">
        <v>677</v>
      </c>
      <c r="E293" s="7" t="str">
        <f t="shared" si="12"/>
        <v>Oct</v>
      </c>
      <c r="F293" s="7" t="s">
        <v>874</v>
      </c>
      <c r="G293" s="7" t="s">
        <v>44</v>
      </c>
      <c r="H293" s="7" t="s">
        <v>37</v>
      </c>
      <c r="I293" s="7" t="s">
        <v>52</v>
      </c>
      <c r="J293" s="7" t="s">
        <v>21</v>
      </c>
      <c r="K293" s="7" t="s">
        <v>30</v>
      </c>
      <c r="L293" s="7">
        <v>448.91</v>
      </c>
      <c r="M293" s="7">
        <v>2</v>
      </c>
      <c r="N293" s="7">
        <v>0.01</v>
      </c>
      <c r="O293" s="7">
        <v>90.38</v>
      </c>
      <c r="P293" s="7" t="s">
        <v>54</v>
      </c>
      <c r="Q293" s="7" t="s">
        <v>77</v>
      </c>
      <c r="R293" s="7">
        <v>3</v>
      </c>
      <c r="S293" s="7">
        <f t="shared" si="13"/>
        <v>2025</v>
      </c>
      <c r="T293" s="7" t="str">
        <f t="shared" si="14"/>
        <v>Oct</v>
      </c>
    </row>
    <row r="294" spans="2:20" x14ac:dyDescent="0.3">
      <c r="B294" s="7">
        <v>293</v>
      </c>
      <c r="C294" s="7" t="s">
        <v>875</v>
      </c>
      <c r="D294" s="7" t="s">
        <v>206</v>
      </c>
      <c r="E294" s="7" t="str">
        <f t="shared" si="12"/>
        <v>Aug</v>
      </c>
      <c r="F294" s="7" t="s">
        <v>876</v>
      </c>
      <c r="G294" s="7" t="s">
        <v>44</v>
      </c>
      <c r="H294" s="7" t="s">
        <v>71</v>
      </c>
      <c r="I294" s="7" t="s">
        <v>52</v>
      </c>
      <c r="J294" s="7" t="s">
        <v>47</v>
      </c>
      <c r="K294" s="7" t="s">
        <v>30</v>
      </c>
      <c r="L294" s="7">
        <v>649.59</v>
      </c>
      <c r="M294" s="7">
        <v>2</v>
      </c>
      <c r="N294" s="7">
        <v>0.08</v>
      </c>
      <c r="O294" s="7">
        <v>128.19</v>
      </c>
      <c r="P294" s="7" t="s">
        <v>54</v>
      </c>
      <c r="Q294" s="7" t="s">
        <v>77</v>
      </c>
      <c r="R294" s="7">
        <v>1</v>
      </c>
      <c r="S294" s="7">
        <f t="shared" si="13"/>
        <v>2024</v>
      </c>
      <c r="T294" s="7" t="str">
        <f t="shared" si="14"/>
        <v>Aug</v>
      </c>
    </row>
    <row r="295" spans="2:20" x14ac:dyDescent="0.3">
      <c r="B295" s="7">
        <v>294</v>
      </c>
      <c r="C295" s="7" t="s">
        <v>877</v>
      </c>
      <c r="D295" s="7" t="s">
        <v>515</v>
      </c>
      <c r="E295" s="7" t="str">
        <f t="shared" si="12"/>
        <v>Feb</v>
      </c>
      <c r="F295" s="7" t="s">
        <v>878</v>
      </c>
      <c r="G295" s="7" t="s">
        <v>64</v>
      </c>
      <c r="H295" s="7" t="s">
        <v>65</v>
      </c>
      <c r="I295" s="7" t="s">
        <v>28</v>
      </c>
      <c r="J295" s="7" t="s">
        <v>47</v>
      </c>
      <c r="K295" s="7" t="s">
        <v>82</v>
      </c>
      <c r="L295" s="7">
        <v>2728.38</v>
      </c>
      <c r="M295" s="7">
        <v>5</v>
      </c>
      <c r="N295" s="7">
        <v>0.12</v>
      </c>
      <c r="O295" s="7">
        <v>612.03</v>
      </c>
      <c r="P295" s="7" t="s">
        <v>31</v>
      </c>
      <c r="Q295" s="7" t="s">
        <v>24</v>
      </c>
      <c r="R295" s="7">
        <v>5</v>
      </c>
      <c r="S295" s="7">
        <f t="shared" si="13"/>
        <v>2025</v>
      </c>
      <c r="T295" s="7" t="str">
        <f t="shared" si="14"/>
        <v>Feb</v>
      </c>
    </row>
    <row r="296" spans="2:20" x14ac:dyDescent="0.3">
      <c r="B296" s="7">
        <v>295</v>
      </c>
      <c r="C296" s="7" t="s">
        <v>879</v>
      </c>
      <c r="D296" s="7" t="s">
        <v>880</v>
      </c>
      <c r="E296" s="7" t="str">
        <f t="shared" si="12"/>
        <v>Jul</v>
      </c>
      <c r="F296" s="7" t="s">
        <v>881</v>
      </c>
      <c r="G296" s="7" t="s">
        <v>102</v>
      </c>
      <c r="H296" s="7" t="s">
        <v>58</v>
      </c>
      <c r="I296" s="7" t="s">
        <v>28</v>
      </c>
      <c r="J296" s="7" t="s">
        <v>66</v>
      </c>
      <c r="K296" s="7" t="s">
        <v>67</v>
      </c>
      <c r="L296" s="7">
        <v>697.25</v>
      </c>
      <c r="M296" s="7">
        <v>5</v>
      </c>
      <c r="N296" s="7">
        <v>0.24</v>
      </c>
      <c r="O296" s="7">
        <v>80.69</v>
      </c>
      <c r="P296" s="7" t="s">
        <v>54</v>
      </c>
      <c r="Q296" s="7" t="s">
        <v>32</v>
      </c>
      <c r="R296" s="7">
        <v>5</v>
      </c>
      <c r="S296" s="7">
        <f t="shared" si="13"/>
        <v>2024</v>
      </c>
      <c r="T296" s="7" t="str">
        <f t="shared" si="14"/>
        <v>Jul</v>
      </c>
    </row>
    <row r="297" spans="2:20" x14ac:dyDescent="0.3">
      <c r="B297" s="7">
        <v>296</v>
      </c>
      <c r="C297" s="7" t="s">
        <v>882</v>
      </c>
      <c r="D297" s="7" t="s">
        <v>584</v>
      </c>
      <c r="E297" s="7" t="str">
        <f t="shared" si="12"/>
        <v>Oct</v>
      </c>
      <c r="F297" s="7" t="s">
        <v>883</v>
      </c>
      <c r="G297" s="7" t="s">
        <v>18</v>
      </c>
      <c r="H297" s="7" t="s">
        <v>37</v>
      </c>
      <c r="I297" s="7" t="s">
        <v>106</v>
      </c>
      <c r="J297" s="7" t="s">
        <v>81</v>
      </c>
      <c r="K297" s="7" t="s">
        <v>76</v>
      </c>
      <c r="L297" s="7">
        <v>427.83</v>
      </c>
      <c r="M297" s="7">
        <v>2</v>
      </c>
      <c r="N297" s="7">
        <v>0.27</v>
      </c>
      <c r="O297" s="7">
        <v>63.79</v>
      </c>
      <c r="P297" s="7" t="s">
        <v>31</v>
      </c>
      <c r="Q297" s="7" t="s">
        <v>77</v>
      </c>
      <c r="R297" s="7">
        <v>1</v>
      </c>
      <c r="S297" s="7">
        <f t="shared" si="13"/>
        <v>2025</v>
      </c>
      <c r="T297" s="7" t="str">
        <f t="shared" si="14"/>
        <v>Oct</v>
      </c>
    </row>
    <row r="298" spans="2:20" x14ac:dyDescent="0.3">
      <c r="B298" s="7">
        <v>297</v>
      </c>
      <c r="C298" s="7" t="s">
        <v>884</v>
      </c>
      <c r="D298" s="7" t="s">
        <v>885</v>
      </c>
      <c r="E298" s="7" t="str">
        <f t="shared" si="12"/>
        <v>May</v>
      </c>
      <c r="F298" s="7" t="s">
        <v>886</v>
      </c>
      <c r="G298" s="7" t="s">
        <v>102</v>
      </c>
      <c r="H298" s="7" t="s">
        <v>19</v>
      </c>
      <c r="I298" s="7" t="s">
        <v>59</v>
      </c>
      <c r="J298" s="7" t="s">
        <v>47</v>
      </c>
      <c r="K298" s="7" t="s">
        <v>39</v>
      </c>
      <c r="L298" s="7">
        <v>194.5</v>
      </c>
      <c r="M298" s="7">
        <v>1</v>
      </c>
      <c r="N298" s="7">
        <v>0.22</v>
      </c>
      <c r="O298" s="7">
        <v>24.35</v>
      </c>
      <c r="P298" s="7" t="s">
        <v>31</v>
      </c>
      <c r="Q298" s="7" t="s">
        <v>40</v>
      </c>
      <c r="R298" s="7">
        <v>5</v>
      </c>
      <c r="S298" s="7">
        <f t="shared" si="13"/>
        <v>2025</v>
      </c>
      <c r="T298" s="7" t="str">
        <f t="shared" si="14"/>
        <v>May</v>
      </c>
    </row>
    <row r="299" spans="2:20" x14ac:dyDescent="0.3">
      <c r="B299" s="7">
        <v>298</v>
      </c>
      <c r="C299" s="7" t="s">
        <v>887</v>
      </c>
      <c r="D299" s="7" t="s">
        <v>888</v>
      </c>
      <c r="E299" s="7" t="str">
        <f t="shared" si="12"/>
        <v>May</v>
      </c>
      <c r="F299" s="7" t="s">
        <v>889</v>
      </c>
      <c r="G299" s="7" t="s">
        <v>102</v>
      </c>
      <c r="H299" s="7" t="s">
        <v>58</v>
      </c>
      <c r="I299" s="7" t="s">
        <v>106</v>
      </c>
      <c r="J299" s="7" t="s">
        <v>21</v>
      </c>
      <c r="K299" s="7" t="s">
        <v>82</v>
      </c>
      <c r="L299" s="7">
        <v>3092.21</v>
      </c>
      <c r="M299" s="7">
        <v>4</v>
      </c>
      <c r="N299" s="7">
        <v>0.22</v>
      </c>
      <c r="O299" s="7">
        <v>961.51</v>
      </c>
      <c r="P299" s="7" t="s">
        <v>54</v>
      </c>
      <c r="Q299" s="7" t="s">
        <v>32</v>
      </c>
      <c r="R299" s="7">
        <v>1</v>
      </c>
      <c r="S299" s="7">
        <f t="shared" si="13"/>
        <v>2025</v>
      </c>
      <c r="T299" s="7" t="str">
        <f t="shared" si="14"/>
        <v>May</v>
      </c>
    </row>
    <row r="300" spans="2:20" x14ac:dyDescent="0.3">
      <c r="B300" s="7">
        <v>299</v>
      </c>
      <c r="C300" s="7" t="s">
        <v>890</v>
      </c>
      <c r="D300" s="7" t="s">
        <v>891</v>
      </c>
      <c r="E300" s="7" t="str">
        <f t="shared" si="12"/>
        <v>Jan</v>
      </c>
      <c r="F300" s="7" t="s">
        <v>892</v>
      </c>
      <c r="G300" s="7" t="s">
        <v>18</v>
      </c>
      <c r="H300" s="7" t="s">
        <v>51</v>
      </c>
      <c r="I300" s="7" t="s">
        <v>106</v>
      </c>
      <c r="J300" s="7" t="s">
        <v>29</v>
      </c>
      <c r="K300" s="7" t="s">
        <v>72</v>
      </c>
      <c r="L300" s="7">
        <v>378.64</v>
      </c>
      <c r="M300" s="7">
        <v>5</v>
      </c>
      <c r="N300" s="7">
        <v>0.12</v>
      </c>
      <c r="O300" s="7">
        <v>124.06</v>
      </c>
      <c r="P300" s="7" t="s">
        <v>23</v>
      </c>
      <c r="Q300" s="7" t="s">
        <v>24</v>
      </c>
      <c r="R300" s="7">
        <v>10</v>
      </c>
      <c r="S300" s="7">
        <f t="shared" si="13"/>
        <v>2025</v>
      </c>
      <c r="T300" s="7" t="str">
        <f t="shared" si="14"/>
        <v>Jan</v>
      </c>
    </row>
    <row r="301" spans="2:20" x14ac:dyDescent="0.3">
      <c r="B301" s="7">
        <v>300</v>
      </c>
      <c r="C301" s="7" t="s">
        <v>893</v>
      </c>
      <c r="D301" s="7" t="s">
        <v>894</v>
      </c>
      <c r="E301" s="7" t="str">
        <f t="shared" si="12"/>
        <v>May</v>
      </c>
      <c r="F301" s="7" t="s">
        <v>895</v>
      </c>
      <c r="G301" s="7" t="s">
        <v>102</v>
      </c>
      <c r="H301" s="7" t="s">
        <v>19</v>
      </c>
      <c r="I301" s="7" t="s">
        <v>59</v>
      </c>
      <c r="J301" s="7" t="s">
        <v>29</v>
      </c>
      <c r="K301" s="7" t="s">
        <v>60</v>
      </c>
      <c r="L301" s="7">
        <v>844.54</v>
      </c>
      <c r="M301" s="7">
        <v>4</v>
      </c>
      <c r="N301" s="7">
        <v>0.09</v>
      </c>
      <c r="O301" s="7">
        <v>180.41</v>
      </c>
      <c r="P301" s="7" t="s">
        <v>31</v>
      </c>
      <c r="Q301" s="7" t="s">
        <v>32</v>
      </c>
      <c r="R301" s="7">
        <v>7</v>
      </c>
      <c r="S301" s="7">
        <f t="shared" si="13"/>
        <v>2024</v>
      </c>
      <c r="T301" s="7" t="str">
        <f t="shared" si="14"/>
        <v>May</v>
      </c>
    </row>
    <row r="302" spans="2:20" x14ac:dyDescent="0.3">
      <c r="B302" s="7">
        <v>301</v>
      </c>
      <c r="C302" s="7" t="s">
        <v>896</v>
      </c>
      <c r="D302" s="7" t="s">
        <v>897</v>
      </c>
      <c r="E302" s="7" t="str">
        <f t="shared" si="12"/>
        <v>May</v>
      </c>
      <c r="F302" s="7" t="s">
        <v>898</v>
      </c>
      <c r="G302" s="7" t="s">
        <v>18</v>
      </c>
      <c r="H302" s="7" t="s">
        <v>51</v>
      </c>
      <c r="I302" s="7" t="s">
        <v>59</v>
      </c>
      <c r="J302" s="7" t="s">
        <v>66</v>
      </c>
      <c r="K302" s="7" t="s">
        <v>82</v>
      </c>
      <c r="L302" s="7">
        <v>165.79</v>
      </c>
      <c r="M302" s="7">
        <v>1</v>
      </c>
      <c r="N302" s="7">
        <v>0.25</v>
      </c>
      <c r="O302" s="7">
        <v>30.22</v>
      </c>
      <c r="P302" s="7" t="s">
        <v>23</v>
      </c>
      <c r="Q302" s="7" t="s">
        <v>40</v>
      </c>
      <c r="R302" s="7">
        <v>5</v>
      </c>
      <c r="S302" s="7">
        <f t="shared" si="13"/>
        <v>2025</v>
      </c>
      <c r="T302" s="7" t="str">
        <f t="shared" si="14"/>
        <v>May</v>
      </c>
    </row>
    <row r="303" spans="2:20" x14ac:dyDescent="0.3">
      <c r="B303" s="7">
        <v>302</v>
      </c>
      <c r="C303" s="7" t="s">
        <v>899</v>
      </c>
      <c r="D303" s="7" t="s">
        <v>733</v>
      </c>
      <c r="E303" s="7" t="str">
        <f t="shared" si="12"/>
        <v>Jul</v>
      </c>
      <c r="F303" s="7" t="s">
        <v>900</v>
      </c>
      <c r="G303" s="7" t="s">
        <v>18</v>
      </c>
      <c r="H303" s="7" t="s">
        <v>58</v>
      </c>
      <c r="I303" s="7" t="s">
        <v>46</v>
      </c>
      <c r="J303" s="7" t="s">
        <v>81</v>
      </c>
      <c r="K303" s="7" t="s">
        <v>67</v>
      </c>
      <c r="L303" s="7">
        <v>3316.41</v>
      </c>
      <c r="M303" s="7">
        <v>4</v>
      </c>
      <c r="N303" s="7">
        <v>0.06</v>
      </c>
      <c r="O303" s="7">
        <v>899.5</v>
      </c>
      <c r="P303" s="7" t="s">
        <v>54</v>
      </c>
      <c r="Q303" s="7" t="s">
        <v>86</v>
      </c>
      <c r="R303" s="7">
        <v>2</v>
      </c>
      <c r="S303" s="7">
        <f t="shared" si="13"/>
        <v>2024</v>
      </c>
      <c r="T303" s="7" t="str">
        <f t="shared" si="14"/>
        <v>Jul</v>
      </c>
    </row>
    <row r="304" spans="2:20" x14ac:dyDescent="0.3">
      <c r="B304" s="7">
        <v>303</v>
      </c>
      <c r="C304" s="7" t="s">
        <v>901</v>
      </c>
      <c r="D304" s="7" t="s">
        <v>902</v>
      </c>
      <c r="E304" s="7" t="str">
        <f t="shared" si="12"/>
        <v>Apr</v>
      </c>
      <c r="F304" s="7" t="s">
        <v>903</v>
      </c>
      <c r="G304" s="7" t="s">
        <v>44</v>
      </c>
      <c r="H304" s="7" t="s">
        <v>37</v>
      </c>
      <c r="I304" s="7" t="s">
        <v>46</v>
      </c>
      <c r="J304" s="7" t="s">
        <v>47</v>
      </c>
      <c r="K304" s="7" t="s">
        <v>30</v>
      </c>
      <c r="L304" s="7">
        <v>1914.24</v>
      </c>
      <c r="M304" s="7">
        <v>2</v>
      </c>
      <c r="N304" s="7">
        <v>0.2</v>
      </c>
      <c r="O304" s="7">
        <v>570.92999999999995</v>
      </c>
      <c r="P304" s="7" t="s">
        <v>54</v>
      </c>
      <c r="Q304" s="7" t="s">
        <v>86</v>
      </c>
      <c r="R304" s="7">
        <v>1</v>
      </c>
      <c r="S304" s="7">
        <f t="shared" si="13"/>
        <v>2024</v>
      </c>
      <c r="T304" s="7" t="str">
        <f t="shared" si="14"/>
        <v>Apr</v>
      </c>
    </row>
    <row r="305" spans="2:20" x14ac:dyDescent="0.3">
      <c r="B305" s="7">
        <v>304</v>
      </c>
      <c r="C305" s="7" t="s">
        <v>904</v>
      </c>
      <c r="D305" s="7" t="s">
        <v>905</v>
      </c>
      <c r="E305" s="7" t="str">
        <f t="shared" si="12"/>
        <v>Feb</v>
      </c>
      <c r="F305" s="7" t="s">
        <v>906</v>
      </c>
      <c r="G305" s="7" t="s">
        <v>64</v>
      </c>
      <c r="H305" s="7" t="s">
        <v>51</v>
      </c>
      <c r="I305" s="7" t="s">
        <v>106</v>
      </c>
      <c r="J305" s="7" t="s">
        <v>29</v>
      </c>
      <c r="K305" s="7" t="s">
        <v>30</v>
      </c>
      <c r="L305" s="7">
        <v>4539.95</v>
      </c>
      <c r="M305" s="7">
        <v>5</v>
      </c>
      <c r="N305" s="7">
        <v>0.1</v>
      </c>
      <c r="O305" s="7">
        <v>860.52</v>
      </c>
      <c r="P305" s="7" t="s">
        <v>31</v>
      </c>
      <c r="Q305" s="7" t="s">
        <v>24</v>
      </c>
      <c r="R305" s="7">
        <v>10</v>
      </c>
      <c r="S305" s="7">
        <f t="shared" si="13"/>
        <v>2024</v>
      </c>
      <c r="T305" s="7" t="str">
        <f t="shared" si="14"/>
        <v>Feb</v>
      </c>
    </row>
    <row r="306" spans="2:20" x14ac:dyDescent="0.3">
      <c r="B306" s="7">
        <v>305</v>
      </c>
      <c r="C306" s="7" t="s">
        <v>907</v>
      </c>
      <c r="D306" s="7" t="s">
        <v>908</v>
      </c>
      <c r="E306" s="7" t="str">
        <f t="shared" si="12"/>
        <v>Jul</v>
      </c>
      <c r="F306" s="7" t="s">
        <v>909</v>
      </c>
      <c r="G306" s="7" t="s">
        <v>102</v>
      </c>
      <c r="H306" s="7" t="s">
        <v>19</v>
      </c>
      <c r="I306" s="7" t="s">
        <v>46</v>
      </c>
      <c r="J306" s="7" t="s">
        <v>21</v>
      </c>
      <c r="K306" s="7" t="s">
        <v>72</v>
      </c>
      <c r="L306" s="7">
        <v>644</v>
      </c>
      <c r="M306" s="7">
        <v>3</v>
      </c>
      <c r="N306" s="7">
        <v>0.12</v>
      </c>
      <c r="O306" s="7">
        <v>168.21</v>
      </c>
      <c r="P306" s="7" t="s">
        <v>31</v>
      </c>
      <c r="Q306" s="7" t="s">
        <v>77</v>
      </c>
      <c r="R306" s="7">
        <v>3</v>
      </c>
      <c r="S306" s="7">
        <f t="shared" si="13"/>
        <v>2025</v>
      </c>
      <c r="T306" s="7" t="str">
        <f t="shared" si="14"/>
        <v>Jul</v>
      </c>
    </row>
    <row r="307" spans="2:20" x14ac:dyDescent="0.3">
      <c r="B307" s="7">
        <v>306</v>
      </c>
      <c r="C307" s="7" t="s">
        <v>910</v>
      </c>
      <c r="D307" s="7" t="s">
        <v>911</v>
      </c>
      <c r="E307" s="7" t="str">
        <f t="shared" si="12"/>
        <v>Apr</v>
      </c>
      <c r="F307" s="7" t="s">
        <v>912</v>
      </c>
      <c r="G307" s="7" t="s">
        <v>44</v>
      </c>
      <c r="H307" s="7" t="s">
        <v>65</v>
      </c>
      <c r="I307" s="7" t="s">
        <v>52</v>
      </c>
      <c r="J307" s="7" t="s">
        <v>66</v>
      </c>
      <c r="K307" s="7" t="s">
        <v>72</v>
      </c>
      <c r="L307" s="7">
        <v>1876.36</v>
      </c>
      <c r="M307" s="7">
        <v>2</v>
      </c>
      <c r="N307" s="7">
        <v>7.0000000000000007E-2</v>
      </c>
      <c r="O307" s="7">
        <v>413.96</v>
      </c>
      <c r="P307" s="7" t="s">
        <v>31</v>
      </c>
      <c r="Q307" s="7" t="s">
        <v>86</v>
      </c>
      <c r="R307" s="7">
        <v>3</v>
      </c>
      <c r="S307" s="7">
        <f t="shared" si="13"/>
        <v>2025</v>
      </c>
      <c r="T307" s="7" t="str">
        <f t="shared" si="14"/>
        <v>Apr</v>
      </c>
    </row>
    <row r="308" spans="2:20" x14ac:dyDescent="0.3">
      <c r="B308" s="7">
        <v>307</v>
      </c>
      <c r="C308" s="7" t="s">
        <v>913</v>
      </c>
      <c r="D308" s="7" t="s">
        <v>100</v>
      </c>
      <c r="E308" s="7" t="str">
        <f t="shared" si="12"/>
        <v>Nov</v>
      </c>
      <c r="F308" s="7" t="s">
        <v>914</v>
      </c>
      <c r="G308" s="7" t="s">
        <v>102</v>
      </c>
      <c r="H308" s="7" t="s">
        <v>19</v>
      </c>
      <c r="I308" s="7" t="s">
        <v>38</v>
      </c>
      <c r="J308" s="7" t="s">
        <v>66</v>
      </c>
      <c r="K308" s="7" t="s">
        <v>82</v>
      </c>
      <c r="L308" s="7">
        <v>2900.16</v>
      </c>
      <c r="M308" s="7">
        <v>3</v>
      </c>
      <c r="N308" s="7">
        <v>0.2</v>
      </c>
      <c r="O308" s="7">
        <v>653.55999999999995</v>
      </c>
      <c r="P308" s="7" t="s">
        <v>23</v>
      </c>
      <c r="Q308" s="7" t="s">
        <v>40</v>
      </c>
      <c r="R308" s="7">
        <v>7</v>
      </c>
      <c r="S308" s="7">
        <f t="shared" si="13"/>
        <v>2024</v>
      </c>
      <c r="T308" s="7" t="str">
        <f t="shared" si="14"/>
        <v>Nov</v>
      </c>
    </row>
    <row r="309" spans="2:20" x14ac:dyDescent="0.3">
      <c r="B309" s="7">
        <v>308</v>
      </c>
      <c r="C309" s="7" t="s">
        <v>915</v>
      </c>
      <c r="D309" s="7" t="s">
        <v>916</v>
      </c>
      <c r="E309" s="7" t="str">
        <f t="shared" si="12"/>
        <v>Jul</v>
      </c>
      <c r="F309" s="7" t="s">
        <v>917</v>
      </c>
      <c r="G309" s="7" t="s">
        <v>18</v>
      </c>
      <c r="H309" s="7" t="s">
        <v>37</v>
      </c>
      <c r="I309" s="7" t="s">
        <v>38</v>
      </c>
      <c r="J309" s="7" t="s">
        <v>47</v>
      </c>
      <c r="K309" s="7" t="s">
        <v>76</v>
      </c>
      <c r="L309" s="7">
        <v>4768.28</v>
      </c>
      <c r="M309" s="7">
        <v>5</v>
      </c>
      <c r="N309" s="7">
        <v>0.13</v>
      </c>
      <c r="O309" s="7">
        <v>1141.54</v>
      </c>
      <c r="P309" s="7" t="s">
        <v>54</v>
      </c>
      <c r="Q309" s="7" t="s">
        <v>77</v>
      </c>
      <c r="R309" s="7">
        <v>8</v>
      </c>
      <c r="S309" s="7">
        <f t="shared" si="13"/>
        <v>2025</v>
      </c>
      <c r="T309" s="7" t="str">
        <f t="shared" si="14"/>
        <v>Jul</v>
      </c>
    </row>
    <row r="310" spans="2:20" x14ac:dyDescent="0.3">
      <c r="B310" s="7">
        <v>309</v>
      </c>
      <c r="C310" s="7" t="s">
        <v>918</v>
      </c>
      <c r="D310" s="7" t="s">
        <v>919</v>
      </c>
      <c r="E310" s="7" t="str">
        <f t="shared" si="12"/>
        <v>Dec</v>
      </c>
      <c r="F310" s="7" t="s">
        <v>920</v>
      </c>
      <c r="G310" s="7" t="s">
        <v>64</v>
      </c>
      <c r="H310" s="7" t="s">
        <v>37</v>
      </c>
      <c r="I310" s="7" t="s">
        <v>20</v>
      </c>
      <c r="J310" s="7" t="s">
        <v>66</v>
      </c>
      <c r="K310" s="7" t="s">
        <v>39</v>
      </c>
      <c r="L310" s="7">
        <v>4647.53</v>
      </c>
      <c r="M310" s="7">
        <v>5</v>
      </c>
      <c r="N310" s="7">
        <v>0.09</v>
      </c>
      <c r="O310" s="7">
        <v>1531.24</v>
      </c>
      <c r="P310" s="7" t="s">
        <v>23</v>
      </c>
      <c r="Q310" s="7" t="s">
        <v>86</v>
      </c>
      <c r="R310" s="7">
        <v>10</v>
      </c>
      <c r="S310" s="7">
        <f t="shared" si="13"/>
        <v>2025</v>
      </c>
      <c r="T310" s="7" t="str">
        <f t="shared" si="14"/>
        <v>Dec</v>
      </c>
    </row>
    <row r="311" spans="2:20" x14ac:dyDescent="0.3">
      <c r="B311" s="7">
        <v>310</v>
      </c>
      <c r="C311" s="7" t="s">
        <v>921</v>
      </c>
      <c r="D311" s="7" t="s">
        <v>203</v>
      </c>
      <c r="E311" s="7" t="str">
        <f t="shared" si="12"/>
        <v>Mar</v>
      </c>
      <c r="F311" s="7" t="s">
        <v>922</v>
      </c>
      <c r="G311" s="7" t="s">
        <v>102</v>
      </c>
      <c r="H311" s="7" t="s">
        <v>37</v>
      </c>
      <c r="I311" s="7" t="s">
        <v>20</v>
      </c>
      <c r="J311" s="7" t="s">
        <v>66</v>
      </c>
      <c r="K311" s="7" t="s">
        <v>22</v>
      </c>
      <c r="L311" s="7">
        <v>605.83000000000004</v>
      </c>
      <c r="M311" s="7">
        <v>1</v>
      </c>
      <c r="N311" s="7">
        <v>0.12</v>
      </c>
      <c r="O311" s="7">
        <v>61.31</v>
      </c>
      <c r="P311" s="7" t="s">
        <v>54</v>
      </c>
      <c r="Q311" s="7" t="s">
        <v>24</v>
      </c>
      <c r="R311" s="7">
        <v>9</v>
      </c>
      <c r="S311" s="7">
        <f t="shared" si="13"/>
        <v>2024</v>
      </c>
      <c r="T311" s="7" t="str">
        <f t="shared" si="14"/>
        <v>Mar</v>
      </c>
    </row>
    <row r="312" spans="2:20" x14ac:dyDescent="0.3">
      <c r="B312" s="7">
        <v>311</v>
      </c>
      <c r="C312" s="7" t="s">
        <v>923</v>
      </c>
      <c r="D312" s="7" t="s">
        <v>924</v>
      </c>
      <c r="E312" s="7" t="str">
        <f t="shared" si="12"/>
        <v>May</v>
      </c>
      <c r="F312" s="7" t="s">
        <v>925</v>
      </c>
      <c r="G312" s="7" t="s">
        <v>18</v>
      </c>
      <c r="H312" s="7" t="s">
        <v>71</v>
      </c>
      <c r="I312" s="7" t="s">
        <v>20</v>
      </c>
      <c r="J312" s="7" t="s">
        <v>81</v>
      </c>
      <c r="K312" s="7" t="s">
        <v>82</v>
      </c>
      <c r="L312" s="7">
        <v>742.92</v>
      </c>
      <c r="M312" s="7">
        <v>2</v>
      </c>
      <c r="N312" s="7">
        <v>0.01</v>
      </c>
      <c r="O312" s="7">
        <v>95.05</v>
      </c>
      <c r="P312" s="7" t="s">
        <v>54</v>
      </c>
      <c r="Q312" s="7" t="s">
        <v>77</v>
      </c>
      <c r="R312" s="7">
        <v>10</v>
      </c>
      <c r="S312" s="7">
        <f t="shared" si="13"/>
        <v>2024</v>
      </c>
      <c r="T312" s="7" t="str">
        <f t="shared" si="14"/>
        <v>May</v>
      </c>
    </row>
    <row r="313" spans="2:20" x14ac:dyDescent="0.3">
      <c r="B313" s="7">
        <v>312</v>
      </c>
      <c r="C313" s="7" t="s">
        <v>926</v>
      </c>
      <c r="D313" s="7" t="s">
        <v>927</v>
      </c>
      <c r="E313" s="7" t="str">
        <f t="shared" si="12"/>
        <v>Feb</v>
      </c>
      <c r="F313" s="7" t="s">
        <v>928</v>
      </c>
      <c r="G313" s="7" t="s">
        <v>36</v>
      </c>
      <c r="H313" s="7" t="s">
        <v>71</v>
      </c>
      <c r="I313" s="7" t="s">
        <v>106</v>
      </c>
      <c r="J313" s="7" t="s">
        <v>66</v>
      </c>
      <c r="K313" s="7" t="s">
        <v>22</v>
      </c>
      <c r="L313" s="7">
        <v>3594.78</v>
      </c>
      <c r="M313" s="7">
        <v>5</v>
      </c>
      <c r="N313" s="7">
        <v>0.28000000000000003</v>
      </c>
      <c r="O313" s="7">
        <v>730.2</v>
      </c>
      <c r="P313" s="7" t="s">
        <v>23</v>
      </c>
      <c r="Q313" s="7" t="s">
        <v>32</v>
      </c>
      <c r="R313" s="7">
        <v>4</v>
      </c>
      <c r="S313" s="7">
        <f t="shared" si="13"/>
        <v>2025</v>
      </c>
      <c r="T313" s="7" t="str">
        <f t="shared" si="14"/>
        <v>Feb</v>
      </c>
    </row>
    <row r="314" spans="2:20" x14ac:dyDescent="0.3">
      <c r="B314" s="7">
        <v>313</v>
      </c>
      <c r="C314" s="7" t="s">
        <v>929</v>
      </c>
      <c r="D314" s="7" t="s">
        <v>329</v>
      </c>
      <c r="E314" s="7" t="str">
        <f t="shared" si="12"/>
        <v>Aug</v>
      </c>
      <c r="F314" s="7" t="s">
        <v>930</v>
      </c>
      <c r="G314" s="7" t="s">
        <v>36</v>
      </c>
      <c r="H314" s="7" t="s">
        <v>37</v>
      </c>
      <c r="I314" s="7" t="s">
        <v>38</v>
      </c>
      <c r="J314" s="7" t="s">
        <v>29</v>
      </c>
      <c r="K314" s="7" t="s">
        <v>53</v>
      </c>
      <c r="L314" s="7">
        <v>818.78</v>
      </c>
      <c r="M314" s="7">
        <v>3</v>
      </c>
      <c r="N314" s="7">
        <v>0.22</v>
      </c>
      <c r="O314" s="7">
        <v>279.16000000000003</v>
      </c>
      <c r="P314" s="7" t="s">
        <v>54</v>
      </c>
      <c r="Q314" s="7" t="s">
        <v>77</v>
      </c>
      <c r="R314" s="7">
        <v>3</v>
      </c>
      <c r="S314" s="7">
        <f t="shared" si="13"/>
        <v>2024</v>
      </c>
      <c r="T314" s="7" t="str">
        <f t="shared" si="14"/>
        <v>Aug</v>
      </c>
    </row>
    <row r="315" spans="2:20" x14ac:dyDescent="0.3">
      <c r="B315" s="7">
        <v>314</v>
      </c>
      <c r="C315" s="7" t="s">
        <v>931</v>
      </c>
      <c r="D315" s="7" t="s">
        <v>932</v>
      </c>
      <c r="E315" s="7" t="str">
        <f t="shared" si="12"/>
        <v>Jul</v>
      </c>
      <c r="F315" s="7" t="s">
        <v>933</v>
      </c>
      <c r="G315" s="7" t="s">
        <v>36</v>
      </c>
      <c r="H315" s="7" t="s">
        <v>37</v>
      </c>
      <c r="I315" s="7" t="s">
        <v>38</v>
      </c>
      <c r="J315" s="7" t="s">
        <v>47</v>
      </c>
      <c r="K315" s="7" t="s">
        <v>39</v>
      </c>
      <c r="L315" s="7">
        <v>3287.96</v>
      </c>
      <c r="M315" s="7">
        <v>4</v>
      </c>
      <c r="N315" s="7">
        <v>0.01</v>
      </c>
      <c r="O315" s="7">
        <v>476.7</v>
      </c>
      <c r="P315" s="7" t="s">
        <v>31</v>
      </c>
      <c r="Q315" s="7" t="s">
        <v>24</v>
      </c>
      <c r="R315" s="7">
        <v>4</v>
      </c>
      <c r="S315" s="7">
        <f t="shared" si="13"/>
        <v>2024</v>
      </c>
      <c r="T315" s="7" t="str">
        <f t="shared" si="14"/>
        <v>Jul</v>
      </c>
    </row>
    <row r="316" spans="2:20" x14ac:dyDescent="0.3">
      <c r="B316" s="7">
        <v>315</v>
      </c>
      <c r="C316" s="7" t="s">
        <v>934</v>
      </c>
      <c r="D316" s="7" t="s">
        <v>536</v>
      </c>
      <c r="E316" s="7" t="str">
        <f t="shared" si="12"/>
        <v>Dec</v>
      </c>
      <c r="F316" s="7" t="s">
        <v>935</v>
      </c>
      <c r="G316" s="7" t="s">
        <v>102</v>
      </c>
      <c r="H316" s="7" t="s">
        <v>71</v>
      </c>
      <c r="I316" s="7" t="s">
        <v>20</v>
      </c>
      <c r="J316" s="7" t="s">
        <v>47</v>
      </c>
      <c r="K316" s="7" t="s">
        <v>82</v>
      </c>
      <c r="L316" s="7">
        <v>1129.7</v>
      </c>
      <c r="M316" s="7">
        <v>4</v>
      </c>
      <c r="N316" s="7">
        <v>0.26</v>
      </c>
      <c r="O316" s="7">
        <v>235.7</v>
      </c>
      <c r="P316" s="7" t="s">
        <v>54</v>
      </c>
      <c r="Q316" s="7" t="s">
        <v>86</v>
      </c>
      <c r="R316" s="7">
        <v>4</v>
      </c>
      <c r="S316" s="7">
        <f t="shared" si="13"/>
        <v>2025</v>
      </c>
      <c r="T316" s="7" t="str">
        <f t="shared" si="14"/>
        <v>Dec</v>
      </c>
    </row>
    <row r="317" spans="2:20" x14ac:dyDescent="0.3">
      <c r="B317" s="7">
        <v>316</v>
      </c>
      <c r="C317" s="7" t="s">
        <v>936</v>
      </c>
      <c r="D317" s="7" t="s">
        <v>937</v>
      </c>
      <c r="E317" s="7" t="str">
        <f t="shared" si="12"/>
        <v>Dec</v>
      </c>
      <c r="F317" s="7" t="s">
        <v>938</v>
      </c>
      <c r="G317" s="7" t="s">
        <v>64</v>
      </c>
      <c r="H317" s="7" t="s">
        <v>58</v>
      </c>
      <c r="I317" s="7" t="s">
        <v>20</v>
      </c>
      <c r="J317" s="7" t="s">
        <v>29</v>
      </c>
      <c r="K317" s="7" t="s">
        <v>82</v>
      </c>
      <c r="L317" s="7">
        <v>3350.65</v>
      </c>
      <c r="M317" s="7">
        <v>4</v>
      </c>
      <c r="N317" s="7">
        <v>0.2</v>
      </c>
      <c r="O317" s="7">
        <v>352.98</v>
      </c>
      <c r="P317" s="7" t="s">
        <v>54</v>
      </c>
      <c r="Q317" s="7" t="s">
        <v>32</v>
      </c>
      <c r="R317" s="7">
        <v>5</v>
      </c>
      <c r="S317" s="7">
        <f t="shared" si="13"/>
        <v>2024</v>
      </c>
      <c r="T317" s="7" t="str">
        <f t="shared" si="14"/>
        <v>Dec</v>
      </c>
    </row>
    <row r="318" spans="2:20" x14ac:dyDescent="0.3">
      <c r="B318" s="7">
        <v>317</v>
      </c>
      <c r="C318" s="7" t="s">
        <v>939</v>
      </c>
      <c r="D318" s="7" t="s">
        <v>768</v>
      </c>
      <c r="E318" s="7" t="str">
        <f t="shared" si="12"/>
        <v>Jan</v>
      </c>
      <c r="F318" s="7" t="s">
        <v>940</v>
      </c>
      <c r="G318" s="7" t="s">
        <v>44</v>
      </c>
      <c r="H318" s="7" t="s">
        <v>19</v>
      </c>
      <c r="I318" s="7" t="s">
        <v>59</v>
      </c>
      <c r="J318" s="7" t="s">
        <v>21</v>
      </c>
      <c r="K318" s="7" t="s">
        <v>22</v>
      </c>
      <c r="L318" s="7">
        <v>335.29</v>
      </c>
      <c r="M318" s="7">
        <v>2</v>
      </c>
      <c r="N318" s="7">
        <v>0.11</v>
      </c>
      <c r="O318" s="7">
        <v>76.12</v>
      </c>
      <c r="P318" s="7" t="s">
        <v>23</v>
      </c>
      <c r="Q318" s="7" t="s">
        <v>40</v>
      </c>
      <c r="R318" s="7">
        <v>3</v>
      </c>
      <c r="S318" s="7">
        <f t="shared" si="13"/>
        <v>2025</v>
      </c>
      <c r="T318" s="7" t="str">
        <f t="shared" si="14"/>
        <v>Jan</v>
      </c>
    </row>
    <row r="319" spans="2:20" x14ac:dyDescent="0.3">
      <c r="B319" s="7">
        <v>318</v>
      </c>
      <c r="C319" s="7" t="s">
        <v>941</v>
      </c>
      <c r="D319" s="7" t="s">
        <v>942</v>
      </c>
      <c r="E319" s="7" t="str">
        <f t="shared" si="12"/>
        <v>Apr</v>
      </c>
      <c r="F319" s="7" t="s">
        <v>943</v>
      </c>
      <c r="G319" s="7" t="s">
        <v>102</v>
      </c>
      <c r="H319" s="7" t="s">
        <v>37</v>
      </c>
      <c r="I319" s="7" t="s">
        <v>28</v>
      </c>
      <c r="J319" s="7" t="s">
        <v>66</v>
      </c>
      <c r="K319" s="7" t="s">
        <v>30</v>
      </c>
      <c r="L319" s="7">
        <v>2714.88</v>
      </c>
      <c r="M319" s="7">
        <v>5</v>
      </c>
      <c r="N319" s="7">
        <v>0.11</v>
      </c>
      <c r="O319" s="7">
        <v>655.05999999999995</v>
      </c>
      <c r="P319" s="7" t="s">
        <v>23</v>
      </c>
      <c r="Q319" s="7" t="s">
        <v>77</v>
      </c>
      <c r="R319" s="7">
        <v>4</v>
      </c>
      <c r="S319" s="7">
        <f t="shared" si="13"/>
        <v>2025</v>
      </c>
      <c r="T319" s="7" t="str">
        <f t="shared" si="14"/>
        <v>Apr</v>
      </c>
    </row>
    <row r="320" spans="2:20" x14ac:dyDescent="0.3">
      <c r="B320" s="7">
        <v>319</v>
      </c>
      <c r="C320" s="7" t="s">
        <v>944</v>
      </c>
      <c r="D320" s="7" t="s">
        <v>100</v>
      </c>
      <c r="E320" s="7" t="str">
        <f t="shared" si="12"/>
        <v>Nov</v>
      </c>
      <c r="F320" s="7" t="s">
        <v>945</v>
      </c>
      <c r="G320" s="7" t="s">
        <v>44</v>
      </c>
      <c r="H320" s="7" t="s">
        <v>37</v>
      </c>
      <c r="I320" s="7" t="s">
        <v>52</v>
      </c>
      <c r="J320" s="7" t="s">
        <v>47</v>
      </c>
      <c r="K320" s="7" t="s">
        <v>22</v>
      </c>
      <c r="L320" s="7">
        <v>746.18</v>
      </c>
      <c r="M320" s="7">
        <v>1</v>
      </c>
      <c r="N320" s="7">
        <v>0.19</v>
      </c>
      <c r="O320" s="7">
        <v>152.21</v>
      </c>
      <c r="P320" s="7" t="s">
        <v>31</v>
      </c>
      <c r="Q320" s="7" t="s">
        <v>24</v>
      </c>
      <c r="R320" s="7">
        <v>8</v>
      </c>
      <c r="S320" s="7">
        <f t="shared" si="13"/>
        <v>2024</v>
      </c>
      <c r="T320" s="7" t="str">
        <f t="shared" si="14"/>
        <v>Nov</v>
      </c>
    </row>
    <row r="321" spans="2:20" x14ac:dyDescent="0.3">
      <c r="B321" s="7">
        <v>320</v>
      </c>
      <c r="C321" s="7" t="s">
        <v>946</v>
      </c>
      <c r="D321" s="7" t="s">
        <v>16</v>
      </c>
      <c r="E321" s="7" t="str">
        <f t="shared" si="12"/>
        <v>Nov</v>
      </c>
      <c r="F321" s="7" t="s">
        <v>947</v>
      </c>
      <c r="G321" s="7" t="s">
        <v>18</v>
      </c>
      <c r="H321" s="7" t="s">
        <v>71</v>
      </c>
      <c r="I321" s="7" t="s">
        <v>106</v>
      </c>
      <c r="J321" s="7" t="s">
        <v>47</v>
      </c>
      <c r="K321" s="7" t="s">
        <v>60</v>
      </c>
      <c r="L321" s="7">
        <v>649.25</v>
      </c>
      <c r="M321" s="7">
        <v>2</v>
      </c>
      <c r="N321" s="7">
        <v>0.04</v>
      </c>
      <c r="O321" s="7">
        <v>83.06</v>
      </c>
      <c r="P321" s="7" t="s">
        <v>54</v>
      </c>
      <c r="Q321" s="7" t="s">
        <v>86</v>
      </c>
      <c r="R321" s="7">
        <v>10</v>
      </c>
      <c r="S321" s="7">
        <f t="shared" si="13"/>
        <v>2024</v>
      </c>
      <c r="T321" s="7" t="str">
        <f t="shared" si="14"/>
        <v>Nov</v>
      </c>
    </row>
    <row r="322" spans="2:20" x14ac:dyDescent="0.3">
      <c r="B322" s="7">
        <v>321</v>
      </c>
      <c r="C322" s="7" t="s">
        <v>948</v>
      </c>
      <c r="D322" s="7" t="s">
        <v>949</v>
      </c>
      <c r="E322" s="7" t="str">
        <f t="shared" si="12"/>
        <v>Sep</v>
      </c>
      <c r="F322" s="7" t="s">
        <v>950</v>
      </c>
      <c r="G322" s="7" t="s">
        <v>102</v>
      </c>
      <c r="H322" s="7" t="s">
        <v>58</v>
      </c>
      <c r="I322" s="7" t="s">
        <v>28</v>
      </c>
      <c r="J322" s="7" t="s">
        <v>81</v>
      </c>
      <c r="K322" s="7" t="s">
        <v>30</v>
      </c>
      <c r="L322" s="7">
        <v>3723.26</v>
      </c>
      <c r="M322" s="7">
        <v>4</v>
      </c>
      <c r="N322" s="7">
        <v>0.27</v>
      </c>
      <c r="O322" s="7">
        <v>731.66</v>
      </c>
      <c r="P322" s="7" t="s">
        <v>54</v>
      </c>
      <c r="Q322" s="7" t="s">
        <v>77</v>
      </c>
      <c r="R322" s="7">
        <v>3</v>
      </c>
      <c r="S322" s="7">
        <f t="shared" si="13"/>
        <v>2025</v>
      </c>
      <c r="T322" s="7" t="str">
        <f t="shared" si="14"/>
        <v>Sep</v>
      </c>
    </row>
    <row r="323" spans="2:20" x14ac:dyDescent="0.3">
      <c r="B323" s="7">
        <v>322</v>
      </c>
      <c r="C323" s="7" t="s">
        <v>951</v>
      </c>
      <c r="D323" s="7" t="s">
        <v>617</v>
      </c>
      <c r="E323" s="7" t="str">
        <f t="shared" ref="E323:E386" si="15">TEXT(D323,"mmm")</f>
        <v>Apr</v>
      </c>
      <c r="F323" s="7" t="s">
        <v>952</v>
      </c>
      <c r="G323" s="7" t="s">
        <v>102</v>
      </c>
      <c r="H323" s="7" t="s">
        <v>45</v>
      </c>
      <c r="I323" s="7" t="s">
        <v>38</v>
      </c>
      <c r="J323" s="7" t="s">
        <v>81</v>
      </c>
      <c r="K323" s="7" t="s">
        <v>82</v>
      </c>
      <c r="L323" s="7">
        <v>1403.88</v>
      </c>
      <c r="M323" s="7">
        <v>3</v>
      </c>
      <c r="N323" s="7">
        <v>0.27</v>
      </c>
      <c r="O323" s="7">
        <v>336.03</v>
      </c>
      <c r="P323" s="7" t="s">
        <v>31</v>
      </c>
      <c r="Q323" s="7" t="s">
        <v>40</v>
      </c>
      <c r="R323" s="7">
        <v>10</v>
      </c>
      <c r="S323" s="7">
        <f t="shared" ref="S323:S386" si="16">YEAR(D323)</f>
        <v>2024</v>
      </c>
      <c r="T323" s="7" t="str">
        <f t="shared" ref="T323:T386" si="17">TEXT(D323,"mmm")</f>
        <v>Apr</v>
      </c>
    </row>
    <row r="324" spans="2:20" x14ac:dyDescent="0.3">
      <c r="B324" s="7">
        <v>323</v>
      </c>
      <c r="C324" s="7" t="s">
        <v>953</v>
      </c>
      <c r="D324" s="7" t="s">
        <v>954</v>
      </c>
      <c r="E324" s="7" t="str">
        <f t="shared" si="15"/>
        <v>Oct</v>
      </c>
      <c r="F324" s="7" t="s">
        <v>955</v>
      </c>
      <c r="G324" s="7" t="s">
        <v>64</v>
      </c>
      <c r="H324" s="7" t="s">
        <v>71</v>
      </c>
      <c r="I324" s="7" t="s">
        <v>28</v>
      </c>
      <c r="J324" s="7" t="s">
        <v>47</v>
      </c>
      <c r="K324" s="7" t="s">
        <v>22</v>
      </c>
      <c r="L324" s="7">
        <v>3692.75</v>
      </c>
      <c r="M324" s="7">
        <v>5</v>
      </c>
      <c r="N324" s="7">
        <v>0.1</v>
      </c>
      <c r="O324" s="7">
        <v>571.14</v>
      </c>
      <c r="P324" s="7" t="s">
        <v>54</v>
      </c>
      <c r="Q324" s="7" t="s">
        <v>24</v>
      </c>
      <c r="R324" s="7">
        <v>7</v>
      </c>
      <c r="S324" s="7">
        <f t="shared" si="16"/>
        <v>2024</v>
      </c>
      <c r="T324" s="7" t="str">
        <f t="shared" si="17"/>
        <v>Oct</v>
      </c>
    </row>
    <row r="325" spans="2:20" x14ac:dyDescent="0.3">
      <c r="B325" s="7">
        <v>324</v>
      </c>
      <c r="C325" s="7" t="s">
        <v>956</v>
      </c>
      <c r="D325" s="7" t="s">
        <v>957</v>
      </c>
      <c r="E325" s="7" t="str">
        <f t="shared" si="15"/>
        <v>Jan</v>
      </c>
      <c r="F325" s="7" t="s">
        <v>958</v>
      </c>
      <c r="G325" s="7" t="s">
        <v>18</v>
      </c>
      <c r="H325" s="7" t="s">
        <v>71</v>
      </c>
      <c r="I325" s="7" t="s">
        <v>52</v>
      </c>
      <c r="J325" s="7" t="s">
        <v>29</v>
      </c>
      <c r="K325" s="7" t="s">
        <v>22</v>
      </c>
      <c r="L325" s="7">
        <v>313.26</v>
      </c>
      <c r="M325" s="7">
        <v>1</v>
      </c>
      <c r="N325" s="7">
        <v>0.14000000000000001</v>
      </c>
      <c r="O325" s="7">
        <v>90.08</v>
      </c>
      <c r="P325" s="7" t="s">
        <v>31</v>
      </c>
      <c r="Q325" s="7" t="s">
        <v>86</v>
      </c>
      <c r="R325" s="7">
        <v>8</v>
      </c>
      <c r="S325" s="7">
        <f t="shared" si="16"/>
        <v>2025</v>
      </c>
      <c r="T325" s="7" t="str">
        <f t="shared" si="17"/>
        <v>Jan</v>
      </c>
    </row>
    <row r="326" spans="2:20" x14ac:dyDescent="0.3">
      <c r="B326" s="7">
        <v>325</v>
      </c>
      <c r="C326" s="7" t="s">
        <v>959</v>
      </c>
      <c r="D326" s="7" t="s">
        <v>960</v>
      </c>
      <c r="E326" s="7" t="str">
        <f t="shared" si="15"/>
        <v>Jan</v>
      </c>
      <c r="F326" s="7" t="s">
        <v>961</v>
      </c>
      <c r="G326" s="7" t="s">
        <v>44</v>
      </c>
      <c r="H326" s="7" t="s">
        <v>37</v>
      </c>
      <c r="I326" s="7" t="s">
        <v>46</v>
      </c>
      <c r="J326" s="7" t="s">
        <v>21</v>
      </c>
      <c r="K326" s="7" t="s">
        <v>60</v>
      </c>
      <c r="L326" s="7">
        <v>2037</v>
      </c>
      <c r="M326" s="7">
        <v>4</v>
      </c>
      <c r="N326" s="7">
        <v>0.05</v>
      </c>
      <c r="O326" s="7">
        <v>638.62</v>
      </c>
      <c r="P326" s="7" t="s">
        <v>23</v>
      </c>
      <c r="Q326" s="7" t="s">
        <v>32</v>
      </c>
      <c r="R326" s="7">
        <v>3</v>
      </c>
      <c r="S326" s="7">
        <f t="shared" si="16"/>
        <v>2025</v>
      </c>
      <c r="T326" s="7" t="str">
        <f t="shared" si="17"/>
        <v>Jan</v>
      </c>
    </row>
    <row r="327" spans="2:20" x14ac:dyDescent="0.3">
      <c r="B327" s="7">
        <v>326</v>
      </c>
      <c r="C327" s="7" t="s">
        <v>962</v>
      </c>
      <c r="D327" s="7" t="s">
        <v>963</v>
      </c>
      <c r="E327" s="7" t="str">
        <f t="shared" si="15"/>
        <v>Dec</v>
      </c>
      <c r="F327" s="7" t="s">
        <v>964</v>
      </c>
      <c r="G327" s="7" t="s">
        <v>44</v>
      </c>
      <c r="H327" s="7" t="s">
        <v>51</v>
      </c>
      <c r="I327" s="7" t="s">
        <v>46</v>
      </c>
      <c r="J327" s="7" t="s">
        <v>29</v>
      </c>
      <c r="K327" s="7" t="s">
        <v>67</v>
      </c>
      <c r="L327" s="7">
        <v>2057.8000000000002</v>
      </c>
      <c r="M327" s="7">
        <v>3</v>
      </c>
      <c r="N327" s="7">
        <v>0.04</v>
      </c>
      <c r="O327" s="7">
        <v>296.93</v>
      </c>
      <c r="P327" s="7" t="s">
        <v>54</v>
      </c>
      <c r="Q327" s="7" t="s">
        <v>24</v>
      </c>
      <c r="R327" s="7">
        <v>9</v>
      </c>
      <c r="S327" s="7">
        <f t="shared" si="16"/>
        <v>2025</v>
      </c>
      <c r="T327" s="7" t="str">
        <f t="shared" si="17"/>
        <v>Dec</v>
      </c>
    </row>
    <row r="328" spans="2:20" x14ac:dyDescent="0.3">
      <c r="B328" s="7">
        <v>327</v>
      </c>
      <c r="C328" s="7" t="s">
        <v>965</v>
      </c>
      <c r="D328" s="7" t="s">
        <v>966</v>
      </c>
      <c r="E328" s="7" t="str">
        <f t="shared" si="15"/>
        <v>Sep</v>
      </c>
      <c r="F328" s="7" t="s">
        <v>967</v>
      </c>
      <c r="G328" s="7" t="s">
        <v>18</v>
      </c>
      <c r="H328" s="7" t="s">
        <v>58</v>
      </c>
      <c r="I328" s="7" t="s">
        <v>38</v>
      </c>
      <c r="J328" s="7" t="s">
        <v>81</v>
      </c>
      <c r="K328" s="7" t="s">
        <v>76</v>
      </c>
      <c r="L328" s="7">
        <v>924.12</v>
      </c>
      <c r="M328" s="7">
        <v>1</v>
      </c>
      <c r="N328" s="7">
        <v>0.16</v>
      </c>
      <c r="O328" s="7">
        <v>288.01</v>
      </c>
      <c r="P328" s="7" t="s">
        <v>31</v>
      </c>
      <c r="Q328" s="7" t="s">
        <v>40</v>
      </c>
      <c r="R328" s="7">
        <v>6</v>
      </c>
      <c r="S328" s="7">
        <f t="shared" si="16"/>
        <v>2024</v>
      </c>
      <c r="T328" s="7" t="str">
        <f t="shared" si="17"/>
        <v>Sep</v>
      </c>
    </row>
    <row r="329" spans="2:20" x14ac:dyDescent="0.3">
      <c r="B329" s="7">
        <v>328</v>
      </c>
      <c r="C329" s="7" t="s">
        <v>968</v>
      </c>
      <c r="D329" s="7" t="s">
        <v>88</v>
      </c>
      <c r="E329" s="7" t="str">
        <f t="shared" si="15"/>
        <v>Aug</v>
      </c>
      <c r="F329" s="7" t="s">
        <v>969</v>
      </c>
      <c r="G329" s="7" t="s">
        <v>18</v>
      </c>
      <c r="H329" s="7" t="s">
        <v>58</v>
      </c>
      <c r="I329" s="7" t="s">
        <v>38</v>
      </c>
      <c r="J329" s="7" t="s">
        <v>66</v>
      </c>
      <c r="K329" s="7" t="s">
        <v>72</v>
      </c>
      <c r="L329" s="7">
        <v>2207.12</v>
      </c>
      <c r="M329" s="7">
        <v>3</v>
      </c>
      <c r="N329" s="7">
        <v>0.26</v>
      </c>
      <c r="O329" s="7">
        <v>283.18</v>
      </c>
      <c r="P329" s="7" t="s">
        <v>31</v>
      </c>
      <c r="Q329" s="7" t="s">
        <v>77</v>
      </c>
      <c r="R329" s="7">
        <v>8</v>
      </c>
      <c r="S329" s="7">
        <f t="shared" si="16"/>
        <v>2024</v>
      </c>
      <c r="T329" s="7" t="str">
        <f t="shared" si="17"/>
        <v>Aug</v>
      </c>
    </row>
    <row r="330" spans="2:20" x14ac:dyDescent="0.3">
      <c r="B330" s="7">
        <v>329</v>
      </c>
      <c r="C330" s="7" t="s">
        <v>970</v>
      </c>
      <c r="D330" s="7" t="s">
        <v>788</v>
      </c>
      <c r="E330" s="7" t="str">
        <f t="shared" si="15"/>
        <v>Dec</v>
      </c>
      <c r="F330" s="7" t="s">
        <v>971</v>
      </c>
      <c r="G330" s="7" t="s">
        <v>102</v>
      </c>
      <c r="H330" s="7" t="s">
        <v>71</v>
      </c>
      <c r="I330" s="7" t="s">
        <v>116</v>
      </c>
      <c r="J330" s="7" t="s">
        <v>66</v>
      </c>
      <c r="K330" s="7" t="s">
        <v>76</v>
      </c>
      <c r="L330" s="7">
        <v>42.05</v>
      </c>
      <c r="M330" s="7">
        <v>2</v>
      </c>
      <c r="N330" s="7">
        <v>0.2</v>
      </c>
      <c r="O330" s="7">
        <v>14.55</v>
      </c>
      <c r="P330" s="7" t="s">
        <v>23</v>
      </c>
      <c r="Q330" s="7" t="s">
        <v>32</v>
      </c>
      <c r="R330" s="7">
        <v>8</v>
      </c>
      <c r="S330" s="7">
        <f t="shared" si="16"/>
        <v>2024</v>
      </c>
      <c r="T330" s="7" t="str">
        <f t="shared" si="17"/>
        <v>Dec</v>
      </c>
    </row>
    <row r="331" spans="2:20" x14ac:dyDescent="0.3">
      <c r="B331" s="7">
        <v>330</v>
      </c>
      <c r="C331" s="7" t="s">
        <v>972</v>
      </c>
      <c r="D331" s="7" t="s">
        <v>136</v>
      </c>
      <c r="E331" s="7" t="str">
        <f t="shared" si="15"/>
        <v>May</v>
      </c>
      <c r="F331" s="7" t="s">
        <v>973</v>
      </c>
      <c r="G331" s="7" t="s">
        <v>44</v>
      </c>
      <c r="H331" s="7" t="s">
        <v>45</v>
      </c>
      <c r="I331" s="7" t="s">
        <v>38</v>
      </c>
      <c r="J331" s="7" t="s">
        <v>21</v>
      </c>
      <c r="K331" s="7" t="s">
        <v>30</v>
      </c>
      <c r="L331" s="7">
        <v>665.83</v>
      </c>
      <c r="M331" s="7">
        <v>2</v>
      </c>
      <c r="N331" s="7">
        <v>0.09</v>
      </c>
      <c r="O331" s="7">
        <v>142.71</v>
      </c>
      <c r="P331" s="7" t="s">
        <v>23</v>
      </c>
      <c r="Q331" s="7" t="s">
        <v>77</v>
      </c>
      <c r="R331" s="7">
        <v>7</v>
      </c>
      <c r="S331" s="7">
        <f t="shared" si="16"/>
        <v>2024</v>
      </c>
      <c r="T331" s="7" t="str">
        <f t="shared" si="17"/>
        <v>May</v>
      </c>
    </row>
    <row r="332" spans="2:20" x14ac:dyDescent="0.3">
      <c r="B332" s="7">
        <v>331</v>
      </c>
      <c r="C332" s="7" t="s">
        <v>974</v>
      </c>
      <c r="D332" s="7" t="s">
        <v>768</v>
      </c>
      <c r="E332" s="7" t="str">
        <f t="shared" si="15"/>
        <v>Jan</v>
      </c>
      <c r="F332" s="7" t="s">
        <v>975</v>
      </c>
      <c r="G332" s="7" t="s">
        <v>36</v>
      </c>
      <c r="H332" s="7" t="s">
        <v>37</v>
      </c>
      <c r="I332" s="7" t="s">
        <v>116</v>
      </c>
      <c r="J332" s="7" t="s">
        <v>66</v>
      </c>
      <c r="K332" s="7" t="s">
        <v>22</v>
      </c>
      <c r="L332" s="7">
        <v>1821.38</v>
      </c>
      <c r="M332" s="7">
        <v>2</v>
      </c>
      <c r="N332" s="7">
        <v>0.3</v>
      </c>
      <c r="O332" s="7">
        <v>349.87</v>
      </c>
      <c r="P332" s="7" t="s">
        <v>23</v>
      </c>
      <c r="Q332" s="7" t="s">
        <v>24</v>
      </c>
      <c r="R332" s="7">
        <v>5</v>
      </c>
      <c r="S332" s="7">
        <f t="shared" si="16"/>
        <v>2025</v>
      </c>
      <c r="T332" s="7" t="str">
        <f t="shared" si="17"/>
        <v>Jan</v>
      </c>
    </row>
    <row r="333" spans="2:20" x14ac:dyDescent="0.3">
      <c r="B333" s="7">
        <v>332</v>
      </c>
      <c r="C333" s="7" t="s">
        <v>976</v>
      </c>
      <c r="D333" s="7" t="s">
        <v>785</v>
      </c>
      <c r="E333" s="7" t="str">
        <f t="shared" si="15"/>
        <v>Mar</v>
      </c>
      <c r="F333" s="7" t="s">
        <v>977</v>
      </c>
      <c r="G333" s="7" t="s">
        <v>44</v>
      </c>
      <c r="H333" s="7" t="s">
        <v>71</v>
      </c>
      <c r="I333" s="7" t="s">
        <v>38</v>
      </c>
      <c r="J333" s="7" t="s">
        <v>81</v>
      </c>
      <c r="K333" s="7" t="s">
        <v>82</v>
      </c>
      <c r="L333" s="7">
        <v>412.74</v>
      </c>
      <c r="M333" s="7">
        <v>1</v>
      </c>
      <c r="N333" s="7">
        <v>0.3</v>
      </c>
      <c r="O333" s="7">
        <v>53.65</v>
      </c>
      <c r="P333" s="7" t="s">
        <v>23</v>
      </c>
      <c r="Q333" s="7" t="s">
        <v>24</v>
      </c>
      <c r="R333" s="7">
        <v>1</v>
      </c>
      <c r="S333" s="7">
        <f t="shared" si="16"/>
        <v>2025</v>
      </c>
      <c r="T333" s="7" t="str">
        <f t="shared" si="17"/>
        <v>Mar</v>
      </c>
    </row>
    <row r="334" spans="2:20" x14ac:dyDescent="0.3">
      <c r="B334" s="7">
        <v>333</v>
      </c>
      <c r="C334" s="7" t="s">
        <v>978</v>
      </c>
      <c r="D334" s="7" t="s">
        <v>979</v>
      </c>
      <c r="E334" s="7" t="str">
        <f t="shared" si="15"/>
        <v>Jul</v>
      </c>
      <c r="F334" s="7" t="s">
        <v>980</v>
      </c>
      <c r="G334" s="7" t="s">
        <v>44</v>
      </c>
      <c r="H334" s="7" t="s">
        <v>58</v>
      </c>
      <c r="I334" s="7" t="s">
        <v>52</v>
      </c>
      <c r="J334" s="7" t="s">
        <v>66</v>
      </c>
      <c r="K334" s="7" t="s">
        <v>53</v>
      </c>
      <c r="L334" s="7">
        <v>207.55</v>
      </c>
      <c r="M334" s="7">
        <v>1</v>
      </c>
      <c r="N334" s="7">
        <v>0.13</v>
      </c>
      <c r="O334" s="7">
        <v>52.02</v>
      </c>
      <c r="P334" s="7" t="s">
        <v>23</v>
      </c>
      <c r="Q334" s="7" t="s">
        <v>86</v>
      </c>
      <c r="R334" s="7">
        <v>10</v>
      </c>
      <c r="S334" s="7">
        <f t="shared" si="16"/>
        <v>2024</v>
      </c>
      <c r="T334" s="7" t="str">
        <f t="shared" si="17"/>
        <v>Jul</v>
      </c>
    </row>
    <row r="335" spans="2:20" x14ac:dyDescent="0.3">
      <c r="B335" s="7">
        <v>334</v>
      </c>
      <c r="C335" s="7" t="s">
        <v>981</v>
      </c>
      <c r="D335" s="7" t="s">
        <v>982</v>
      </c>
      <c r="E335" s="7" t="str">
        <f t="shared" si="15"/>
        <v>Apr</v>
      </c>
      <c r="F335" s="7" t="s">
        <v>983</v>
      </c>
      <c r="G335" s="7" t="s">
        <v>102</v>
      </c>
      <c r="H335" s="7" t="s">
        <v>45</v>
      </c>
      <c r="I335" s="7" t="s">
        <v>38</v>
      </c>
      <c r="J335" s="7" t="s">
        <v>66</v>
      </c>
      <c r="K335" s="7" t="s">
        <v>39</v>
      </c>
      <c r="L335" s="7">
        <v>2773.41</v>
      </c>
      <c r="M335" s="7">
        <v>3</v>
      </c>
      <c r="N335" s="7">
        <v>0.25</v>
      </c>
      <c r="O335" s="7">
        <v>606.49</v>
      </c>
      <c r="P335" s="7" t="s">
        <v>54</v>
      </c>
      <c r="Q335" s="7" t="s">
        <v>86</v>
      </c>
      <c r="R335" s="7">
        <v>9</v>
      </c>
      <c r="S335" s="7">
        <f t="shared" si="16"/>
        <v>2025</v>
      </c>
      <c r="T335" s="7" t="str">
        <f t="shared" si="17"/>
        <v>Apr</v>
      </c>
    </row>
    <row r="336" spans="2:20" x14ac:dyDescent="0.3">
      <c r="B336" s="7">
        <v>335</v>
      </c>
      <c r="C336" s="7" t="s">
        <v>984</v>
      </c>
      <c r="D336" s="7" t="s">
        <v>985</v>
      </c>
      <c r="E336" s="7" t="str">
        <f t="shared" si="15"/>
        <v>Jul</v>
      </c>
      <c r="F336" s="7" t="s">
        <v>986</v>
      </c>
      <c r="G336" s="7" t="s">
        <v>44</v>
      </c>
      <c r="H336" s="7" t="s">
        <v>19</v>
      </c>
      <c r="I336" s="7" t="s">
        <v>20</v>
      </c>
      <c r="J336" s="7" t="s">
        <v>47</v>
      </c>
      <c r="K336" s="7" t="s">
        <v>30</v>
      </c>
      <c r="L336" s="7">
        <v>1361.29</v>
      </c>
      <c r="M336" s="7">
        <v>5</v>
      </c>
      <c r="N336" s="7">
        <v>0.21</v>
      </c>
      <c r="O336" s="7">
        <v>389.42</v>
      </c>
      <c r="P336" s="7" t="s">
        <v>23</v>
      </c>
      <c r="Q336" s="7" t="s">
        <v>32</v>
      </c>
      <c r="R336" s="7">
        <v>5</v>
      </c>
      <c r="S336" s="7">
        <f t="shared" si="16"/>
        <v>2024</v>
      </c>
      <c r="T336" s="7" t="str">
        <f t="shared" si="17"/>
        <v>Jul</v>
      </c>
    </row>
    <row r="337" spans="2:20" x14ac:dyDescent="0.3">
      <c r="B337" s="7">
        <v>336</v>
      </c>
      <c r="C337" s="7" t="s">
        <v>987</v>
      </c>
      <c r="D337" s="7" t="s">
        <v>988</v>
      </c>
      <c r="E337" s="7" t="str">
        <f t="shared" si="15"/>
        <v>Mar</v>
      </c>
      <c r="F337" s="7" t="s">
        <v>989</v>
      </c>
      <c r="G337" s="7" t="s">
        <v>64</v>
      </c>
      <c r="H337" s="7" t="s">
        <v>65</v>
      </c>
      <c r="I337" s="7" t="s">
        <v>52</v>
      </c>
      <c r="J337" s="7" t="s">
        <v>81</v>
      </c>
      <c r="K337" s="7" t="s">
        <v>22</v>
      </c>
      <c r="L337" s="7">
        <v>403.48</v>
      </c>
      <c r="M337" s="7">
        <v>1</v>
      </c>
      <c r="N337" s="7">
        <v>0.14000000000000001</v>
      </c>
      <c r="O337" s="7">
        <v>49.59</v>
      </c>
      <c r="P337" s="7" t="s">
        <v>54</v>
      </c>
      <c r="Q337" s="7" t="s">
        <v>40</v>
      </c>
      <c r="R337" s="7">
        <v>2</v>
      </c>
      <c r="S337" s="7">
        <f t="shared" si="16"/>
        <v>2024</v>
      </c>
      <c r="T337" s="7" t="str">
        <f t="shared" si="17"/>
        <v>Mar</v>
      </c>
    </row>
    <row r="338" spans="2:20" x14ac:dyDescent="0.3">
      <c r="B338" s="7">
        <v>337</v>
      </c>
      <c r="C338" s="7" t="s">
        <v>990</v>
      </c>
      <c r="D338" s="7" t="s">
        <v>991</v>
      </c>
      <c r="E338" s="7" t="str">
        <f t="shared" si="15"/>
        <v>Mar</v>
      </c>
      <c r="F338" s="7" t="s">
        <v>992</v>
      </c>
      <c r="G338" s="7" t="s">
        <v>102</v>
      </c>
      <c r="H338" s="7" t="s">
        <v>37</v>
      </c>
      <c r="I338" s="7" t="s">
        <v>52</v>
      </c>
      <c r="J338" s="7" t="s">
        <v>21</v>
      </c>
      <c r="K338" s="7" t="s">
        <v>39</v>
      </c>
      <c r="L338" s="7">
        <v>894.19</v>
      </c>
      <c r="M338" s="7">
        <v>4</v>
      </c>
      <c r="N338" s="7">
        <v>0.14000000000000001</v>
      </c>
      <c r="O338" s="7">
        <v>235.18</v>
      </c>
      <c r="P338" s="7" t="s">
        <v>23</v>
      </c>
      <c r="Q338" s="7" t="s">
        <v>32</v>
      </c>
      <c r="R338" s="7">
        <v>2</v>
      </c>
      <c r="S338" s="7">
        <f t="shared" si="16"/>
        <v>2025</v>
      </c>
      <c r="T338" s="7" t="str">
        <f t="shared" si="17"/>
        <v>Mar</v>
      </c>
    </row>
    <row r="339" spans="2:20" x14ac:dyDescent="0.3">
      <c r="B339" s="7">
        <v>338</v>
      </c>
      <c r="C339" s="7" t="s">
        <v>993</v>
      </c>
      <c r="D339" s="7" t="s">
        <v>994</v>
      </c>
      <c r="E339" s="7" t="str">
        <f t="shared" si="15"/>
        <v>Jul</v>
      </c>
      <c r="F339" s="7" t="s">
        <v>995</v>
      </c>
      <c r="G339" s="7" t="s">
        <v>64</v>
      </c>
      <c r="H339" s="7" t="s">
        <v>58</v>
      </c>
      <c r="I339" s="7" t="s">
        <v>46</v>
      </c>
      <c r="J339" s="7" t="s">
        <v>29</v>
      </c>
      <c r="K339" s="7" t="s">
        <v>82</v>
      </c>
      <c r="L339" s="7">
        <v>481.46</v>
      </c>
      <c r="M339" s="7">
        <v>1</v>
      </c>
      <c r="N339" s="7">
        <v>0.06</v>
      </c>
      <c r="O339" s="7">
        <v>71.41</v>
      </c>
      <c r="P339" s="7" t="s">
        <v>54</v>
      </c>
      <c r="Q339" s="7" t="s">
        <v>24</v>
      </c>
      <c r="R339" s="7">
        <v>8</v>
      </c>
      <c r="S339" s="7">
        <f t="shared" si="16"/>
        <v>2025</v>
      </c>
      <c r="T339" s="7" t="str">
        <f t="shared" si="17"/>
        <v>Jul</v>
      </c>
    </row>
    <row r="340" spans="2:20" x14ac:dyDescent="0.3">
      <c r="B340" s="7">
        <v>339</v>
      </c>
      <c r="C340" s="7" t="s">
        <v>996</v>
      </c>
      <c r="D340" s="7" t="s">
        <v>997</v>
      </c>
      <c r="E340" s="7" t="str">
        <f t="shared" si="15"/>
        <v>Feb</v>
      </c>
      <c r="F340" s="7" t="s">
        <v>998</v>
      </c>
      <c r="G340" s="7" t="s">
        <v>64</v>
      </c>
      <c r="H340" s="7" t="s">
        <v>51</v>
      </c>
      <c r="I340" s="7" t="s">
        <v>38</v>
      </c>
      <c r="J340" s="7" t="s">
        <v>81</v>
      </c>
      <c r="K340" s="7" t="s">
        <v>67</v>
      </c>
      <c r="L340" s="7">
        <v>1246.97</v>
      </c>
      <c r="M340" s="7">
        <v>5</v>
      </c>
      <c r="N340" s="7">
        <v>0.28000000000000003</v>
      </c>
      <c r="O340" s="7">
        <v>288.26</v>
      </c>
      <c r="P340" s="7" t="s">
        <v>31</v>
      </c>
      <c r="Q340" s="7" t="s">
        <v>77</v>
      </c>
      <c r="R340" s="7">
        <v>4</v>
      </c>
      <c r="S340" s="7">
        <f t="shared" si="16"/>
        <v>2024</v>
      </c>
      <c r="T340" s="7" t="str">
        <f t="shared" si="17"/>
        <v>Feb</v>
      </c>
    </row>
    <row r="341" spans="2:20" x14ac:dyDescent="0.3">
      <c r="B341" s="7">
        <v>340</v>
      </c>
      <c r="C341" s="7" t="s">
        <v>999</v>
      </c>
      <c r="D341" s="7" t="s">
        <v>1000</v>
      </c>
      <c r="E341" s="7" t="str">
        <f t="shared" si="15"/>
        <v>Jun</v>
      </c>
      <c r="F341" s="7" t="s">
        <v>1001</v>
      </c>
      <c r="G341" s="7" t="s">
        <v>102</v>
      </c>
      <c r="H341" s="7" t="s">
        <v>71</v>
      </c>
      <c r="I341" s="7" t="s">
        <v>46</v>
      </c>
      <c r="J341" s="7" t="s">
        <v>66</v>
      </c>
      <c r="K341" s="7" t="s">
        <v>30</v>
      </c>
      <c r="L341" s="7">
        <v>52.29</v>
      </c>
      <c r="M341" s="7">
        <v>1</v>
      </c>
      <c r="N341" s="7">
        <v>0.26</v>
      </c>
      <c r="O341" s="7">
        <v>6.94</v>
      </c>
      <c r="P341" s="7" t="s">
        <v>23</v>
      </c>
      <c r="Q341" s="7" t="s">
        <v>86</v>
      </c>
      <c r="R341" s="7">
        <v>10</v>
      </c>
      <c r="S341" s="7">
        <f t="shared" si="16"/>
        <v>2024</v>
      </c>
      <c r="T341" s="7" t="str">
        <f t="shared" si="17"/>
        <v>Jun</v>
      </c>
    </row>
    <row r="342" spans="2:20" x14ac:dyDescent="0.3">
      <c r="B342" s="7">
        <v>341</v>
      </c>
      <c r="C342" s="7" t="s">
        <v>1002</v>
      </c>
      <c r="D342" s="7" t="s">
        <v>1003</v>
      </c>
      <c r="E342" s="7" t="str">
        <f t="shared" si="15"/>
        <v>Mar</v>
      </c>
      <c r="F342" s="7" t="s">
        <v>1004</v>
      </c>
      <c r="G342" s="7" t="s">
        <v>18</v>
      </c>
      <c r="H342" s="7" t="s">
        <v>51</v>
      </c>
      <c r="I342" s="7" t="s">
        <v>52</v>
      </c>
      <c r="J342" s="7" t="s">
        <v>66</v>
      </c>
      <c r="K342" s="7" t="s">
        <v>53</v>
      </c>
      <c r="L342" s="7">
        <v>1231.67</v>
      </c>
      <c r="M342" s="7">
        <v>5</v>
      </c>
      <c r="N342" s="7">
        <v>0.2</v>
      </c>
      <c r="O342" s="7">
        <v>369.55</v>
      </c>
      <c r="P342" s="7" t="s">
        <v>31</v>
      </c>
      <c r="Q342" s="7" t="s">
        <v>77</v>
      </c>
      <c r="R342" s="7">
        <v>6</v>
      </c>
      <c r="S342" s="7">
        <f t="shared" si="16"/>
        <v>2025</v>
      </c>
      <c r="T342" s="7" t="str">
        <f t="shared" si="17"/>
        <v>Mar</v>
      </c>
    </row>
    <row r="343" spans="2:20" x14ac:dyDescent="0.3">
      <c r="B343" s="7">
        <v>342</v>
      </c>
      <c r="C343" s="7" t="s">
        <v>1005</v>
      </c>
      <c r="D343" s="7" t="s">
        <v>1006</v>
      </c>
      <c r="E343" s="7" t="str">
        <f t="shared" si="15"/>
        <v>Oct</v>
      </c>
      <c r="F343" s="7" t="s">
        <v>1007</v>
      </c>
      <c r="G343" s="7" t="s">
        <v>102</v>
      </c>
      <c r="H343" s="7" t="s">
        <v>58</v>
      </c>
      <c r="I343" s="7" t="s">
        <v>52</v>
      </c>
      <c r="J343" s="7" t="s">
        <v>21</v>
      </c>
      <c r="K343" s="7" t="s">
        <v>22</v>
      </c>
      <c r="L343" s="7">
        <v>963.7</v>
      </c>
      <c r="M343" s="7">
        <v>2</v>
      </c>
      <c r="N343" s="7">
        <v>7.0000000000000007E-2</v>
      </c>
      <c r="O343" s="7">
        <v>231.47</v>
      </c>
      <c r="P343" s="7" t="s">
        <v>23</v>
      </c>
      <c r="Q343" s="7" t="s">
        <v>32</v>
      </c>
      <c r="R343" s="7">
        <v>10</v>
      </c>
      <c r="S343" s="7">
        <f t="shared" si="16"/>
        <v>2024</v>
      </c>
      <c r="T343" s="7" t="str">
        <f t="shared" si="17"/>
        <v>Oct</v>
      </c>
    </row>
    <row r="344" spans="2:20" x14ac:dyDescent="0.3">
      <c r="B344" s="7">
        <v>343</v>
      </c>
      <c r="C344" s="7" t="s">
        <v>1008</v>
      </c>
      <c r="D344" s="7" t="s">
        <v>1009</v>
      </c>
      <c r="E344" s="7" t="str">
        <f t="shared" si="15"/>
        <v>Apr</v>
      </c>
      <c r="F344" s="7" t="s">
        <v>1010</v>
      </c>
      <c r="G344" s="7" t="s">
        <v>102</v>
      </c>
      <c r="H344" s="7" t="s">
        <v>58</v>
      </c>
      <c r="I344" s="7" t="s">
        <v>38</v>
      </c>
      <c r="J344" s="7" t="s">
        <v>21</v>
      </c>
      <c r="K344" s="7" t="s">
        <v>82</v>
      </c>
      <c r="L344" s="7">
        <v>1212.55</v>
      </c>
      <c r="M344" s="7">
        <v>3</v>
      </c>
      <c r="N344" s="7">
        <v>0.14000000000000001</v>
      </c>
      <c r="O344" s="7">
        <v>181.5</v>
      </c>
      <c r="P344" s="7" t="s">
        <v>23</v>
      </c>
      <c r="Q344" s="7" t="s">
        <v>77</v>
      </c>
      <c r="R344" s="7">
        <v>8</v>
      </c>
      <c r="S344" s="7">
        <f t="shared" si="16"/>
        <v>2024</v>
      </c>
      <c r="T344" s="7" t="str">
        <f t="shared" si="17"/>
        <v>Apr</v>
      </c>
    </row>
    <row r="345" spans="2:20" x14ac:dyDescent="0.3">
      <c r="B345" s="7">
        <v>344</v>
      </c>
      <c r="C345" s="7" t="s">
        <v>1011</v>
      </c>
      <c r="D345" s="7" t="s">
        <v>1012</v>
      </c>
      <c r="E345" s="7" t="str">
        <f t="shared" si="15"/>
        <v>Jun</v>
      </c>
      <c r="F345" s="7" t="s">
        <v>1013</v>
      </c>
      <c r="G345" s="7" t="s">
        <v>18</v>
      </c>
      <c r="H345" s="7" t="s">
        <v>71</v>
      </c>
      <c r="I345" s="7" t="s">
        <v>116</v>
      </c>
      <c r="J345" s="7" t="s">
        <v>21</v>
      </c>
      <c r="K345" s="7" t="s">
        <v>60</v>
      </c>
      <c r="L345" s="7">
        <v>651.36</v>
      </c>
      <c r="M345" s="7">
        <v>2</v>
      </c>
      <c r="N345" s="7">
        <v>0.06</v>
      </c>
      <c r="O345" s="7">
        <v>156.01</v>
      </c>
      <c r="P345" s="7" t="s">
        <v>23</v>
      </c>
      <c r="Q345" s="7" t="s">
        <v>32</v>
      </c>
      <c r="R345" s="7">
        <v>10</v>
      </c>
      <c r="S345" s="7">
        <f t="shared" si="16"/>
        <v>2025</v>
      </c>
      <c r="T345" s="7" t="str">
        <f t="shared" si="17"/>
        <v>Jun</v>
      </c>
    </row>
    <row r="346" spans="2:20" x14ac:dyDescent="0.3">
      <c r="B346" s="7">
        <v>345</v>
      </c>
      <c r="C346" s="7" t="s">
        <v>1014</v>
      </c>
      <c r="D346" s="7" t="s">
        <v>572</v>
      </c>
      <c r="E346" s="7" t="str">
        <f t="shared" si="15"/>
        <v>Sep</v>
      </c>
      <c r="F346" s="7" t="s">
        <v>1015</v>
      </c>
      <c r="G346" s="7" t="s">
        <v>64</v>
      </c>
      <c r="H346" s="7" t="s">
        <v>45</v>
      </c>
      <c r="I346" s="7" t="s">
        <v>20</v>
      </c>
      <c r="J346" s="7" t="s">
        <v>66</v>
      </c>
      <c r="K346" s="7" t="s">
        <v>72</v>
      </c>
      <c r="L346" s="7">
        <v>1049.44</v>
      </c>
      <c r="M346" s="7">
        <v>3</v>
      </c>
      <c r="N346" s="7">
        <v>0.23</v>
      </c>
      <c r="O346" s="7">
        <v>363.87</v>
      </c>
      <c r="P346" s="7" t="s">
        <v>23</v>
      </c>
      <c r="Q346" s="7" t="s">
        <v>40</v>
      </c>
      <c r="R346" s="7">
        <v>2</v>
      </c>
      <c r="S346" s="7">
        <f t="shared" si="16"/>
        <v>2024</v>
      </c>
      <c r="T346" s="7" t="str">
        <f t="shared" si="17"/>
        <v>Sep</v>
      </c>
    </row>
    <row r="347" spans="2:20" x14ac:dyDescent="0.3">
      <c r="B347" s="7">
        <v>346</v>
      </c>
      <c r="C347" s="7" t="s">
        <v>1016</v>
      </c>
      <c r="D347" s="7" t="s">
        <v>1017</v>
      </c>
      <c r="E347" s="7" t="str">
        <f t="shared" si="15"/>
        <v>Feb</v>
      </c>
      <c r="F347" s="7" t="s">
        <v>1018</v>
      </c>
      <c r="G347" s="7" t="s">
        <v>36</v>
      </c>
      <c r="H347" s="7" t="s">
        <v>45</v>
      </c>
      <c r="I347" s="7" t="s">
        <v>59</v>
      </c>
      <c r="J347" s="7" t="s">
        <v>21</v>
      </c>
      <c r="K347" s="7" t="s">
        <v>60</v>
      </c>
      <c r="L347" s="7">
        <v>1475.98</v>
      </c>
      <c r="M347" s="7">
        <v>5</v>
      </c>
      <c r="N347" s="7">
        <v>0.18</v>
      </c>
      <c r="O347" s="7">
        <v>177.33</v>
      </c>
      <c r="P347" s="7" t="s">
        <v>23</v>
      </c>
      <c r="Q347" s="7" t="s">
        <v>40</v>
      </c>
      <c r="R347" s="7">
        <v>3</v>
      </c>
      <c r="S347" s="7">
        <f t="shared" si="16"/>
        <v>2024</v>
      </c>
      <c r="T347" s="7" t="str">
        <f t="shared" si="17"/>
        <v>Feb</v>
      </c>
    </row>
    <row r="348" spans="2:20" x14ac:dyDescent="0.3">
      <c r="B348" s="7">
        <v>347</v>
      </c>
      <c r="C348" s="7" t="s">
        <v>1019</v>
      </c>
      <c r="D348" s="7" t="s">
        <v>1006</v>
      </c>
      <c r="E348" s="7" t="str">
        <f t="shared" si="15"/>
        <v>Oct</v>
      </c>
      <c r="F348" s="7" t="s">
        <v>1020</v>
      </c>
      <c r="G348" s="7" t="s">
        <v>64</v>
      </c>
      <c r="H348" s="7" t="s">
        <v>37</v>
      </c>
      <c r="I348" s="7" t="s">
        <v>59</v>
      </c>
      <c r="J348" s="7" t="s">
        <v>21</v>
      </c>
      <c r="K348" s="7" t="s">
        <v>60</v>
      </c>
      <c r="L348" s="7">
        <v>425.57</v>
      </c>
      <c r="M348" s="7">
        <v>1</v>
      </c>
      <c r="N348" s="7">
        <v>0.05</v>
      </c>
      <c r="O348" s="7">
        <v>63.96</v>
      </c>
      <c r="P348" s="7" t="s">
        <v>23</v>
      </c>
      <c r="Q348" s="7" t="s">
        <v>86</v>
      </c>
      <c r="R348" s="7">
        <v>4</v>
      </c>
      <c r="S348" s="7">
        <f t="shared" si="16"/>
        <v>2024</v>
      </c>
      <c r="T348" s="7" t="str">
        <f t="shared" si="17"/>
        <v>Oct</v>
      </c>
    </row>
    <row r="349" spans="2:20" x14ac:dyDescent="0.3">
      <c r="B349" s="7">
        <v>348</v>
      </c>
      <c r="C349" s="7" t="s">
        <v>1021</v>
      </c>
      <c r="D349" s="7" t="s">
        <v>1022</v>
      </c>
      <c r="E349" s="7" t="str">
        <f t="shared" si="15"/>
        <v>Jan</v>
      </c>
      <c r="F349" s="7" t="s">
        <v>1023</v>
      </c>
      <c r="G349" s="7" t="s">
        <v>64</v>
      </c>
      <c r="H349" s="7" t="s">
        <v>19</v>
      </c>
      <c r="I349" s="7" t="s">
        <v>59</v>
      </c>
      <c r="J349" s="7" t="s">
        <v>21</v>
      </c>
      <c r="K349" s="7" t="s">
        <v>22</v>
      </c>
      <c r="L349" s="7">
        <v>1783.9</v>
      </c>
      <c r="M349" s="7">
        <v>4</v>
      </c>
      <c r="N349" s="7">
        <v>0.24</v>
      </c>
      <c r="O349" s="7">
        <v>333.38</v>
      </c>
      <c r="P349" s="7" t="s">
        <v>54</v>
      </c>
      <c r="Q349" s="7" t="s">
        <v>40</v>
      </c>
      <c r="R349" s="7">
        <v>4</v>
      </c>
      <c r="S349" s="7">
        <f t="shared" si="16"/>
        <v>2024</v>
      </c>
      <c r="T349" s="7" t="str">
        <f t="shared" si="17"/>
        <v>Jan</v>
      </c>
    </row>
    <row r="350" spans="2:20" x14ac:dyDescent="0.3">
      <c r="B350" s="7">
        <v>349</v>
      </c>
      <c r="C350" s="7" t="s">
        <v>1024</v>
      </c>
      <c r="D350" s="7" t="s">
        <v>1025</v>
      </c>
      <c r="E350" s="7" t="str">
        <f t="shared" si="15"/>
        <v>Feb</v>
      </c>
      <c r="F350" s="7" t="s">
        <v>1026</v>
      </c>
      <c r="G350" s="7" t="s">
        <v>64</v>
      </c>
      <c r="H350" s="7" t="s">
        <v>65</v>
      </c>
      <c r="I350" s="7" t="s">
        <v>38</v>
      </c>
      <c r="J350" s="7" t="s">
        <v>66</v>
      </c>
      <c r="K350" s="7" t="s">
        <v>22</v>
      </c>
      <c r="L350" s="7">
        <v>138.94</v>
      </c>
      <c r="M350" s="7">
        <v>1</v>
      </c>
      <c r="N350" s="7">
        <v>0.03</v>
      </c>
      <c r="O350" s="7">
        <v>35.61</v>
      </c>
      <c r="P350" s="7" t="s">
        <v>54</v>
      </c>
      <c r="Q350" s="7" t="s">
        <v>40</v>
      </c>
      <c r="R350" s="7">
        <v>10</v>
      </c>
      <c r="S350" s="7">
        <f t="shared" si="16"/>
        <v>2024</v>
      </c>
      <c r="T350" s="7" t="str">
        <f t="shared" si="17"/>
        <v>Feb</v>
      </c>
    </row>
    <row r="351" spans="2:20" x14ac:dyDescent="0.3">
      <c r="B351" s="7">
        <v>350</v>
      </c>
      <c r="C351" s="7" t="s">
        <v>1027</v>
      </c>
      <c r="D351" s="7" t="s">
        <v>686</v>
      </c>
      <c r="E351" s="7" t="str">
        <f t="shared" si="15"/>
        <v>Sep</v>
      </c>
      <c r="F351" s="7" t="s">
        <v>1028</v>
      </c>
      <c r="G351" s="7" t="s">
        <v>64</v>
      </c>
      <c r="H351" s="7" t="s">
        <v>58</v>
      </c>
      <c r="I351" s="7" t="s">
        <v>59</v>
      </c>
      <c r="J351" s="7" t="s">
        <v>66</v>
      </c>
      <c r="K351" s="7" t="s">
        <v>30</v>
      </c>
      <c r="L351" s="7">
        <v>2242.6799999999998</v>
      </c>
      <c r="M351" s="7">
        <v>5</v>
      </c>
      <c r="N351" s="7">
        <v>0.3</v>
      </c>
      <c r="O351" s="7">
        <v>440.86</v>
      </c>
      <c r="P351" s="7" t="s">
        <v>54</v>
      </c>
      <c r="Q351" s="7" t="s">
        <v>40</v>
      </c>
      <c r="R351" s="7">
        <v>7</v>
      </c>
      <c r="S351" s="7">
        <f t="shared" si="16"/>
        <v>2024</v>
      </c>
      <c r="T351" s="7" t="str">
        <f t="shared" si="17"/>
        <v>Sep</v>
      </c>
    </row>
    <row r="352" spans="2:20" x14ac:dyDescent="0.3">
      <c r="B352" s="7">
        <v>351</v>
      </c>
      <c r="C352" s="7" t="s">
        <v>1029</v>
      </c>
      <c r="D352" s="7" t="s">
        <v>1030</v>
      </c>
      <c r="E352" s="7" t="str">
        <f t="shared" si="15"/>
        <v>Jan</v>
      </c>
      <c r="F352" s="7" t="s">
        <v>1031</v>
      </c>
      <c r="G352" s="7" t="s">
        <v>102</v>
      </c>
      <c r="H352" s="7" t="s">
        <v>65</v>
      </c>
      <c r="I352" s="7" t="s">
        <v>59</v>
      </c>
      <c r="J352" s="7" t="s">
        <v>81</v>
      </c>
      <c r="K352" s="7" t="s">
        <v>60</v>
      </c>
      <c r="L352" s="7">
        <v>3419.76</v>
      </c>
      <c r="M352" s="7">
        <v>4</v>
      </c>
      <c r="N352" s="7">
        <v>0.21</v>
      </c>
      <c r="O352" s="7">
        <v>1092.1099999999999</v>
      </c>
      <c r="P352" s="7" t="s">
        <v>23</v>
      </c>
      <c r="Q352" s="7" t="s">
        <v>32</v>
      </c>
      <c r="R352" s="7">
        <v>2</v>
      </c>
      <c r="S352" s="7">
        <f t="shared" si="16"/>
        <v>2024</v>
      </c>
      <c r="T352" s="7" t="str">
        <f t="shared" si="17"/>
        <v>Jan</v>
      </c>
    </row>
    <row r="353" spans="2:20" x14ac:dyDescent="0.3">
      <c r="B353" s="7">
        <v>352</v>
      </c>
      <c r="C353" s="7" t="s">
        <v>1032</v>
      </c>
      <c r="D353" s="7" t="s">
        <v>717</v>
      </c>
      <c r="E353" s="7" t="str">
        <f t="shared" si="15"/>
        <v>Jun</v>
      </c>
      <c r="F353" s="7" t="s">
        <v>1033</v>
      </c>
      <c r="G353" s="7" t="s">
        <v>44</v>
      </c>
      <c r="H353" s="7" t="s">
        <v>19</v>
      </c>
      <c r="I353" s="7" t="s">
        <v>116</v>
      </c>
      <c r="J353" s="7" t="s">
        <v>47</v>
      </c>
      <c r="K353" s="7" t="s">
        <v>39</v>
      </c>
      <c r="L353" s="7">
        <v>94.59</v>
      </c>
      <c r="M353" s="7">
        <v>2</v>
      </c>
      <c r="N353" s="7">
        <v>0.21</v>
      </c>
      <c r="O353" s="7">
        <v>19.53</v>
      </c>
      <c r="P353" s="7" t="s">
        <v>31</v>
      </c>
      <c r="Q353" s="7" t="s">
        <v>24</v>
      </c>
      <c r="R353" s="7">
        <v>10</v>
      </c>
      <c r="S353" s="7">
        <f t="shared" si="16"/>
        <v>2025</v>
      </c>
      <c r="T353" s="7" t="str">
        <f t="shared" si="17"/>
        <v>Jun</v>
      </c>
    </row>
    <row r="354" spans="2:20" x14ac:dyDescent="0.3">
      <c r="B354" s="7">
        <v>353</v>
      </c>
      <c r="C354" s="7" t="s">
        <v>1034</v>
      </c>
      <c r="D354" s="7" t="s">
        <v>515</v>
      </c>
      <c r="E354" s="7" t="str">
        <f t="shared" si="15"/>
        <v>Feb</v>
      </c>
      <c r="F354" s="7" t="s">
        <v>1035</v>
      </c>
      <c r="G354" s="7" t="s">
        <v>44</v>
      </c>
      <c r="H354" s="7" t="s">
        <v>45</v>
      </c>
      <c r="I354" s="7" t="s">
        <v>52</v>
      </c>
      <c r="J354" s="7" t="s">
        <v>47</v>
      </c>
      <c r="K354" s="7" t="s">
        <v>30</v>
      </c>
      <c r="L354" s="7">
        <v>1264.56</v>
      </c>
      <c r="M354" s="7">
        <v>2</v>
      </c>
      <c r="N354" s="7">
        <v>0.01</v>
      </c>
      <c r="O354" s="7">
        <v>191.54</v>
      </c>
      <c r="P354" s="7" t="s">
        <v>23</v>
      </c>
      <c r="Q354" s="7" t="s">
        <v>24</v>
      </c>
      <c r="R354" s="7">
        <v>10</v>
      </c>
      <c r="S354" s="7">
        <f t="shared" si="16"/>
        <v>2025</v>
      </c>
      <c r="T354" s="7" t="str">
        <f t="shared" si="17"/>
        <v>Feb</v>
      </c>
    </row>
    <row r="355" spans="2:20" x14ac:dyDescent="0.3">
      <c r="B355" s="7">
        <v>354</v>
      </c>
      <c r="C355" s="7" t="s">
        <v>1036</v>
      </c>
      <c r="D355" s="7" t="s">
        <v>1037</v>
      </c>
      <c r="E355" s="7" t="str">
        <f t="shared" si="15"/>
        <v>Oct</v>
      </c>
      <c r="F355" s="7" t="s">
        <v>1038</v>
      </c>
      <c r="G355" s="7" t="s">
        <v>44</v>
      </c>
      <c r="H355" s="7" t="s">
        <v>58</v>
      </c>
      <c r="I355" s="7" t="s">
        <v>38</v>
      </c>
      <c r="J355" s="7" t="s">
        <v>47</v>
      </c>
      <c r="K355" s="7" t="s">
        <v>22</v>
      </c>
      <c r="L355" s="7">
        <v>2868.43</v>
      </c>
      <c r="M355" s="7">
        <v>3</v>
      </c>
      <c r="N355" s="7">
        <v>0.28999999999999998</v>
      </c>
      <c r="O355" s="7">
        <v>513.64</v>
      </c>
      <c r="P355" s="7" t="s">
        <v>54</v>
      </c>
      <c r="Q355" s="7" t="s">
        <v>24</v>
      </c>
      <c r="R355" s="7">
        <v>7</v>
      </c>
      <c r="S355" s="7">
        <f t="shared" si="16"/>
        <v>2024</v>
      </c>
      <c r="T355" s="7" t="str">
        <f t="shared" si="17"/>
        <v>Oct</v>
      </c>
    </row>
    <row r="356" spans="2:20" x14ac:dyDescent="0.3">
      <c r="B356" s="7">
        <v>355</v>
      </c>
      <c r="C356" s="7" t="s">
        <v>1039</v>
      </c>
      <c r="D356" s="7" t="s">
        <v>1040</v>
      </c>
      <c r="E356" s="7" t="str">
        <f t="shared" si="15"/>
        <v>Oct</v>
      </c>
      <c r="F356" s="7" t="s">
        <v>1041</v>
      </c>
      <c r="G356" s="7" t="s">
        <v>36</v>
      </c>
      <c r="H356" s="7" t="s">
        <v>71</v>
      </c>
      <c r="I356" s="7" t="s">
        <v>38</v>
      </c>
      <c r="J356" s="7" t="s">
        <v>29</v>
      </c>
      <c r="K356" s="7" t="s">
        <v>22</v>
      </c>
      <c r="L356" s="7">
        <v>350.7</v>
      </c>
      <c r="M356" s="7">
        <v>4</v>
      </c>
      <c r="N356" s="7">
        <v>0.1</v>
      </c>
      <c r="O356" s="7">
        <v>98.38</v>
      </c>
      <c r="P356" s="7" t="s">
        <v>23</v>
      </c>
      <c r="Q356" s="7" t="s">
        <v>86</v>
      </c>
      <c r="R356" s="7">
        <v>10</v>
      </c>
      <c r="S356" s="7">
        <f t="shared" si="16"/>
        <v>2024</v>
      </c>
      <c r="T356" s="7" t="str">
        <f t="shared" si="17"/>
        <v>Oct</v>
      </c>
    </row>
    <row r="357" spans="2:20" x14ac:dyDescent="0.3">
      <c r="B357" s="7">
        <v>356</v>
      </c>
      <c r="C357" s="7" t="s">
        <v>1042</v>
      </c>
      <c r="D357" s="7" t="s">
        <v>1043</v>
      </c>
      <c r="E357" s="7" t="str">
        <f t="shared" si="15"/>
        <v>Sep</v>
      </c>
      <c r="F357" s="7" t="s">
        <v>1044</v>
      </c>
      <c r="G357" s="7" t="s">
        <v>64</v>
      </c>
      <c r="H357" s="7" t="s">
        <v>19</v>
      </c>
      <c r="I357" s="7" t="s">
        <v>20</v>
      </c>
      <c r="J357" s="7" t="s">
        <v>47</v>
      </c>
      <c r="K357" s="7" t="s">
        <v>22</v>
      </c>
      <c r="L357" s="7">
        <v>2113.6799999999998</v>
      </c>
      <c r="M357" s="7">
        <v>3</v>
      </c>
      <c r="N357" s="7">
        <v>0.06</v>
      </c>
      <c r="O357" s="7">
        <v>399.47</v>
      </c>
      <c r="P357" s="7" t="s">
        <v>31</v>
      </c>
      <c r="Q357" s="7" t="s">
        <v>24</v>
      </c>
      <c r="R357" s="7">
        <v>7</v>
      </c>
      <c r="S357" s="7">
        <f t="shared" si="16"/>
        <v>2025</v>
      </c>
      <c r="T357" s="7" t="str">
        <f t="shared" si="17"/>
        <v>Sep</v>
      </c>
    </row>
    <row r="358" spans="2:20" x14ac:dyDescent="0.3">
      <c r="B358" s="7">
        <v>357</v>
      </c>
      <c r="C358" s="7" t="s">
        <v>1045</v>
      </c>
      <c r="D358" s="7" t="s">
        <v>1046</v>
      </c>
      <c r="E358" s="7" t="str">
        <f t="shared" si="15"/>
        <v>Jun</v>
      </c>
      <c r="F358" s="7" t="s">
        <v>1047</v>
      </c>
      <c r="G358" s="7" t="s">
        <v>64</v>
      </c>
      <c r="H358" s="7" t="s">
        <v>71</v>
      </c>
      <c r="I358" s="7" t="s">
        <v>46</v>
      </c>
      <c r="J358" s="7" t="s">
        <v>81</v>
      </c>
      <c r="K358" s="7" t="s">
        <v>76</v>
      </c>
      <c r="L358" s="7">
        <v>2606.11</v>
      </c>
      <c r="M358" s="7">
        <v>4</v>
      </c>
      <c r="N358" s="7">
        <v>0.05</v>
      </c>
      <c r="O358" s="7">
        <v>682.21</v>
      </c>
      <c r="P358" s="7" t="s">
        <v>54</v>
      </c>
      <c r="Q358" s="7" t="s">
        <v>32</v>
      </c>
      <c r="R358" s="7">
        <v>7</v>
      </c>
      <c r="S358" s="7">
        <f t="shared" si="16"/>
        <v>2025</v>
      </c>
      <c r="T358" s="7" t="str">
        <f t="shared" si="17"/>
        <v>Jun</v>
      </c>
    </row>
    <row r="359" spans="2:20" x14ac:dyDescent="0.3">
      <c r="B359" s="7">
        <v>358</v>
      </c>
      <c r="C359" s="7" t="s">
        <v>1048</v>
      </c>
      <c r="D359" s="7" t="s">
        <v>258</v>
      </c>
      <c r="E359" s="7" t="str">
        <f t="shared" si="15"/>
        <v>May</v>
      </c>
      <c r="F359" s="7" t="s">
        <v>1049</v>
      </c>
      <c r="G359" s="7" t="s">
        <v>44</v>
      </c>
      <c r="H359" s="7" t="s">
        <v>51</v>
      </c>
      <c r="I359" s="7" t="s">
        <v>38</v>
      </c>
      <c r="J359" s="7" t="s">
        <v>47</v>
      </c>
      <c r="K359" s="7" t="s">
        <v>67</v>
      </c>
      <c r="L359" s="7">
        <v>3133.69</v>
      </c>
      <c r="M359" s="7">
        <v>5</v>
      </c>
      <c r="N359" s="7">
        <v>0.24</v>
      </c>
      <c r="O359" s="7">
        <v>966.84</v>
      </c>
      <c r="P359" s="7" t="s">
        <v>23</v>
      </c>
      <c r="Q359" s="7" t="s">
        <v>40</v>
      </c>
      <c r="R359" s="7">
        <v>8</v>
      </c>
      <c r="S359" s="7">
        <f t="shared" si="16"/>
        <v>2024</v>
      </c>
      <c r="T359" s="7" t="str">
        <f t="shared" si="17"/>
        <v>May</v>
      </c>
    </row>
    <row r="360" spans="2:20" x14ac:dyDescent="0.3">
      <c r="B360" s="7">
        <v>359</v>
      </c>
      <c r="C360" s="7" t="s">
        <v>1050</v>
      </c>
      <c r="D360" s="7" t="s">
        <v>1051</v>
      </c>
      <c r="E360" s="7" t="str">
        <f t="shared" si="15"/>
        <v>May</v>
      </c>
      <c r="F360" s="7" t="s">
        <v>1052</v>
      </c>
      <c r="G360" s="7" t="s">
        <v>36</v>
      </c>
      <c r="H360" s="7" t="s">
        <v>58</v>
      </c>
      <c r="I360" s="7" t="s">
        <v>116</v>
      </c>
      <c r="J360" s="7" t="s">
        <v>21</v>
      </c>
      <c r="K360" s="7" t="s">
        <v>53</v>
      </c>
      <c r="L360" s="7">
        <v>843.52</v>
      </c>
      <c r="M360" s="7">
        <v>4</v>
      </c>
      <c r="N360" s="7">
        <v>0</v>
      </c>
      <c r="O360" s="7">
        <v>290.58</v>
      </c>
      <c r="P360" s="7" t="s">
        <v>31</v>
      </c>
      <c r="Q360" s="7" t="s">
        <v>77</v>
      </c>
      <c r="R360" s="7">
        <v>9</v>
      </c>
      <c r="S360" s="7">
        <f t="shared" si="16"/>
        <v>2025</v>
      </c>
      <c r="T360" s="7" t="str">
        <f t="shared" si="17"/>
        <v>May</v>
      </c>
    </row>
    <row r="361" spans="2:20" x14ac:dyDescent="0.3">
      <c r="B361" s="7">
        <v>360</v>
      </c>
      <c r="C361" s="7" t="s">
        <v>1053</v>
      </c>
      <c r="D361" s="7" t="s">
        <v>905</v>
      </c>
      <c r="E361" s="7" t="str">
        <f t="shared" si="15"/>
        <v>Feb</v>
      </c>
      <c r="F361" s="7" t="s">
        <v>1054</v>
      </c>
      <c r="G361" s="7" t="s">
        <v>102</v>
      </c>
      <c r="H361" s="7" t="s">
        <v>58</v>
      </c>
      <c r="I361" s="7" t="s">
        <v>20</v>
      </c>
      <c r="J361" s="7" t="s">
        <v>47</v>
      </c>
      <c r="K361" s="7" t="s">
        <v>67</v>
      </c>
      <c r="L361" s="7">
        <v>1361.09</v>
      </c>
      <c r="M361" s="7">
        <v>3</v>
      </c>
      <c r="N361" s="7">
        <v>0.15</v>
      </c>
      <c r="O361" s="7">
        <v>421.42</v>
      </c>
      <c r="P361" s="7" t="s">
        <v>23</v>
      </c>
      <c r="Q361" s="7" t="s">
        <v>40</v>
      </c>
      <c r="R361" s="7">
        <v>4</v>
      </c>
      <c r="S361" s="7">
        <f t="shared" si="16"/>
        <v>2024</v>
      </c>
      <c r="T361" s="7" t="str">
        <f t="shared" si="17"/>
        <v>Feb</v>
      </c>
    </row>
    <row r="362" spans="2:20" x14ac:dyDescent="0.3">
      <c r="B362" s="7">
        <v>361</v>
      </c>
      <c r="C362" s="7" t="s">
        <v>1055</v>
      </c>
      <c r="D362" s="7" t="s">
        <v>1056</v>
      </c>
      <c r="E362" s="7" t="str">
        <f t="shared" si="15"/>
        <v>Aug</v>
      </c>
      <c r="F362" s="7" t="s">
        <v>1057</v>
      </c>
      <c r="G362" s="7" t="s">
        <v>18</v>
      </c>
      <c r="H362" s="7" t="s">
        <v>71</v>
      </c>
      <c r="I362" s="7" t="s">
        <v>28</v>
      </c>
      <c r="J362" s="7" t="s">
        <v>47</v>
      </c>
      <c r="K362" s="7" t="s">
        <v>60</v>
      </c>
      <c r="L362" s="7">
        <v>1892.77</v>
      </c>
      <c r="M362" s="7">
        <v>4</v>
      </c>
      <c r="N362" s="7">
        <v>0.22</v>
      </c>
      <c r="O362" s="7">
        <v>517.91999999999996</v>
      </c>
      <c r="P362" s="7" t="s">
        <v>54</v>
      </c>
      <c r="Q362" s="7" t="s">
        <v>77</v>
      </c>
      <c r="R362" s="7">
        <v>9</v>
      </c>
      <c r="S362" s="7">
        <f t="shared" si="16"/>
        <v>2025</v>
      </c>
      <c r="T362" s="7" t="str">
        <f t="shared" si="17"/>
        <v>Aug</v>
      </c>
    </row>
    <row r="363" spans="2:20" x14ac:dyDescent="0.3">
      <c r="B363" s="7">
        <v>362</v>
      </c>
      <c r="C363" s="7" t="s">
        <v>1058</v>
      </c>
      <c r="D363" s="7" t="s">
        <v>1059</v>
      </c>
      <c r="E363" s="7" t="str">
        <f t="shared" si="15"/>
        <v>Dec</v>
      </c>
      <c r="F363" s="7" t="s">
        <v>1060</v>
      </c>
      <c r="G363" s="7" t="s">
        <v>44</v>
      </c>
      <c r="H363" s="7" t="s">
        <v>19</v>
      </c>
      <c r="I363" s="7" t="s">
        <v>46</v>
      </c>
      <c r="J363" s="7" t="s">
        <v>21</v>
      </c>
      <c r="K363" s="7" t="s">
        <v>39</v>
      </c>
      <c r="L363" s="7">
        <v>2681.81</v>
      </c>
      <c r="M363" s="7">
        <v>5</v>
      </c>
      <c r="N363" s="7">
        <v>0.22</v>
      </c>
      <c r="O363" s="7">
        <v>799.76</v>
      </c>
      <c r="P363" s="7" t="s">
        <v>54</v>
      </c>
      <c r="Q363" s="7" t="s">
        <v>86</v>
      </c>
      <c r="R363" s="7">
        <v>2</v>
      </c>
      <c r="S363" s="7">
        <f t="shared" si="16"/>
        <v>2025</v>
      </c>
      <c r="T363" s="7" t="str">
        <f t="shared" si="17"/>
        <v>Dec</v>
      </c>
    </row>
    <row r="364" spans="2:20" x14ac:dyDescent="0.3">
      <c r="B364" s="7">
        <v>363</v>
      </c>
      <c r="C364" s="7" t="s">
        <v>1061</v>
      </c>
      <c r="D364" s="7" t="s">
        <v>1062</v>
      </c>
      <c r="E364" s="7" t="str">
        <f t="shared" si="15"/>
        <v>Jul</v>
      </c>
      <c r="F364" s="7" t="s">
        <v>1063</v>
      </c>
      <c r="G364" s="7" t="s">
        <v>64</v>
      </c>
      <c r="H364" s="7" t="s">
        <v>45</v>
      </c>
      <c r="I364" s="7" t="s">
        <v>106</v>
      </c>
      <c r="J364" s="7" t="s">
        <v>47</v>
      </c>
      <c r="K364" s="7" t="s">
        <v>67</v>
      </c>
      <c r="L364" s="7">
        <v>2936.23</v>
      </c>
      <c r="M364" s="7">
        <v>3</v>
      </c>
      <c r="N364" s="7">
        <v>0.19</v>
      </c>
      <c r="O364" s="7">
        <v>656.64</v>
      </c>
      <c r="P364" s="7" t="s">
        <v>23</v>
      </c>
      <c r="Q364" s="7" t="s">
        <v>32</v>
      </c>
      <c r="R364" s="7">
        <v>7</v>
      </c>
      <c r="S364" s="7">
        <f t="shared" si="16"/>
        <v>2024</v>
      </c>
      <c r="T364" s="7" t="str">
        <f t="shared" si="17"/>
        <v>Jul</v>
      </c>
    </row>
    <row r="365" spans="2:20" x14ac:dyDescent="0.3">
      <c r="B365" s="7">
        <v>364</v>
      </c>
      <c r="C365" s="7" t="s">
        <v>1064</v>
      </c>
      <c r="D365" s="7" t="s">
        <v>680</v>
      </c>
      <c r="E365" s="7" t="str">
        <f t="shared" si="15"/>
        <v>Dec</v>
      </c>
      <c r="F365" s="7" t="s">
        <v>1065</v>
      </c>
      <c r="G365" s="7" t="s">
        <v>102</v>
      </c>
      <c r="H365" s="7" t="s">
        <v>37</v>
      </c>
      <c r="I365" s="7" t="s">
        <v>116</v>
      </c>
      <c r="J365" s="7" t="s">
        <v>29</v>
      </c>
      <c r="K365" s="7" t="s">
        <v>39</v>
      </c>
      <c r="L365" s="7">
        <v>250.17</v>
      </c>
      <c r="M365" s="7">
        <v>5</v>
      </c>
      <c r="N365" s="7">
        <v>0.3</v>
      </c>
      <c r="O365" s="7">
        <v>56.11</v>
      </c>
      <c r="P365" s="7" t="s">
        <v>31</v>
      </c>
      <c r="Q365" s="7" t="s">
        <v>24</v>
      </c>
      <c r="R365" s="7">
        <v>7</v>
      </c>
      <c r="S365" s="7">
        <f t="shared" si="16"/>
        <v>2025</v>
      </c>
      <c r="T365" s="7" t="str">
        <f t="shared" si="17"/>
        <v>Dec</v>
      </c>
    </row>
    <row r="366" spans="2:20" x14ac:dyDescent="0.3">
      <c r="B366" s="7">
        <v>365</v>
      </c>
      <c r="C366" s="7" t="s">
        <v>1066</v>
      </c>
      <c r="D366" s="7" t="s">
        <v>608</v>
      </c>
      <c r="E366" s="7" t="str">
        <f t="shared" si="15"/>
        <v>Feb</v>
      </c>
      <c r="F366" s="7" t="s">
        <v>178</v>
      </c>
      <c r="G366" s="7" t="s">
        <v>102</v>
      </c>
      <c r="H366" s="7" t="s">
        <v>19</v>
      </c>
      <c r="I366" s="7" t="s">
        <v>106</v>
      </c>
      <c r="J366" s="7" t="s">
        <v>66</v>
      </c>
      <c r="K366" s="7" t="s">
        <v>39</v>
      </c>
      <c r="L366" s="7">
        <v>955.26</v>
      </c>
      <c r="M366" s="7">
        <v>5</v>
      </c>
      <c r="N366" s="7">
        <v>0.18</v>
      </c>
      <c r="O366" s="7">
        <v>106.7</v>
      </c>
      <c r="P366" s="7" t="s">
        <v>54</v>
      </c>
      <c r="Q366" s="7" t="s">
        <v>32</v>
      </c>
      <c r="R366" s="7">
        <v>7</v>
      </c>
      <c r="S366" s="7">
        <f t="shared" si="16"/>
        <v>2024</v>
      </c>
      <c r="T366" s="7" t="str">
        <f t="shared" si="17"/>
        <v>Feb</v>
      </c>
    </row>
    <row r="367" spans="2:20" x14ac:dyDescent="0.3">
      <c r="B367" s="7">
        <v>366</v>
      </c>
      <c r="C367" s="7" t="s">
        <v>1067</v>
      </c>
      <c r="D367" s="7" t="s">
        <v>1068</v>
      </c>
      <c r="E367" s="7" t="str">
        <f t="shared" si="15"/>
        <v>Sep</v>
      </c>
      <c r="F367" s="7" t="s">
        <v>1069</v>
      </c>
      <c r="G367" s="7" t="s">
        <v>102</v>
      </c>
      <c r="H367" s="7" t="s">
        <v>58</v>
      </c>
      <c r="I367" s="7" t="s">
        <v>116</v>
      </c>
      <c r="J367" s="7" t="s">
        <v>21</v>
      </c>
      <c r="K367" s="7" t="s">
        <v>22</v>
      </c>
      <c r="L367" s="7">
        <v>668.7</v>
      </c>
      <c r="M367" s="7">
        <v>2</v>
      </c>
      <c r="N367" s="7">
        <v>0.09</v>
      </c>
      <c r="O367" s="7">
        <v>203.33</v>
      </c>
      <c r="P367" s="7" t="s">
        <v>31</v>
      </c>
      <c r="Q367" s="7" t="s">
        <v>40</v>
      </c>
      <c r="R367" s="7">
        <v>3</v>
      </c>
      <c r="S367" s="7">
        <f t="shared" si="16"/>
        <v>2025</v>
      </c>
      <c r="T367" s="7" t="str">
        <f t="shared" si="17"/>
        <v>Sep</v>
      </c>
    </row>
    <row r="368" spans="2:20" x14ac:dyDescent="0.3">
      <c r="B368" s="7">
        <v>367</v>
      </c>
      <c r="C368" s="7" t="s">
        <v>1070</v>
      </c>
      <c r="D368" s="7" t="s">
        <v>1071</v>
      </c>
      <c r="E368" s="7" t="str">
        <f t="shared" si="15"/>
        <v>Nov</v>
      </c>
      <c r="F368" s="7" t="s">
        <v>1072</v>
      </c>
      <c r="G368" s="7" t="s">
        <v>36</v>
      </c>
      <c r="H368" s="7" t="s">
        <v>19</v>
      </c>
      <c r="I368" s="7" t="s">
        <v>28</v>
      </c>
      <c r="J368" s="7" t="s">
        <v>81</v>
      </c>
      <c r="K368" s="7" t="s">
        <v>60</v>
      </c>
      <c r="L368" s="7">
        <v>1494.31</v>
      </c>
      <c r="M368" s="7">
        <v>2</v>
      </c>
      <c r="N368" s="7">
        <v>0.22</v>
      </c>
      <c r="O368" s="7">
        <v>405.13</v>
      </c>
      <c r="P368" s="7" t="s">
        <v>54</v>
      </c>
      <c r="Q368" s="7" t="s">
        <v>77</v>
      </c>
      <c r="R368" s="7">
        <v>3</v>
      </c>
      <c r="S368" s="7">
        <f t="shared" si="16"/>
        <v>2024</v>
      </c>
      <c r="T368" s="7" t="str">
        <f t="shared" si="17"/>
        <v>Nov</v>
      </c>
    </row>
    <row r="369" spans="2:20" x14ac:dyDescent="0.3">
      <c r="B369" s="7">
        <v>368</v>
      </c>
      <c r="C369" s="7" t="s">
        <v>1073</v>
      </c>
      <c r="D369" s="7" t="s">
        <v>272</v>
      </c>
      <c r="E369" s="7" t="str">
        <f t="shared" si="15"/>
        <v>Jun</v>
      </c>
      <c r="F369" s="7" t="s">
        <v>1074</v>
      </c>
      <c r="G369" s="7" t="s">
        <v>64</v>
      </c>
      <c r="H369" s="7" t="s">
        <v>37</v>
      </c>
      <c r="I369" s="7" t="s">
        <v>28</v>
      </c>
      <c r="J369" s="7" t="s">
        <v>81</v>
      </c>
      <c r="K369" s="7" t="s">
        <v>72</v>
      </c>
      <c r="L369" s="7">
        <v>3037.92</v>
      </c>
      <c r="M369" s="7">
        <v>4</v>
      </c>
      <c r="N369" s="7">
        <v>0.01</v>
      </c>
      <c r="O369" s="7">
        <v>321.11</v>
      </c>
      <c r="P369" s="7" t="s">
        <v>54</v>
      </c>
      <c r="Q369" s="7" t="s">
        <v>86</v>
      </c>
      <c r="R369" s="7">
        <v>10</v>
      </c>
      <c r="S369" s="7">
        <f t="shared" si="16"/>
        <v>2025</v>
      </c>
      <c r="T369" s="7" t="str">
        <f t="shared" si="17"/>
        <v>Jun</v>
      </c>
    </row>
    <row r="370" spans="2:20" x14ac:dyDescent="0.3">
      <c r="B370" s="7">
        <v>369</v>
      </c>
      <c r="C370" s="7" t="s">
        <v>1075</v>
      </c>
      <c r="D370" s="7" t="s">
        <v>1076</v>
      </c>
      <c r="E370" s="7" t="str">
        <f t="shared" si="15"/>
        <v>Feb</v>
      </c>
      <c r="F370" s="7" t="s">
        <v>1077</v>
      </c>
      <c r="G370" s="7" t="s">
        <v>44</v>
      </c>
      <c r="H370" s="7" t="s">
        <v>37</v>
      </c>
      <c r="I370" s="7" t="s">
        <v>106</v>
      </c>
      <c r="J370" s="7" t="s">
        <v>81</v>
      </c>
      <c r="K370" s="7" t="s">
        <v>39</v>
      </c>
      <c r="L370" s="7">
        <v>193.87</v>
      </c>
      <c r="M370" s="7">
        <v>3</v>
      </c>
      <c r="N370" s="7">
        <v>0.14000000000000001</v>
      </c>
      <c r="O370" s="7">
        <v>54.69</v>
      </c>
      <c r="P370" s="7" t="s">
        <v>54</v>
      </c>
      <c r="Q370" s="7" t="s">
        <v>86</v>
      </c>
      <c r="R370" s="7">
        <v>1</v>
      </c>
      <c r="S370" s="7">
        <f t="shared" si="16"/>
        <v>2025</v>
      </c>
      <c r="T370" s="7" t="str">
        <f t="shared" si="17"/>
        <v>Feb</v>
      </c>
    </row>
    <row r="371" spans="2:20" x14ac:dyDescent="0.3">
      <c r="B371" s="7">
        <v>370</v>
      </c>
      <c r="C371" s="7" t="s">
        <v>1078</v>
      </c>
      <c r="D371" s="7" t="s">
        <v>1079</v>
      </c>
      <c r="E371" s="7" t="str">
        <f t="shared" si="15"/>
        <v>Jul</v>
      </c>
      <c r="F371" s="7" t="s">
        <v>1080</v>
      </c>
      <c r="G371" s="7" t="s">
        <v>102</v>
      </c>
      <c r="H371" s="7" t="s">
        <v>65</v>
      </c>
      <c r="I371" s="7" t="s">
        <v>59</v>
      </c>
      <c r="J371" s="7" t="s">
        <v>81</v>
      </c>
      <c r="K371" s="7" t="s">
        <v>82</v>
      </c>
      <c r="L371" s="7">
        <v>1498.23</v>
      </c>
      <c r="M371" s="7">
        <v>4</v>
      </c>
      <c r="N371" s="7">
        <v>0.14000000000000001</v>
      </c>
      <c r="O371" s="7">
        <v>437.86</v>
      </c>
      <c r="P371" s="7" t="s">
        <v>54</v>
      </c>
      <c r="Q371" s="7" t="s">
        <v>86</v>
      </c>
      <c r="R371" s="7">
        <v>5</v>
      </c>
      <c r="S371" s="7">
        <f t="shared" si="16"/>
        <v>2024</v>
      </c>
      <c r="T371" s="7" t="str">
        <f t="shared" si="17"/>
        <v>Jul</v>
      </c>
    </row>
    <row r="372" spans="2:20" x14ac:dyDescent="0.3">
      <c r="B372" s="7">
        <v>371</v>
      </c>
      <c r="C372" s="7" t="s">
        <v>1081</v>
      </c>
      <c r="D372" s="7" t="s">
        <v>1082</v>
      </c>
      <c r="E372" s="7" t="str">
        <f t="shared" si="15"/>
        <v>Oct</v>
      </c>
      <c r="F372" s="7" t="s">
        <v>1083</v>
      </c>
      <c r="G372" s="7" t="s">
        <v>102</v>
      </c>
      <c r="H372" s="7" t="s">
        <v>71</v>
      </c>
      <c r="I372" s="7" t="s">
        <v>28</v>
      </c>
      <c r="J372" s="7" t="s">
        <v>81</v>
      </c>
      <c r="K372" s="7" t="s">
        <v>53</v>
      </c>
      <c r="L372" s="7">
        <v>872.05</v>
      </c>
      <c r="M372" s="7">
        <v>4</v>
      </c>
      <c r="N372" s="7">
        <v>0.08</v>
      </c>
      <c r="O372" s="7">
        <v>222.49</v>
      </c>
      <c r="P372" s="7" t="s">
        <v>23</v>
      </c>
      <c r="Q372" s="7" t="s">
        <v>40</v>
      </c>
      <c r="R372" s="7">
        <v>5</v>
      </c>
      <c r="S372" s="7">
        <f t="shared" si="16"/>
        <v>2024</v>
      </c>
      <c r="T372" s="7" t="str">
        <f t="shared" si="17"/>
        <v>Oct</v>
      </c>
    </row>
    <row r="373" spans="2:20" x14ac:dyDescent="0.3">
      <c r="B373" s="7">
        <v>372</v>
      </c>
      <c r="C373" s="7" t="s">
        <v>1084</v>
      </c>
      <c r="D373" s="7" t="s">
        <v>852</v>
      </c>
      <c r="E373" s="7" t="str">
        <f t="shared" si="15"/>
        <v>Jan</v>
      </c>
      <c r="F373" s="7" t="s">
        <v>1085</v>
      </c>
      <c r="G373" s="7" t="s">
        <v>36</v>
      </c>
      <c r="H373" s="7" t="s">
        <v>37</v>
      </c>
      <c r="I373" s="7" t="s">
        <v>38</v>
      </c>
      <c r="J373" s="7" t="s">
        <v>66</v>
      </c>
      <c r="K373" s="7" t="s">
        <v>72</v>
      </c>
      <c r="L373" s="7">
        <v>1884.54</v>
      </c>
      <c r="M373" s="7">
        <v>4</v>
      </c>
      <c r="N373" s="7">
        <v>0.17</v>
      </c>
      <c r="O373" s="7">
        <v>420.17</v>
      </c>
      <c r="P373" s="7" t="s">
        <v>54</v>
      </c>
      <c r="Q373" s="7" t="s">
        <v>86</v>
      </c>
      <c r="R373" s="7">
        <v>1</v>
      </c>
      <c r="S373" s="7">
        <f t="shared" si="16"/>
        <v>2024</v>
      </c>
      <c r="T373" s="7" t="str">
        <f t="shared" si="17"/>
        <v>Jan</v>
      </c>
    </row>
    <row r="374" spans="2:20" x14ac:dyDescent="0.3">
      <c r="B374" s="7">
        <v>373</v>
      </c>
      <c r="C374" s="7" t="s">
        <v>1086</v>
      </c>
      <c r="D374" s="7" t="s">
        <v>1087</v>
      </c>
      <c r="E374" s="7" t="str">
        <f t="shared" si="15"/>
        <v>Mar</v>
      </c>
      <c r="F374" s="7" t="s">
        <v>1088</v>
      </c>
      <c r="G374" s="7" t="s">
        <v>44</v>
      </c>
      <c r="H374" s="7" t="s">
        <v>65</v>
      </c>
      <c r="I374" s="7" t="s">
        <v>28</v>
      </c>
      <c r="J374" s="7" t="s">
        <v>29</v>
      </c>
      <c r="K374" s="7" t="s">
        <v>82</v>
      </c>
      <c r="L374" s="7">
        <v>3721.54</v>
      </c>
      <c r="M374" s="7">
        <v>5</v>
      </c>
      <c r="N374" s="7">
        <v>0.01</v>
      </c>
      <c r="O374" s="7">
        <v>1266.83</v>
      </c>
      <c r="P374" s="7" t="s">
        <v>23</v>
      </c>
      <c r="Q374" s="7" t="s">
        <v>24</v>
      </c>
      <c r="R374" s="7">
        <v>2</v>
      </c>
      <c r="S374" s="7">
        <f t="shared" si="16"/>
        <v>2024</v>
      </c>
      <c r="T374" s="7" t="str">
        <f t="shared" si="17"/>
        <v>Mar</v>
      </c>
    </row>
    <row r="375" spans="2:20" x14ac:dyDescent="0.3">
      <c r="B375" s="7">
        <v>374</v>
      </c>
      <c r="C375" s="7" t="s">
        <v>1089</v>
      </c>
      <c r="D375" s="7" t="s">
        <v>982</v>
      </c>
      <c r="E375" s="7" t="str">
        <f t="shared" si="15"/>
        <v>Apr</v>
      </c>
      <c r="F375" s="7" t="s">
        <v>675</v>
      </c>
      <c r="G375" s="7" t="s">
        <v>44</v>
      </c>
      <c r="H375" s="7" t="s">
        <v>71</v>
      </c>
      <c r="I375" s="7" t="s">
        <v>46</v>
      </c>
      <c r="J375" s="7" t="s">
        <v>21</v>
      </c>
      <c r="K375" s="7" t="s">
        <v>72</v>
      </c>
      <c r="L375" s="7">
        <v>970.76</v>
      </c>
      <c r="M375" s="7">
        <v>1</v>
      </c>
      <c r="N375" s="7">
        <v>0.23</v>
      </c>
      <c r="O375" s="7">
        <v>171.47</v>
      </c>
      <c r="P375" s="7" t="s">
        <v>54</v>
      </c>
      <c r="Q375" s="7" t="s">
        <v>40</v>
      </c>
      <c r="R375" s="7">
        <v>3</v>
      </c>
      <c r="S375" s="7">
        <f t="shared" si="16"/>
        <v>2025</v>
      </c>
      <c r="T375" s="7" t="str">
        <f t="shared" si="17"/>
        <v>Apr</v>
      </c>
    </row>
    <row r="376" spans="2:20" x14ac:dyDescent="0.3">
      <c r="B376" s="7">
        <v>375</v>
      </c>
      <c r="C376" s="7" t="s">
        <v>1090</v>
      </c>
      <c r="D376" s="7" t="s">
        <v>924</v>
      </c>
      <c r="E376" s="7" t="str">
        <f t="shared" si="15"/>
        <v>May</v>
      </c>
      <c r="F376" s="7" t="s">
        <v>1091</v>
      </c>
      <c r="G376" s="7" t="s">
        <v>102</v>
      </c>
      <c r="H376" s="7" t="s">
        <v>58</v>
      </c>
      <c r="I376" s="7" t="s">
        <v>106</v>
      </c>
      <c r="J376" s="7" t="s">
        <v>47</v>
      </c>
      <c r="K376" s="7" t="s">
        <v>60</v>
      </c>
      <c r="L376" s="7">
        <v>1457.33</v>
      </c>
      <c r="M376" s="7">
        <v>2</v>
      </c>
      <c r="N376" s="7">
        <v>0.03</v>
      </c>
      <c r="O376" s="7">
        <v>280.95999999999998</v>
      </c>
      <c r="P376" s="7" t="s">
        <v>54</v>
      </c>
      <c r="Q376" s="7" t="s">
        <v>24</v>
      </c>
      <c r="R376" s="7">
        <v>1</v>
      </c>
      <c r="S376" s="7">
        <f t="shared" si="16"/>
        <v>2024</v>
      </c>
      <c r="T376" s="7" t="str">
        <f t="shared" si="17"/>
        <v>May</v>
      </c>
    </row>
    <row r="377" spans="2:20" x14ac:dyDescent="0.3">
      <c r="B377" s="7">
        <v>376</v>
      </c>
      <c r="C377" s="7" t="s">
        <v>1092</v>
      </c>
      <c r="D377" s="7" t="s">
        <v>1093</v>
      </c>
      <c r="E377" s="7" t="str">
        <f t="shared" si="15"/>
        <v>Sep</v>
      </c>
      <c r="F377" s="7" t="s">
        <v>1094</v>
      </c>
      <c r="G377" s="7" t="s">
        <v>36</v>
      </c>
      <c r="H377" s="7" t="s">
        <v>37</v>
      </c>
      <c r="I377" s="7" t="s">
        <v>28</v>
      </c>
      <c r="J377" s="7" t="s">
        <v>47</v>
      </c>
      <c r="K377" s="7" t="s">
        <v>82</v>
      </c>
      <c r="L377" s="7">
        <v>2037.16</v>
      </c>
      <c r="M377" s="7">
        <v>4</v>
      </c>
      <c r="N377" s="7">
        <v>0.04</v>
      </c>
      <c r="O377" s="7">
        <v>321.77999999999997</v>
      </c>
      <c r="P377" s="7" t="s">
        <v>23</v>
      </c>
      <c r="Q377" s="7" t="s">
        <v>86</v>
      </c>
      <c r="R377" s="7">
        <v>2</v>
      </c>
      <c r="S377" s="7">
        <f t="shared" si="16"/>
        <v>2024</v>
      </c>
      <c r="T377" s="7" t="str">
        <f t="shared" si="17"/>
        <v>Sep</v>
      </c>
    </row>
    <row r="378" spans="2:20" x14ac:dyDescent="0.3">
      <c r="B378" s="7">
        <v>377</v>
      </c>
      <c r="C378" s="7" t="s">
        <v>1095</v>
      </c>
      <c r="D378" s="7" t="s">
        <v>1096</v>
      </c>
      <c r="E378" s="7" t="str">
        <f t="shared" si="15"/>
        <v>Mar</v>
      </c>
      <c r="F378" s="7" t="s">
        <v>1097</v>
      </c>
      <c r="G378" s="7" t="s">
        <v>64</v>
      </c>
      <c r="H378" s="7" t="s">
        <v>58</v>
      </c>
      <c r="I378" s="7" t="s">
        <v>106</v>
      </c>
      <c r="J378" s="7" t="s">
        <v>81</v>
      </c>
      <c r="K378" s="7" t="s">
        <v>60</v>
      </c>
      <c r="L378" s="7">
        <v>115.87</v>
      </c>
      <c r="M378" s="7">
        <v>1</v>
      </c>
      <c r="N378" s="7">
        <v>0.13</v>
      </c>
      <c r="O378" s="7">
        <v>22.88</v>
      </c>
      <c r="P378" s="7" t="s">
        <v>54</v>
      </c>
      <c r="Q378" s="7" t="s">
        <v>40</v>
      </c>
      <c r="R378" s="7">
        <v>3</v>
      </c>
      <c r="S378" s="7">
        <f t="shared" si="16"/>
        <v>2025</v>
      </c>
      <c r="T378" s="7" t="str">
        <f t="shared" si="17"/>
        <v>Mar</v>
      </c>
    </row>
    <row r="379" spans="2:20" x14ac:dyDescent="0.3">
      <c r="B379" s="7">
        <v>378</v>
      </c>
      <c r="C379" s="7" t="s">
        <v>1098</v>
      </c>
      <c r="D379" s="7" t="s">
        <v>1099</v>
      </c>
      <c r="E379" s="7" t="str">
        <f t="shared" si="15"/>
        <v>May</v>
      </c>
      <c r="F379" s="7" t="s">
        <v>1100</v>
      </c>
      <c r="G379" s="7" t="s">
        <v>18</v>
      </c>
      <c r="H379" s="7" t="s">
        <v>19</v>
      </c>
      <c r="I379" s="7" t="s">
        <v>46</v>
      </c>
      <c r="J379" s="7" t="s">
        <v>66</v>
      </c>
      <c r="K379" s="7" t="s">
        <v>53</v>
      </c>
      <c r="L379" s="7">
        <v>1955.37</v>
      </c>
      <c r="M379" s="7">
        <v>2</v>
      </c>
      <c r="N379" s="7">
        <v>0.04</v>
      </c>
      <c r="O379" s="7">
        <v>220.47</v>
      </c>
      <c r="P379" s="7" t="s">
        <v>23</v>
      </c>
      <c r="Q379" s="7" t="s">
        <v>32</v>
      </c>
      <c r="R379" s="7">
        <v>4</v>
      </c>
      <c r="S379" s="7">
        <f t="shared" si="16"/>
        <v>2024</v>
      </c>
      <c r="T379" s="7" t="str">
        <f t="shared" si="17"/>
        <v>May</v>
      </c>
    </row>
    <row r="380" spans="2:20" x14ac:dyDescent="0.3">
      <c r="B380" s="7">
        <v>379</v>
      </c>
      <c r="C380" s="7" t="s">
        <v>1101</v>
      </c>
      <c r="D380" s="7" t="s">
        <v>221</v>
      </c>
      <c r="E380" s="7" t="str">
        <f t="shared" si="15"/>
        <v>Oct</v>
      </c>
      <c r="F380" s="7" t="s">
        <v>1102</v>
      </c>
      <c r="G380" s="7" t="s">
        <v>102</v>
      </c>
      <c r="H380" s="7" t="s">
        <v>37</v>
      </c>
      <c r="I380" s="7" t="s">
        <v>28</v>
      </c>
      <c r="J380" s="7" t="s">
        <v>81</v>
      </c>
      <c r="K380" s="7" t="s">
        <v>82</v>
      </c>
      <c r="L380" s="7">
        <v>504.74</v>
      </c>
      <c r="M380" s="7">
        <v>1</v>
      </c>
      <c r="N380" s="7">
        <v>0.11</v>
      </c>
      <c r="O380" s="7">
        <v>164.49</v>
      </c>
      <c r="P380" s="7" t="s">
        <v>31</v>
      </c>
      <c r="Q380" s="7" t="s">
        <v>32</v>
      </c>
      <c r="R380" s="7">
        <v>2</v>
      </c>
      <c r="S380" s="7">
        <f t="shared" si="16"/>
        <v>2024</v>
      </c>
      <c r="T380" s="7" t="str">
        <f t="shared" si="17"/>
        <v>Oct</v>
      </c>
    </row>
    <row r="381" spans="2:20" x14ac:dyDescent="0.3">
      <c r="B381" s="7">
        <v>380</v>
      </c>
      <c r="C381" s="7" t="s">
        <v>1103</v>
      </c>
      <c r="D381" s="7" t="s">
        <v>1104</v>
      </c>
      <c r="E381" s="7" t="str">
        <f t="shared" si="15"/>
        <v>Sep</v>
      </c>
      <c r="F381" s="7" t="s">
        <v>1105</v>
      </c>
      <c r="G381" s="7" t="s">
        <v>36</v>
      </c>
      <c r="H381" s="7" t="s">
        <v>45</v>
      </c>
      <c r="I381" s="7" t="s">
        <v>20</v>
      </c>
      <c r="J381" s="7" t="s">
        <v>81</v>
      </c>
      <c r="K381" s="7" t="s">
        <v>53</v>
      </c>
      <c r="L381" s="7">
        <v>601.66</v>
      </c>
      <c r="M381" s="7">
        <v>1</v>
      </c>
      <c r="N381" s="7">
        <v>0.3</v>
      </c>
      <c r="O381" s="7">
        <v>140.13</v>
      </c>
      <c r="P381" s="7" t="s">
        <v>31</v>
      </c>
      <c r="Q381" s="7" t="s">
        <v>86</v>
      </c>
      <c r="R381" s="7">
        <v>6</v>
      </c>
      <c r="S381" s="7">
        <f t="shared" si="16"/>
        <v>2025</v>
      </c>
      <c r="T381" s="7" t="str">
        <f t="shared" si="17"/>
        <v>Sep</v>
      </c>
    </row>
    <row r="382" spans="2:20" x14ac:dyDescent="0.3">
      <c r="B382" s="7">
        <v>381</v>
      </c>
      <c r="C382" s="7" t="s">
        <v>1106</v>
      </c>
      <c r="D382" s="7" t="s">
        <v>1107</v>
      </c>
      <c r="E382" s="7" t="str">
        <f t="shared" si="15"/>
        <v>Oct</v>
      </c>
      <c r="F382" s="7" t="s">
        <v>1108</v>
      </c>
      <c r="G382" s="7" t="s">
        <v>18</v>
      </c>
      <c r="H382" s="7" t="s">
        <v>45</v>
      </c>
      <c r="I382" s="7" t="s">
        <v>46</v>
      </c>
      <c r="J382" s="7" t="s">
        <v>29</v>
      </c>
      <c r="K382" s="7" t="s">
        <v>82</v>
      </c>
      <c r="L382" s="7">
        <v>3702.25</v>
      </c>
      <c r="M382" s="7">
        <v>5</v>
      </c>
      <c r="N382" s="7">
        <v>0.05</v>
      </c>
      <c r="O382" s="7">
        <v>447.04</v>
      </c>
      <c r="P382" s="7" t="s">
        <v>54</v>
      </c>
      <c r="Q382" s="7" t="s">
        <v>32</v>
      </c>
      <c r="R382" s="7">
        <v>3</v>
      </c>
      <c r="S382" s="7">
        <f t="shared" si="16"/>
        <v>2024</v>
      </c>
      <c r="T382" s="7" t="str">
        <f t="shared" si="17"/>
        <v>Oct</v>
      </c>
    </row>
    <row r="383" spans="2:20" x14ac:dyDescent="0.3">
      <c r="B383" s="7">
        <v>382</v>
      </c>
      <c r="C383" s="7" t="s">
        <v>1109</v>
      </c>
      <c r="D383" s="7" t="s">
        <v>1110</v>
      </c>
      <c r="E383" s="7" t="str">
        <f t="shared" si="15"/>
        <v>Nov</v>
      </c>
      <c r="F383" s="7" t="s">
        <v>1111</v>
      </c>
      <c r="G383" s="7" t="s">
        <v>18</v>
      </c>
      <c r="H383" s="7" t="s">
        <v>51</v>
      </c>
      <c r="I383" s="7" t="s">
        <v>28</v>
      </c>
      <c r="J383" s="7" t="s">
        <v>81</v>
      </c>
      <c r="K383" s="7" t="s">
        <v>30</v>
      </c>
      <c r="L383" s="7">
        <v>710.33</v>
      </c>
      <c r="M383" s="7">
        <v>5</v>
      </c>
      <c r="N383" s="7">
        <v>0.04</v>
      </c>
      <c r="O383" s="7">
        <v>216.36</v>
      </c>
      <c r="P383" s="7" t="s">
        <v>23</v>
      </c>
      <c r="Q383" s="7" t="s">
        <v>86</v>
      </c>
      <c r="R383" s="7">
        <v>2</v>
      </c>
      <c r="S383" s="7">
        <f t="shared" si="16"/>
        <v>2025</v>
      </c>
      <c r="T383" s="7" t="str">
        <f t="shared" si="17"/>
        <v>Nov</v>
      </c>
    </row>
    <row r="384" spans="2:20" x14ac:dyDescent="0.3">
      <c r="B384" s="7">
        <v>383</v>
      </c>
      <c r="C384" s="7" t="s">
        <v>1112</v>
      </c>
      <c r="D384" s="7" t="s">
        <v>1113</v>
      </c>
      <c r="E384" s="7" t="str">
        <f t="shared" si="15"/>
        <v>Feb</v>
      </c>
      <c r="F384" s="7" t="s">
        <v>1114</v>
      </c>
      <c r="G384" s="7" t="s">
        <v>44</v>
      </c>
      <c r="H384" s="7" t="s">
        <v>45</v>
      </c>
      <c r="I384" s="7" t="s">
        <v>28</v>
      </c>
      <c r="J384" s="7" t="s">
        <v>66</v>
      </c>
      <c r="K384" s="7" t="s">
        <v>39</v>
      </c>
      <c r="L384" s="7">
        <v>511.57</v>
      </c>
      <c r="M384" s="7">
        <v>1</v>
      </c>
      <c r="N384" s="7">
        <v>0.17</v>
      </c>
      <c r="O384" s="7">
        <v>143.52000000000001</v>
      </c>
      <c r="P384" s="7" t="s">
        <v>23</v>
      </c>
      <c r="Q384" s="7" t="s">
        <v>77</v>
      </c>
      <c r="R384" s="7">
        <v>6</v>
      </c>
      <c r="S384" s="7">
        <f t="shared" si="16"/>
        <v>2025</v>
      </c>
      <c r="T384" s="7" t="str">
        <f t="shared" si="17"/>
        <v>Feb</v>
      </c>
    </row>
    <row r="385" spans="2:20" x14ac:dyDescent="0.3">
      <c r="B385" s="7">
        <v>384</v>
      </c>
      <c r="C385" s="7" t="s">
        <v>1115</v>
      </c>
      <c r="D385" s="7" t="s">
        <v>1116</v>
      </c>
      <c r="E385" s="7" t="str">
        <f t="shared" si="15"/>
        <v>Aug</v>
      </c>
      <c r="F385" s="7" t="s">
        <v>1117</v>
      </c>
      <c r="G385" s="7" t="s">
        <v>44</v>
      </c>
      <c r="H385" s="7" t="s">
        <v>19</v>
      </c>
      <c r="I385" s="7" t="s">
        <v>116</v>
      </c>
      <c r="J385" s="7" t="s">
        <v>47</v>
      </c>
      <c r="K385" s="7" t="s">
        <v>30</v>
      </c>
      <c r="L385" s="7">
        <v>96.84</v>
      </c>
      <c r="M385" s="7">
        <v>1</v>
      </c>
      <c r="N385" s="7">
        <v>0.03</v>
      </c>
      <c r="O385" s="7">
        <v>14.06</v>
      </c>
      <c r="P385" s="7" t="s">
        <v>31</v>
      </c>
      <c r="Q385" s="7" t="s">
        <v>77</v>
      </c>
      <c r="R385" s="7">
        <v>8</v>
      </c>
      <c r="S385" s="7">
        <f t="shared" si="16"/>
        <v>2024</v>
      </c>
      <c r="T385" s="7" t="str">
        <f t="shared" si="17"/>
        <v>Aug</v>
      </c>
    </row>
    <row r="386" spans="2:20" x14ac:dyDescent="0.3">
      <c r="B386" s="7">
        <v>385</v>
      </c>
      <c r="C386" s="7" t="s">
        <v>1118</v>
      </c>
      <c r="D386" s="7" t="s">
        <v>566</v>
      </c>
      <c r="E386" s="7" t="str">
        <f t="shared" si="15"/>
        <v>Sep</v>
      </c>
      <c r="F386" s="7" t="s">
        <v>1119</v>
      </c>
      <c r="G386" s="7" t="s">
        <v>44</v>
      </c>
      <c r="H386" s="7" t="s">
        <v>51</v>
      </c>
      <c r="I386" s="7" t="s">
        <v>116</v>
      </c>
      <c r="J386" s="7" t="s">
        <v>81</v>
      </c>
      <c r="K386" s="7" t="s">
        <v>53</v>
      </c>
      <c r="L386" s="7">
        <v>3516.85</v>
      </c>
      <c r="M386" s="7">
        <v>4</v>
      </c>
      <c r="N386" s="7">
        <v>0.26</v>
      </c>
      <c r="O386" s="7">
        <v>1207.55</v>
      </c>
      <c r="P386" s="7" t="s">
        <v>54</v>
      </c>
      <c r="Q386" s="7" t="s">
        <v>24</v>
      </c>
      <c r="R386" s="7">
        <v>1</v>
      </c>
      <c r="S386" s="7">
        <f t="shared" si="16"/>
        <v>2025</v>
      </c>
      <c r="T386" s="7" t="str">
        <f t="shared" si="17"/>
        <v>Sep</v>
      </c>
    </row>
    <row r="387" spans="2:20" x14ac:dyDescent="0.3">
      <c r="B387" s="7">
        <v>386</v>
      </c>
      <c r="C387" s="7" t="s">
        <v>1120</v>
      </c>
      <c r="D387" s="7" t="s">
        <v>1121</v>
      </c>
      <c r="E387" s="7" t="str">
        <f t="shared" ref="E387:E450" si="18">TEXT(D387,"mmm")</f>
        <v>Oct</v>
      </c>
      <c r="F387" s="7" t="s">
        <v>1122</v>
      </c>
      <c r="G387" s="7" t="s">
        <v>36</v>
      </c>
      <c r="H387" s="7" t="s">
        <v>37</v>
      </c>
      <c r="I387" s="7" t="s">
        <v>59</v>
      </c>
      <c r="J387" s="7" t="s">
        <v>21</v>
      </c>
      <c r="K387" s="7" t="s">
        <v>60</v>
      </c>
      <c r="L387" s="7">
        <v>2101.5</v>
      </c>
      <c r="M387" s="7">
        <v>4</v>
      </c>
      <c r="N387" s="7">
        <v>0.15</v>
      </c>
      <c r="O387" s="7">
        <v>323.58</v>
      </c>
      <c r="P387" s="7" t="s">
        <v>54</v>
      </c>
      <c r="Q387" s="7" t="s">
        <v>32</v>
      </c>
      <c r="R387" s="7">
        <v>2</v>
      </c>
      <c r="S387" s="7">
        <f t="shared" ref="S387:S450" si="19">YEAR(D387)</f>
        <v>2024</v>
      </c>
      <c r="T387" s="7" t="str">
        <f t="shared" ref="T387:T450" si="20">TEXT(D387,"mmm")</f>
        <v>Oct</v>
      </c>
    </row>
    <row r="388" spans="2:20" x14ac:dyDescent="0.3">
      <c r="B388" s="7">
        <v>387</v>
      </c>
      <c r="C388" s="7" t="s">
        <v>1123</v>
      </c>
      <c r="D388" s="7" t="s">
        <v>1124</v>
      </c>
      <c r="E388" s="7" t="str">
        <f t="shared" si="18"/>
        <v>Jun</v>
      </c>
      <c r="F388" s="7" t="s">
        <v>231</v>
      </c>
      <c r="G388" s="7" t="s">
        <v>36</v>
      </c>
      <c r="H388" s="7" t="s">
        <v>51</v>
      </c>
      <c r="I388" s="7" t="s">
        <v>46</v>
      </c>
      <c r="J388" s="7" t="s">
        <v>47</v>
      </c>
      <c r="K388" s="7" t="s">
        <v>76</v>
      </c>
      <c r="L388" s="7">
        <v>480.04</v>
      </c>
      <c r="M388" s="7">
        <v>3</v>
      </c>
      <c r="N388" s="7">
        <v>0.11</v>
      </c>
      <c r="O388" s="7">
        <v>57.21</v>
      </c>
      <c r="P388" s="7" t="s">
        <v>31</v>
      </c>
      <c r="Q388" s="7" t="s">
        <v>86</v>
      </c>
      <c r="R388" s="7">
        <v>3</v>
      </c>
      <c r="S388" s="7">
        <f t="shared" si="19"/>
        <v>2024</v>
      </c>
      <c r="T388" s="7" t="str">
        <f t="shared" si="20"/>
        <v>Jun</v>
      </c>
    </row>
    <row r="389" spans="2:20" x14ac:dyDescent="0.3">
      <c r="B389" s="7">
        <v>388</v>
      </c>
      <c r="C389" s="7" t="s">
        <v>1125</v>
      </c>
      <c r="D389" s="7" t="s">
        <v>1126</v>
      </c>
      <c r="E389" s="7" t="str">
        <f t="shared" si="18"/>
        <v>Jul</v>
      </c>
      <c r="F389" s="7" t="s">
        <v>1127</v>
      </c>
      <c r="G389" s="7" t="s">
        <v>36</v>
      </c>
      <c r="H389" s="7" t="s">
        <v>58</v>
      </c>
      <c r="I389" s="7" t="s">
        <v>106</v>
      </c>
      <c r="J389" s="7" t="s">
        <v>21</v>
      </c>
      <c r="K389" s="7" t="s">
        <v>76</v>
      </c>
      <c r="L389" s="7">
        <v>743.46</v>
      </c>
      <c r="M389" s="7">
        <v>1</v>
      </c>
      <c r="N389" s="7">
        <v>0.09</v>
      </c>
      <c r="O389" s="7">
        <v>171.26</v>
      </c>
      <c r="P389" s="7" t="s">
        <v>54</v>
      </c>
      <c r="Q389" s="7" t="s">
        <v>32</v>
      </c>
      <c r="R389" s="7">
        <v>4</v>
      </c>
      <c r="S389" s="7">
        <f t="shared" si="19"/>
        <v>2025</v>
      </c>
      <c r="T389" s="7" t="str">
        <f t="shared" si="20"/>
        <v>Jul</v>
      </c>
    </row>
    <row r="390" spans="2:20" x14ac:dyDescent="0.3">
      <c r="B390" s="7">
        <v>389</v>
      </c>
      <c r="C390" s="7" t="s">
        <v>1128</v>
      </c>
      <c r="D390" s="7" t="s">
        <v>127</v>
      </c>
      <c r="E390" s="7" t="str">
        <f t="shared" si="18"/>
        <v>Aug</v>
      </c>
      <c r="F390" s="7" t="s">
        <v>1129</v>
      </c>
      <c r="G390" s="7" t="s">
        <v>64</v>
      </c>
      <c r="H390" s="7" t="s">
        <v>71</v>
      </c>
      <c r="I390" s="7" t="s">
        <v>46</v>
      </c>
      <c r="J390" s="7" t="s">
        <v>66</v>
      </c>
      <c r="K390" s="7" t="s">
        <v>60</v>
      </c>
      <c r="L390" s="7">
        <v>3099.44</v>
      </c>
      <c r="M390" s="7">
        <v>4</v>
      </c>
      <c r="N390" s="7">
        <v>0.26</v>
      </c>
      <c r="O390" s="7">
        <v>478.02</v>
      </c>
      <c r="P390" s="7" t="s">
        <v>23</v>
      </c>
      <c r="Q390" s="7" t="s">
        <v>77</v>
      </c>
      <c r="R390" s="7">
        <v>10</v>
      </c>
      <c r="S390" s="7">
        <f t="shared" si="19"/>
        <v>2025</v>
      </c>
      <c r="T390" s="7" t="str">
        <f t="shared" si="20"/>
        <v>Aug</v>
      </c>
    </row>
    <row r="391" spans="2:20" x14ac:dyDescent="0.3">
      <c r="B391" s="7">
        <v>390</v>
      </c>
      <c r="C391" s="7" t="s">
        <v>1130</v>
      </c>
      <c r="D391" s="7" t="s">
        <v>1131</v>
      </c>
      <c r="E391" s="7" t="str">
        <f t="shared" si="18"/>
        <v>May</v>
      </c>
      <c r="F391" s="7" t="s">
        <v>1132</v>
      </c>
      <c r="G391" s="7" t="s">
        <v>18</v>
      </c>
      <c r="H391" s="7" t="s">
        <v>51</v>
      </c>
      <c r="I391" s="7" t="s">
        <v>28</v>
      </c>
      <c r="J391" s="7" t="s">
        <v>66</v>
      </c>
      <c r="K391" s="7" t="s">
        <v>22</v>
      </c>
      <c r="L391" s="7">
        <v>630.38</v>
      </c>
      <c r="M391" s="7">
        <v>2</v>
      </c>
      <c r="N391" s="7">
        <v>0.14000000000000001</v>
      </c>
      <c r="O391" s="7">
        <v>109.78</v>
      </c>
      <c r="P391" s="7" t="s">
        <v>54</v>
      </c>
      <c r="Q391" s="7" t="s">
        <v>77</v>
      </c>
      <c r="R391" s="7">
        <v>2</v>
      </c>
      <c r="S391" s="7">
        <f t="shared" si="19"/>
        <v>2024</v>
      </c>
      <c r="T391" s="7" t="str">
        <f t="shared" si="20"/>
        <v>May</v>
      </c>
    </row>
    <row r="392" spans="2:20" x14ac:dyDescent="0.3">
      <c r="B392" s="7">
        <v>391</v>
      </c>
      <c r="C392" s="7" t="s">
        <v>1133</v>
      </c>
      <c r="D392" s="7" t="s">
        <v>1134</v>
      </c>
      <c r="E392" s="7" t="str">
        <f t="shared" si="18"/>
        <v>Jan</v>
      </c>
      <c r="F392" s="7" t="s">
        <v>1135</v>
      </c>
      <c r="G392" s="7" t="s">
        <v>102</v>
      </c>
      <c r="H392" s="7" t="s">
        <v>37</v>
      </c>
      <c r="I392" s="7" t="s">
        <v>52</v>
      </c>
      <c r="J392" s="7" t="s">
        <v>66</v>
      </c>
      <c r="K392" s="7" t="s">
        <v>72</v>
      </c>
      <c r="L392" s="7">
        <v>1680.34</v>
      </c>
      <c r="M392" s="7">
        <v>4</v>
      </c>
      <c r="N392" s="7">
        <v>0.03</v>
      </c>
      <c r="O392" s="7">
        <v>401.63</v>
      </c>
      <c r="P392" s="7" t="s">
        <v>23</v>
      </c>
      <c r="Q392" s="7" t="s">
        <v>40</v>
      </c>
      <c r="R392" s="7">
        <v>7</v>
      </c>
      <c r="S392" s="7">
        <f t="shared" si="19"/>
        <v>2024</v>
      </c>
      <c r="T392" s="7" t="str">
        <f t="shared" si="20"/>
        <v>Jan</v>
      </c>
    </row>
    <row r="393" spans="2:20" x14ac:dyDescent="0.3">
      <c r="B393" s="7">
        <v>392</v>
      </c>
      <c r="C393" s="7" t="s">
        <v>1136</v>
      </c>
      <c r="D393" s="7" t="s">
        <v>1137</v>
      </c>
      <c r="E393" s="7" t="str">
        <f t="shared" si="18"/>
        <v>Dec</v>
      </c>
      <c r="F393" s="7" t="s">
        <v>1138</v>
      </c>
      <c r="G393" s="7" t="s">
        <v>18</v>
      </c>
      <c r="H393" s="7" t="s">
        <v>37</v>
      </c>
      <c r="I393" s="7" t="s">
        <v>52</v>
      </c>
      <c r="J393" s="7" t="s">
        <v>29</v>
      </c>
      <c r="K393" s="7" t="s">
        <v>76</v>
      </c>
      <c r="L393" s="7">
        <v>1563.29</v>
      </c>
      <c r="M393" s="7">
        <v>2</v>
      </c>
      <c r="N393" s="7">
        <v>0.01</v>
      </c>
      <c r="O393" s="7">
        <v>357.63</v>
      </c>
      <c r="P393" s="7" t="s">
        <v>31</v>
      </c>
      <c r="Q393" s="7" t="s">
        <v>40</v>
      </c>
      <c r="R393" s="7">
        <v>3</v>
      </c>
      <c r="S393" s="7">
        <f t="shared" si="19"/>
        <v>2024</v>
      </c>
      <c r="T393" s="7" t="str">
        <f t="shared" si="20"/>
        <v>Dec</v>
      </c>
    </row>
    <row r="394" spans="2:20" x14ac:dyDescent="0.3">
      <c r="B394" s="7">
        <v>393</v>
      </c>
      <c r="C394" s="7" t="s">
        <v>1139</v>
      </c>
      <c r="D394" s="7" t="s">
        <v>1140</v>
      </c>
      <c r="E394" s="7" t="str">
        <f t="shared" si="18"/>
        <v>Aug</v>
      </c>
      <c r="F394" s="7" t="s">
        <v>1141</v>
      </c>
      <c r="G394" s="7" t="s">
        <v>102</v>
      </c>
      <c r="H394" s="7" t="s">
        <v>51</v>
      </c>
      <c r="I394" s="7" t="s">
        <v>46</v>
      </c>
      <c r="J394" s="7" t="s">
        <v>29</v>
      </c>
      <c r="K394" s="7" t="s">
        <v>60</v>
      </c>
      <c r="L394" s="7">
        <v>213.43</v>
      </c>
      <c r="M394" s="7">
        <v>2</v>
      </c>
      <c r="N394" s="7">
        <v>0.1</v>
      </c>
      <c r="O394" s="7">
        <v>28.75</v>
      </c>
      <c r="P394" s="7" t="s">
        <v>54</v>
      </c>
      <c r="Q394" s="7" t="s">
        <v>77</v>
      </c>
      <c r="R394" s="7">
        <v>8</v>
      </c>
      <c r="S394" s="7">
        <f t="shared" si="19"/>
        <v>2024</v>
      </c>
      <c r="T394" s="7" t="str">
        <f t="shared" si="20"/>
        <v>Aug</v>
      </c>
    </row>
    <row r="395" spans="2:20" x14ac:dyDescent="0.3">
      <c r="B395" s="7">
        <v>394</v>
      </c>
      <c r="C395" s="7" t="s">
        <v>1142</v>
      </c>
      <c r="D395" s="7" t="s">
        <v>1143</v>
      </c>
      <c r="E395" s="7" t="str">
        <f t="shared" si="18"/>
        <v>Apr</v>
      </c>
      <c r="F395" s="7" t="s">
        <v>1144</v>
      </c>
      <c r="G395" s="7" t="s">
        <v>44</v>
      </c>
      <c r="H395" s="7" t="s">
        <v>19</v>
      </c>
      <c r="I395" s="7" t="s">
        <v>116</v>
      </c>
      <c r="J395" s="7" t="s">
        <v>21</v>
      </c>
      <c r="K395" s="7" t="s">
        <v>76</v>
      </c>
      <c r="L395" s="7">
        <v>181.03</v>
      </c>
      <c r="M395" s="7">
        <v>1</v>
      </c>
      <c r="N395" s="7">
        <v>0.1</v>
      </c>
      <c r="O395" s="7">
        <v>59.02</v>
      </c>
      <c r="P395" s="7" t="s">
        <v>23</v>
      </c>
      <c r="Q395" s="7" t="s">
        <v>40</v>
      </c>
      <c r="R395" s="7">
        <v>9</v>
      </c>
      <c r="S395" s="7">
        <f t="shared" si="19"/>
        <v>2025</v>
      </c>
      <c r="T395" s="7" t="str">
        <f t="shared" si="20"/>
        <v>Apr</v>
      </c>
    </row>
    <row r="396" spans="2:20" x14ac:dyDescent="0.3">
      <c r="B396" s="7">
        <v>395</v>
      </c>
      <c r="C396" s="7" t="s">
        <v>1145</v>
      </c>
      <c r="D396" s="7" t="s">
        <v>1146</v>
      </c>
      <c r="E396" s="7" t="str">
        <f t="shared" si="18"/>
        <v>Dec</v>
      </c>
      <c r="F396" s="7" t="s">
        <v>1147</v>
      </c>
      <c r="G396" s="7" t="s">
        <v>18</v>
      </c>
      <c r="H396" s="7" t="s">
        <v>19</v>
      </c>
      <c r="I396" s="7" t="s">
        <v>20</v>
      </c>
      <c r="J396" s="7" t="s">
        <v>29</v>
      </c>
      <c r="K396" s="7" t="s">
        <v>39</v>
      </c>
      <c r="L396" s="7">
        <v>869.81</v>
      </c>
      <c r="M396" s="7">
        <v>4</v>
      </c>
      <c r="N396" s="7">
        <v>0.27</v>
      </c>
      <c r="O396" s="7">
        <v>212.41</v>
      </c>
      <c r="P396" s="7" t="s">
        <v>54</v>
      </c>
      <c r="Q396" s="7" t="s">
        <v>86</v>
      </c>
      <c r="R396" s="7">
        <v>8</v>
      </c>
      <c r="S396" s="7">
        <f t="shared" si="19"/>
        <v>2024</v>
      </c>
      <c r="T396" s="7" t="str">
        <f t="shared" si="20"/>
        <v>Dec</v>
      </c>
    </row>
    <row r="397" spans="2:20" x14ac:dyDescent="0.3">
      <c r="B397" s="7">
        <v>396</v>
      </c>
      <c r="C397" s="7" t="s">
        <v>1148</v>
      </c>
      <c r="D397" s="7" t="s">
        <v>1149</v>
      </c>
      <c r="E397" s="7" t="str">
        <f t="shared" si="18"/>
        <v>Mar</v>
      </c>
      <c r="F397" s="7" t="s">
        <v>1150</v>
      </c>
      <c r="G397" s="7" t="s">
        <v>64</v>
      </c>
      <c r="H397" s="7" t="s">
        <v>71</v>
      </c>
      <c r="I397" s="7" t="s">
        <v>52</v>
      </c>
      <c r="J397" s="7" t="s">
        <v>47</v>
      </c>
      <c r="K397" s="7" t="s">
        <v>72</v>
      </c>
      <c r="L397" s="7">
        <v>1311.86</v>
      </c>
      <c r="M397" s="7">
        <v>3</v>
      </c>
      <c r="N397" s="7">
        <v>0.23</v>
      </c>
      <c r="O397" s="7">
        <v>331.04</v>
      </c>
      <c r="P397" s="7" t="s">
        <v>23</v>
      </c>
      <c r="Q397" s="7" t="s">
        <v>24</v>
      </c>
      <c r="R397" s="7">
        <v>7</v>
      </c>
      <c r="S397" s="7">
        <f t="shared" si="19"/>
        <v>2025</v>
      </c>
      <c r="T397" s="7" t="str">
        <f t="shared" si="20"/>
        <v>Mar</v>
      </c>
    </row>
    <row r="398" spans="2:20" x14ac:dyDescent="0.3">
      <c r="B398" s="7">
        <v>397</v>
      </c>
      <c r="C398" s="7" t="s">
        <v>1151</v>
      </c>
      <c r="D398" s="7" t="s">
        <v>544</v>
      </c>
      <c r="E398" s="7" t="str">
        <f t="shared" si="18"/>
        <v>Aug</v>
      </c>
      <c r="F398" s="7" t="s">
        <v>1152</v>
      </c>
      <c r="G398" s="7" t="s">
        <v>64</v>
      </c>
      <c r="H398" s="7" t="s">
        <v>58</v>
      </c>
      <c r="I398" s="7" t="s">
        <v>38</v>
      </c>
      <c r="J398" s="7" t="s">
        <v>66</v>
      </c>
      <c r="K398" s="7" t="s">
        <v>82</v>
      </c>
      <c r="L398" s="7">
        <v>415.68</v>
      </c>
      <c r="M398" s="7">
        <v>2</v>
      </c>
      <c r="N398" s="7">
        <v>0.16</v>
      </c>
      <c r="O398" s="7">
        <v>110.17</v>
      </c>
      <c r="P398" s="7" t="s">
        <v>31</v>
      </c>
      <c r="Q398" s="7" t="s">
        <v>24</v>
      </c>
      <c r="R398" s="7">
        <v>4</v>
      </c>
      <c r="S398" s="7">
        <f t="shared" si="19"/>
        <v>2024</v>
      </c>
      <c r="T398" s="7" t="str">
        <f t="shared" si="20"/>
        <v>Aug</v>
      </c>
    </row>
    <row r="399" spans="2:20" x14ac:dyDescent="0.3">
      <c r="B399" s="7">
        <v>398</v>
      </c>
      <c r="C399" s="7" t="s">
        <v>1153</v>
      </c>
      <c r="D399" s="7" t="s">
        <v>478</v>
      </c>
      <c r="E399" s="7" t="str">
        <f t="shared" si="18"/>
        <v>Oct</v>
      </c>
      <c r="F399" s="7" t="s">
        <v>1154</v>
      </c>
      <c r="G399" s="7" t="s">
        <v>36</v>
      </c>
      <c r="H399" s="7" t="s">
        <v>37</v>
      </c>
      <c r="I399" s="7" t="s">
        <v>46</v>
      </c>
      <c r="J399" s="7" t="s">
        <v>47</v>
      </c>
      <c r="K399" s="7" t="s">
        <v>82</v>
      </c>
      <c r="L399" s="7">
        <v>245.62</v>
      </c>
      <c r="M399" s="7">
        <v>1</v>
      </c>
      <c r="N399" s="7">
        <v>0.28999999999999998</v>
      </c>
      <c r="O399" s="7">
        <v>82.2</v>
      </c>
      <c r="P399" s="7" t="s">
        <v>23</v>
      </c>
      <c r="Q399" s="7" t="s">
        <v>32</v>
      </c>
      <c r="R399" s="7">
        <v>9</v>
      </c>
      <c r="S399" s="7">
        <f t="shared" si="19"/>
        <v>2024</v>
      </c>
      <c r="T399" s="7" t="str">
        <f t="shared" si="20"/>
        <v>Oct</v>
      </c>
    </row>
    <row r="400" spans="2:20" x14ac:dyDescent="0.3">
      <c r="B400" s="7">
        <v>399</v>
      </c>
      <c r="C400" s="7" t="s">
        <v>1155</v>
      </c>
      <c r="D400" s="7" t="s">
        <v>1156</v>
      </c>
      <c r="E400" s="7" t="str">
        <f t="shared" si="18"/>
        <v>Aug</v>
      </c>
      <c r="F400" s="7" t="s">
        <v>1157</v>
      </c>
      <c r="G400" s="7" t="s">
        <v>18</v>
      </c>
      <c r="H400" s="7" t="s">
        <v>51</v>
      </c>
      <c r="I400" s="7" t="s">
        <v>106</v>
      </c>
      <c r="J400" s="7" t="s">
        <v>29</v>
      </c>
      <c r="K400" s="7" t="s">
        <v>53</v>
      </c>
      <c r="L400" s="7">
        <v>2977.65</v>
      </c>
      <c r="M400" s="7">
        <v>5</v>
      </c>
      <c r="N400" s="7">
        <v>0.21</v>
      </c>
      <c r="O400" s="7">
        <v>829.3</v>
      </c>
      <c r="P400" s="7" t="s">
        <v>54</v>
      </c>
      <c r="Q400" s="7" t="s">
        <v>24</v>
      </c>
      <c r="R400" s="7">
        <v>9</v>
      </c>
      <c r="S400" s="7">
        <f t="shared" si="19"/>
        <v>2025</v>
      </c>
      <c r="T400" s="7" t="str">
        <f t="shared" si="20"/>
        <v>Aug</v>
      </c>
    </row>
    <row r="401" spans="2:20" x14ac:dyDescent="0.3">
      <c r="B401" s="7">
        <v>400</v>
      </c>
      <c r="C401" s="7" t="s">
        <v>1158</v>
      </c>
      <c r="D401" s="7" t="s">
        <v>1159</v>
      </c>
      <c r="E401" s="7" t="str">
        <f t="shared" si="18"/>
        <v>Oct</v>
      </c>
      <c r="F401" s="7" t="s">
        <v>1160</v>
      </c>
      <c r="G401" s="7" t="s">
        <v>18</v>
      </c>
      <c r="H401" s="7" t="s">
        <v>71</v>
      </c>
      <c r="I401" s="7" t="s">
        <v>46</v>
      </c>
      <c r="J401" s="7" t="s">
        <v>47</v>
      </c>
      <c r="K401" s="7" t="s">
        <v>22</v>
      </c>
      <c r="L401" s="7">
        <v>2737.28</v>
      </c>
      <c r="M401" s="7">
        <v>3</v>
      </c>
      <c r="N401" s="7">
        <v>0.21</v>
      </c>
      <c r="O401" s="7">
        <v>557.80999999999995</v>
      </c>
      <c r="P401" s="7" t="s">
        <v>23</v>
      </c>
      <c r="Q401" s="7" t="s">
        <v>40</v>
      </c>
      <c r="R401" s="7">
        <v>9</v>
      </c>
      <c r="S401" s="7">
        <f t="shared" si="19"/>
        <v>2025</v>
      </c>
      <c r="T401" s="7" t="str">
        <f t="shared" si="20"/>
        <v>Oct</v>
      </c>
    </row>
    <row r="402" spans="2:20" x14ac:dyDescent="0.3">
      <c r="B402" s="7">
        <v>401</v>
      </c>
      <c r="C402" s="7" t="s">
        <v>1161</v>
      </c>
      <c r="D402" s="7" t="s">
        <v>1162</v>
      </c>
      <c r="E402" s="7" t="str">
        <f t="shared" si="18"/>
        <v>Apr</v>
      </c>
      <c r="F402" s="7" t="s">
        <v>1163</v>
      </c>
      <c r="G402" s="7" t="s">
        <v>102</v>
      </c>
      <c r="H402" s="7" t="s">
        <v>65</v>
      </c>
      <c r="I402" s="7" t="s">
        <v>52</v>
      </c>
      <c r="J402" s="7" t="s">
        <v>29</v>
      </c>
      <c r="K402" s="7" t="s">
        <v>67</v>
      </c>
      <c r="L402" s="7">
        <v>1972.5</v>
      </c>
      <c r="M402" s="7">
        <v>4</v>
      </c>
      <c r="N402" s="7">
        <v>0.21</v>
      </c>
      <c r="O402" s="7">
        <v>526.5</v>
      </c>
      <c r="P402" s="7" t="s">
        <v>23</v>
      </c>
      <c r="Q402" s="7" t="s">
        <v>40</v>
      </c>
      <c r="R402" s="7">
        <v>10</v>
      </c>
      <c r="S402" s="7">
        <f t="shared" si="19"/>
        <v>2025</v>
      </c>
      <c r="T402" s="7" t="str">
        <f t="shared" si="20"/>
        <v>Apr</v>
      </c>
    </row>
    <row r="403" spans="2:20" x14ac:dyDescent="0.3">
      <c r="B403" s="7">
        <v>402</v>
      </c>
      <c r="C403" s="7" t="s">
        <v>1164</v>
      </c>
      <c r="D403" s="7" t="s">
        <v>512</v>
      </c>
      <c r="E403" s="7" t="str">
        <f t="shared" si="18"/>
        <v>May</v>
      </c>
      <c r="F403" s="7" t="s">
        <v>1165</v>
      </c>
      <c r="G403" s="7" t="s">
        <v>18</v>
      </c>
      <c r="H403" s="7" t="s">
        <v>65</v>
      </c>
      <c r="I403" s="7" t="s">
        <v>20</v>
      </c>
      <c r="J403" s="7" t="s">
        <v>66</v>
      </c>
      <c r="K403" s="7" t="s">
        <v>67</v>
      </c>
      <c r="L403" s="7">
        <v>1716.37</v>
      </c>
      <c r="M403" s="7">
        <v>2</v>
      </c>
      <c r="N403" s="7">
        <v>0.2</v>
      </c>
      <c r="O403" s="7">
        <v>211.06</v>
      </c>
      <c r="P403" s="7" t="s">
        <v>23</v>
      </c>
      <c r="Q403" s="7" t="s">
        <v>32</v>
      </c>
      <c r="R403" s="7">
        <v>3</v>
      </c>
      <c r="S403" s="7">
        <f t="shared" si="19"/>
        <v>2024</v>
      </c>
      <c r="T403" s="7" t="str">
        <f t="shared" si="20"/>
        <v>May</v>
      </c>
    </row>
    <row r="404" spans="2:20" x14ac:dyDescent="0.3">
      <c r="B404" s="7">
        <v>403</v>
      </c>
      <c r="C404" s="7" t="s">
        <v>1166</v>
      </c>
      <c r="D404" s="7" t="s">
        <v>1167</v>
      </c>
      <c r="E404" s="7" t="str">
        <f t="shared" si="18"/>
        <v>Aug</v>
      </c>
      <c r="F404" s="7" t="s">
        <v>1168</v>
      </c>
      <c r="G404" s="7" t="s">
        <v>44</v>
      </c>
      <c r="H404" s="7" t="s">
        <v>71</v>
      </c>
      <c r="I404" s="7" t="s">
        <v>52</v>
      </c>
      <c r="J404" s="7" t="s">
        <v>66</v>
      </c>
      <c r="K404" s="7" t="s">
        <v>72</v>
      </c>
      <c r="L404" s="7">
        <v>2172.8200000000002</v>
      </c>
      <c r="M404" s="7">
        <v>5</v>
      </c>
      <c r="N404" s="7">
        <v>0.1</v>
      </c>
      <c r="O404" s="7">
        <v>362.89</v>
      </c>
      <c r="P404" s="7" t="s">
        <v>31</v>
      </c>
      <c r="Q404" s="7" t="s">
        <v>86</v>
      </c>
      <c r="R404" s="7">
        <v>4</v>
      </c>
      <c r="S404" s="7">
        <f t="shared" si="19"/>
        <v>2024</v>
      </c>
      <c r="T404" s="7" t="str">
        <f t="shared" si="20"/>
        <v>Aug</v>
      </c>
    </row>
    <row r="405" spans="2:20" x14ac:dyDescent="0.3">
      <c r="B405" s="7">
        <v>404</v>
      </c>
      <c r="C405" s="7" t="s">
        <v>1169</v>
      </c>
      <c r="D405" s="7" t="s">
        <v>447</v>
      </c>
      <c r="E405" s="7" t="str">
        <f t="shared" si="18"/>
        <v>Oct</v>
      </c>
      <c r="F405" s="7" t="s">
        <v>1170</v>
      </c>
      <c r="G405" s="7" t="s">
        <v>64</v>
      </c>
      <c r="H405" s="7" t="s">
        <v>45</v>
      </c>
      <c r="I405" s="7" t="s">
        <v>28</v>
      </c>
      <c r="J405" s="7" t="s">
        <v>66</v>
      </c>
      <c r="K405" s="7" t="s">
        <v>22</v>
      </c>
      <c r="L405" s="7">
        <v>3915.89</v>
      </c>
      <c r="M405" s="7">
        <v>4</v>
      </c>
      <c r="N405" s="7">
        <v>7.0000000000000007E-2</v>
      </c>
      <c r="O405" s="7">
        <v>1169.3900000000001</v>
      </c>
      <c r="P405" s="7" t="s">
        <v>23</v>
      </c>
      <c r="Q405" s="7" t="s">
        <v>24</v>
      </c>
      <c r="R405" s="7">
        <v>10</v>
      </c>
      <c r="S405" s="7">
        <f t="shared" si="19"/>
        <v>2025</v>
      </c>
      <c r="T405" s="7" t="str">
        <f t="shared" si="20"/>
        <v>Oct</v>
      </c>
    </row>
    <row r="406" spans="2:20" x14ac:dyDescent="0.3">
      <c r="B406" s="7">
        <v>405</v>
      </c>
      <c r="C406" s="7" t="s">
        <v>1171</v>
      </c>
      <c r="D406" s="7" t="s">
        <v>1172</v>
      </c>
      <c r="E406" s="7" t="str">
        <f t="shared" si="18"/>
        <v>Jul</v>
      </c>
      <c r="F406" s="7" t="s">
        <v>1173</v>
      </c>
      <c r="G406" s="7" t="s">
        <v>36</v>
      </c>
      <c r="H406" s="7" t="s">
        <v>45</v>
      </c>
      <c r="I406" s="7" t="s">
        <v>20</v>
      </c>
      <c r="J406" s="7" t="s">
        <v>29</v>
      </c>
      <c r="K406" s="7" t="s">
        <v>72</v>
      </c>
      <c r="L406" s="7">
        <v>1143.6300000000001</v>
      </c>
      <c r="M406" s="7">
        <v>5</v>
      </c>
      <c r="N406" s="7">
        <v>0.01</v>
      </c>
      <c r="O406" s="7">
        <v>245.66</v>
      </c>
      <c r="P406" s="7" t="s">
        <v>23</v>
      </c>
      <c r="Q406" s="7" t="s">
        <v>32</v>
      </c>
      <c r="R406" s="7">
        <v>5</v>
      </c>
      <c r="S406" s="7">
        <f t="shared" si="19"/>
        <v>2024</v>
      </c>
      <c r="T406" s="7" t="str">
        <f t="shared" si="20"/>
        <v>Jul</v>
      </c>
    </row>
    <row r="407" spans="2:20" x14ac:dyDescent="0.3">
      <c r="B407" s="7">
        <v>406</v>
      </c>
      <c r="C407" s="7" t="s">
        <v>1174</v>
      </c>
      <c r="D407" s="7" t="s">
        <v>358</v>
      </c>
      <c r="E407" s="7" t="str">
        <f t="shared" si="18"/>
        <v>Apr</v>
      </c>
      <c r="F407" s="7" t="s">
        <v>1175</v>
      </c>
      <c r="G407" s="7" t="s">
        <v>44</v>
      </c>
      <c r="H407" s="7" t="s">
        <v>58</v>
      </c>
      <c r="I407" s="7" t="s">
        <v>52</v>
      </c>
      <c r="J407" s="7" t="s">
        <v>29</v>
      </c>
      <c r="K407" s="7" t="s">
        <v>67</v>
      </c>
      <c r="L407" s="7">
        <v>2031.32</v>
      </c>
      <c r="M407" s="7">
        <v>4</v>
      </c>
      <c r="N407" s="7">
        <v>0.26</v>
      </c>
      <c r="O407" s="7">
        <v>497.16</v>
      </c>
      <c r="P407" s="7" t="s">
        <v>31</v>
      </c>
      <c r="Q407" s="7" t="s">
        <v>40</v>
      </c>
      <c r="R407" s="7">
        <v>7</v>
      </c>
      <c r="S407" s="7">
        <f t="shared" si="19"/>
        <v>2025</v>
      </c>
      <c r="T407" s="7" t="str">
        <f t="shared" si="20"/>
        <v>Apr</v>
      </c>
    </row>
    <row r="408" spans="2:20" x14ac:dyDescent="0.3">
      <c r="B408" s="7">
        <v>407</v>
      </c>
      <c r="C408" s="7" t="s">
        <v>1176</v>
      </c>
      <c r="D408" s="7" t="s">
        <v>296</v>
      </c>
      <c r="E408" s="7" t="str">
        <f t="shared" si="18"/>
        <v>Dec</v>
      </c>
      <c r="F408" s="7" t="s">
        <v>1177</v>
      </c>
      <c r="G408" s="7" t="s">
        <v>64</v>
      </c>
      <c r="H408" s="7" t="s">
        <v>71</v>
      </c>
      <c r="I408" s="7" t="s">
        <v>59</v>
      </c>
      <c r="J408" s="7" t="s">
        <v>81</v>
      </c>
      <c r="K408" s="7" t="s">
        <v>72</v>
      </c>
      <c r="L408" s="7">
        <v>1264.5899999999999</v>
      </c>
      <c r="M408" s="7">
        <v>4</v>
      </c>
      <c r="N408" s="7">
        <v>0.24</v>
      </c>
      <c r="O408" s="7">
        <v>414.73</v>
      </c>
      <c r="P408" s="7" t="s">
        <v>54</v>
      </c>
      <c r="Q408" s="7" t="s">
        <v>77</v>
      </c>
      <c r="R408" s="7">
        <v>6</v>
      </c>
      <c r="S408" s="7">
        <f t="shared" si="19"/>
        <v>2024</v>
      </c>
      <c r="T408" s="7" t="str">
        <f t="shared" si="20"/>
        <v>Dec</v>
      </c>
    </row>
    <row r="409" spans="2:20" x14ac:dyDescent="0.3">
      <c r="B409" s="7">
        <v>408</v>
      </c>
      <c r="C409" s="7" t="s">
        <v>1178</v>
      </c>
      <c r="D409" s="7" t="s">
        <v>1179</v>
      </c>
      <c r="E409" s="7" t="str">
        <f t="shared" si="18"/>
        <v>Jul</v>
      </c>
      <c r="F409" s="7" t="s">
        <v>1180</v>
      </c>
      <c r="G409" s="7" t="s">
        <v>102</v>
      </c>
      <c r="H409" s="7" t="s">
        <v>51</v>
      </c>
      <c r="I409" s="7" t="s">
        <v>106</v>
      </c>
      <c r="J409" s="7" t="s">
        <v>29</v>
      </c>
      <c r="K409" s="7" t="s">
        <v>72</v>
      </c>
      <c r="L409" s="7">
        <v>1189.8599999999999</v>
      </c>
      <c r="M409" s="7">
        <v>4</v>
      </c>
      <c r="N409" s="7">
        <v>0.21</v>
      </c>
      <c r="O409" s="7">
        <v>386.81</v>
      </c>
      <c r="P409" s="7" t="s">
        <v>23</v>
      </c>
      <c r="Q409" s="7" t="s">
        <v>24</v>
      </c>
      <c r="R409" s="7">
        <v>7</v>
      </c>
      <c r="S409" s="7">
        <f t="shared" si="19"/>
        <v>2024</v>
      </c>
      <c r="T409" s="7" t="str">
        <f t="shared" si="20"/>
        <v>Jul</v>
      </c>
    </row>
    <row r="410" spans="2:20" x14ac:dyDescent="0.3">
      <c r="B410" s="7">
        <v>409</v>
      </c>
      <c r="C410" s="7" t="s">
        <v>1181</v>
      </c>
      <c r="D410" s="7" t="s">
        <v>447</v>
      </c>
      <c r="E410" s="7" t="str">
        <f t="shared" si="18"/>
        <v>Oct</v>
      </c>
      <c r="F410" s="7" t="s">
        <v>1182</v>
      </c>
      <c r="G410" s="7" t="s">
        <v>102</v>
      </c>
      <c r="H410" s="7" t="s">
        <v>45</v>
      </c>
      <c r="I410" s="7" t="s">
        <v>20</v>
      </c>
      <c r="J410" s="7" t="s">
        <v>47</v>
      </c>
      <c r="K410" s="7" t="s">
        <v>76</v>
      </c>
      <c r="L410" s="7">
        <v>3012.1</v>
      </c>
      <c r="M410" s="7">
        <v>5</v>
      </c>
      <c r="N410" s="7">
        <v>0.27</v>
      </c>
      <c r="O410" s="7">
        <v>302.31</v>
      </c>
      <c r="P410" s="7" t="s">
        <v>54</v>
      </c>
      <c r="Q410" s="7" t="s">
        <v>32</v>
      </c>
      <c r="R410" s="7">
        <v>10</v>
      </c>
      <c r="S410" s="7">
        <f t="shared" si="19"/>
        <v>2025</v>
      </c>
      <c r="T410" s="7" t="str">
        <f t="shared" si="20"/>
        <v>Oct</v>
      </c>
    </row>
    <row r="411" spans="2:20" x14ac:dyDescent="0.3">
      <c r="B411" s="7">
        <v>410</v>
      </c>
      <c r="C411" s="7" t="s">
        <v>1183</v>
      </c>
      <c r="D411" s="7" t="s">
        <v>1184</v>
      </c>
      <c r="E411" s="7" t="str">
        <f t="shared" si="18"/>
        <v>Jan</v>
      </c>
      <c r="F411" s="7" t="s">
        <v>1185</v>
      </c>
      <c r="G411" s="7" t="s">
        <v>36</v>
      </c>
      <c r="H411" s="7" t="s">
        <v>58</v>
      </c>
      <c r="I411" s="7" t="s">
        <v>52</v>
      </c>
      <c r="J411" s="7" t="s">
        <v>66</v>
      </c>
      <c r="K411" s="7" t="s">
        <v>39</v>
      </c>
      <c r="L411" s="7">
        <v>1416.25</v>
      </c>
      <c r="M411" s="7">
        <v>2</v>
      </c>
      <c r="N411" s="7">
        <v>0.24</v>
      </c>
      <c r="O411" s="7">
        <v>436.61</v>
      </c>
      <c r="P411" s="7" t="s">
        <v>31</v>
      </c>
      <c r="Q411" s="7" t="s">
        <v>24</v>
      </c>
      <c r="R411" s="7">
        <v>2</v>
      </c>
      <c r="S411" s="7">
        <f t="shared" si="19"/>
        <v>2024</v>
      </c>
      <c r="T411" s="7" t="str">
        <f t="shared" si="20"/>
        <v>Jan</v>
      </c>
    </row>
    <row r="412" spans="2:20" x14ac:dyDescent="0.3">
      <c r="B412" s="7">
        <v>411</v>
      </c>
      <c r="C412" s="7" t="s">
        <v>1186</v>
      </c>
      <c r="D412" s="7" t="s">
        <v>1143</v>
      </c>
      <c r="E412" s="7" t="str">
        <f t="shared" si="18"/>
        <v>Apr</v>
      </c>
      <c r="F412" s="7" t="s">
        <v>1187</v>
      </c>
      <c r="G412" s="7" t="s">
        <v>36</v>
      </c>
      <c r="H412" s="7" t="s">
        <v>45</v>
      </c>
      <c r="I412" s="7" t="s">
        <v>46</v>
      </c>
      <c r="J412" s="7" t="s">
        <v>47</v>
      </c>
      <c r="K412" s="7" t="s">
        <v>30</v>
      </c>
      <c r="L412" s="7">
        <v>1248.28</v>
      </c>
      <c r="M412" s="7">
        <v>2</v>
      </c>
      <c r="N412" s="7">
        <v>0.26</v>
      </c>
      <c r="O412" s="7">
        <v>354.77</v>
      </c>
      <c r="P412" s="7" t="s">
        <v>23</v>
      </c>
      <c r="Q412" s="7" t="s">
        <v>86</v>
      </c>
      <c r="R412" s="7">
        <v>6</v>
      </c>
      <c r="S412" s="7">
        <f t="shared" si="19"/>
        <v>2025</v>
      </c>
      <c r="T412" s="7" t="str">
        <f t="shared" si="20"/>
        <v>Apr</v>
      </c>
    </row>
    <row r="413" spans="2:20" x14ac:dyDescent="0.3">
      <c r="B413" s="7">
        <v>412</v>
      </c>
      <c r="C413" s="7" t="s">
        <v>1188</v>
      </c>
      <c r="D413" s="7" t="s">
        <v>1189</v>
      </c>
      <c r="E413" s="7" t="str">
        <f t="shared" si="18"/>
        <v>Apr</v>
      </c>
      <c r="F413" s="7" t="s">
        <v>1190</v>
      </c>
      <c r="G413" s="7" t="s">
        <v>18</v>
      </c>
      <c r="H413" s="7" t="s">
        <v>37</v>
      </c>
      <c r="I413" s="7" t="s">
        <v>38</v>
      </c>
      <c r="J413" s="7" t="s">
        <v>47</v>
      </c>
      <c r="K413" s="7" t="s">
        <v>22</v>
      </c>
      <c r="L413" s="7">
        <v>1036.7</v>
      </c>
      <c r="M413" s="7">
        <v>5</v>
      </c>
      <c r="N413" s="7">
        <v>0.17</v>
      </c>
      <c r="O413" s="7">
        <v>259.18</v>
      </c>
      <c r="P413" s="7" t="s">
        <v>31</v>
      </c>
      <c r="Q413" s="7" t="s">
        <v>77</v>
      </c>
      <c r="R413" s="7">
        <v>10</v>
      </c>
      <c r="S413" s="7">
        <f t="shared" si="19"/>
        <v>2025</v>
      </c>
      <c r="T413" s="7" t="str">
        <f t="shared" si="20"/>
        <v>Apr</v>
      </c>
    </row>
    <row r="414" spans="2:20" x14ac:dyDescent="0.3">
      <c r="B414" s="7">
        <v>413</v>
      </c>
      <c r="C414" s="7" t="s">
        <v>1191</v>
      </c>
      <c r="D414" s="7" t="s">
        <v>1051</v>
      </c>
      <c r="E414" s="7" t="str">
        <f t="shared" si="18"/>
        <v>May</v>
      </c>
      <c r="F414" s="7" t="s">
        <v>1192</v>
      </c>
      <c r="G414" s="7" t="s">
        <v>64</v>
      </c>
      <c r="H414" s="7" t="s">
        <v>45</v>
      </c>
      <c r="I414" s="7" t="s">
        <v>52</v>
      </c>
      <c r="J414" s="7" t="s">
        <v>21</v>
      </c>
      <c r="K414" s="7" t="s">
        <v>76</v>
      </c>
      <c r="L414" s="7">
        <v>592.13</v>
      </c>
      <c r="M414" s="7">
        <v>2</v>
      </c>
      <c r="N414" s="7">
        <v>0.08</v>
      </c>
      <c r="O414" s="7">
        <v>153.99</v>
      </c>
      <c r="P414" s="7" t="s">
        <v>23</v>
      </c>
      <c r="Q414" s="7" t="s">
        <v>24</v>
      </c>
      <c r="R414" s="7">
        <v>6</v>
      </c>
      <c r="S414" s="7">
        <f t="shared" si="19"/>
        <v>2025</v>
      </c>
      <c r="T414" s="7" t="str">
        <f t="shared" si="20"/>
        <v>May</v>
      </c>
    </row>
    <row r="415" spans="2:20" x14ac:dyDescent="0.3">
      <c r="B415" s="7">
        <v>414</v>
      </c>
      <c r="C415" s="7" t="s">
        <v>1193</v>
      </c>
      <c r="D415" s="7" t="s">
        <v>966</v>
      </c>
      <c r="E415" s="7" t="str">
        <f t="shared" si="18"/>
        <v>Sep</v>
      </c>
      <c r="F415" s="7" t="s">
        <v>1194</v>
      </c>
      <c r="G415" s="7" t="s">
        <v>36</v>
      </c>
      <c r="H415" s="7" t="s">
        <v>71</v>
      </c>
      <c r="I415" s="7" t="s">
        <v>116</v>
      </c>
      <c r="J415" s="7" t="s">
        <v>81</v>
      </c>
      <c r="K415" s="7" t="s">
        <v>30</v>
      </c>
      <c r="L415" s="7">
        <v>1121.74</v>
      </c>
      <c r="M415" s="7">
        <v>3</v>
      </c>
      <c r="N415" s="7">
        <v>0.26</v>
      </c>
      <c r="O415" s="7">
        <v>385.87</v>
      </c>
      <c r="P415" s="7" t="s">
        <v>23</v>
      </c>
      <c r="Q415" s="7" t="s">
        <v>32</v>
      </c>
      <c r="R415" s="7">
        <v>3</v>
      </c>
      <c r="S415" s="7">
        <f t="shared" si="19"/>
        <v>2024</v>
      </c>
      <c r="T415" s="7" t="str">
        <f t="shared" si="20"/>
        <v>Sep</v>
      </c>
    </row>
    <row r="416" spans="2:20" x14ac:dyDescent="0.3">
      <c r="B416" s="7">
        <v>415</v>
      </c>
      <c r="C416" s="7" t="s">
        <v>1195</v>
      </c>
      <c r="D416" s="7" t="s">
        <v>304</v>
      </c>
      <c r="E416" s="7" t="str">
        <f t="shared" si="18"/>
        <v>Jan</v>
      </c>
      <c r="F416" s="7" t="s">
        <v>1196</v>
      </c>
      <c r="G416" s="7" t="s">
        <v>64</v>
      </c>
      <c r="H416" s="7" t="s">
        <v>58</v>
      </c>
      <c r="I416" s="7" t="s">
        <v>38</v>
      </c>
      <c r="J416" s="7" t="s">
        <v>29</v>
      </c>
      <c r="K416" s="7" t="s">
        <v>67</v>
      </c>
      <c r="L416" s="7">
        <v>1350.91</v>
      </c>
      <c r="M416" s="7">
        <v>4</v>
      </c>
      <c r="N416" s="7">
        <v>0.18</v>
      </c>
      <c r="O416" s="7">
        <v>270.07</v>
      </c>
      <c r="P416" s="7" t="s">
        <v>54</v>
      </c>
      <c r="Q416" s="7" t="s">
        <v>40</v>
      </c>
      <c r="R416" s="7">
        <v>6</v>
      </c>
      <c r="S416" s="7">
        <f t="shared" si="19"/>
        <v>2025</v>
      </c>
      <c r="T416" s="7" t="str">
        <f t="shared" si="20"/>
        <v>Jan</v>
      </c>
    </row>
    <row r="417" spans="2:20" x14ac:dyDescent="0.3">
      <c r="B417" s="7">
        <v>416</v>
      </c>
      <c r="C417" s="7" t="s">
        <v>1197</v>
      </c>
      <c r="D417" s="7" t="s">
        <v>1198</v>
      </c>
      <c r="E417" s="7" t="str">
        <f t="shared" si="18"/>
        <v>Dec</v>
      </c>
      <c r="F417" s="7" t="s">
        <v>1199</v>
      </c>
      <c r="G417" s="7" t="s">
        <v>44</v>
      </c>
      <c r="H417" s="7" t="s">
        <v>71</v>
      </c>
      <c r="I417" s="7" t="s">
        <v>28</v>
      </c>
      <c r="J417" s="7" t="s">
        <v>21</v>
      </c>
      <c r="K417" s="7" t="s">
        <v>39</v>
      </c>
      <c r="L417" s="7">
        <v>2957.34</v>
      </c>
      <c r="M417" s="7">
        <v>4</v>
      </c>
      <c r="N417" s="7">
        <v>0.27</v>
      </c>
      <c r="O417" s="7">
        <v>794.47</v>
      </c>
      <c r="P417" s="7" t="s">
        <v>23</v>
      </c>
      <c r="Q417" s="7" t="s">
        <v>40</v>
      </c>
      <c r="R417" s="7">
        <v>5</v>
      </c>
      <c r="S417" s="7">
        <f t="shared" si="19"/>
        <v>2024</v>
      </c>
      <c r="T417" s="7" t="str">
        <f t="shared" si="20"/>
        <v>Dec</v>
      </c>
    </row>
    <row r="418" spans="2:20" x14ac:dyDescent="0.3">
      <c r="B418" s="7">
        <v>417</v>
      </c>
      <c r="C418" s="7" t="s">
        <v>1200</v>
      </c>
      <c r="D418" s="7" t="s">
        <v>804</v>
      </c>
      <c r="E418" s="7" t="str">
        <f t="shared" si="18"/>
        <v>May</v>
      </c>
      <c r="F418" s="7" t="s">
        <v>1201</v>
      </c>
      <c r="G418" s="7" t="s">
        <v>44</v>
      </c>
      <c r="H418" s="7" t="s">
        <v>45</v>
      </c>
      <c r="I418" s="7" t="s">
        <v>20</v>
      </c>
      <c r="J418" s="7" t="s">
        <v>47</v>
      </c>
      <c r="K418" s="7" t="s">
        <v>30</v>
      </c>
      <c r="L418" s="7">
        <v>354.9</v>
      </c>
      <c r="M418" s="7">
        <v>4</v>
      </c>
      <c r="N418" s="7">
        <v>0.09</v>
      </c>
      <c r="O418" s="7">
        <v>116.58</v>
      </c>
      <c r="P418" s="7" t="s">
        <v>54</v>
      </c>
      <c r="Q418" s="7" t="s">
        <v>40</v>
      </c>
      <c r="R418" s="7">
        <v>3</v>
      </c>
      <c r="S418" s="7">
        <f t="shared" si="19"/>
        <v>2025</v>
      </c>
      <c r="T418" s="7" t="str">
        <f t="shared" si="20"/>
        <v>May</v>
      </c>
    </row>
    <row r="419" spans="2:20" x14ac:dyDescent="0.3">
      <c r="B419" s="7">
        <v>418</v>
      </c>
      <c r="C419" s="7" t="s">
        <v>1202</v>
      </c>
      <c r="D419" s="7" t="s">
        <v>1203</v>
      </c>
      <c r="E419" s="7" t="str">
        <f t="shared" si="18"/>
        <v>Jun</v>
      </c>
      <c r="F419" s="7" t="s">
        <v>1204</v>
      </c>
      <c r="G419" s="7" t="s">
        <v>64</v>
      </c>
      <c r="H419" s="7" t="s">
        <v>51</v>
      </c>
      <c r="I419" s="7" t="s">
        <v>106</v>
      </c>
      <c r="J419" s="7" t="s">
        <v>47</v>
      </c>
      <c r="K419" s="7" t="s">
        <v>72</v>
      </c>
      <c r="L419" s="7">
        <v>263.01</v>
      </c>
      <c r="M419" s="7">
        <v>1</v>
      </c>
      <c r="N419" s="7">
        <v>0.13</v>
      </c>
      <c r="O419" s="7">
        <v>83.47</v>
      </c>
      <c r="P419" s="7" t="s">
        <v>31</v>
      </c>
      <c r="Q419" s="7" t="s">
        <v>32</v>
      </c>
      <c r="R419" s="7">
        <v>7</v>
      </c>
      <c r="S419" s="7">
        <f t="shared" si="19"/>
        <v>2025</v>
      </c>
      <c r="T419" s="7" t="str">
        <f t="shared" si="20"/>
        <v>Jun</v>
      </c>
    </row>
    <row r="420" spans="2:20" x14ac:dyDescent="0.3">
      <c r="B420" s="7">
        <v>419</v>
      </c>
      <c r="C420" s="7" t="s">
        <v>1205</v>
      </c>
      <c r="D420" s="7" t="s">
        <v>646</v>
      </c>
      <c r="E420" s="7" t="str">
        <f t="shared" si="18"/>
        <v>Jan</v>
      </c>
      <c r="F420" s="7" t="s">
        <v>1206</v>
      </c>
      <c r="G420" s="7" t="s">
        <v>36</v>
      </c>
      <c r="H420" s="7" t="s">
        <v>51</v>
      </c>
      <c r="I420" s="7" t="s">
        <v>38</v>
      </c>
      <c r="J420" s="7" t="s">
        <v>29</v>
      </c>
      <c r="K420" s="7" t="s">
        <v>53</v>
      </c>
      <c r="L420" s="7">
        <v>3604.07</v>
      </c>
      <c r="M420" s="7">
        <v>5</v>
      </c>
      <c r="N420" s="7">
        <v>0.18</v>
      </c>
      <c r="O420" s="7">
        <v>1183.47</v>
      </c>
      <c r="P420" s="7" t="s">
        <v>31</v>
      </c>
      <c r="Q420" s="7" t="s">
        <v>40</v>
      </c>
      <c r="R420" s="7">
        <v>2</v>
      </c>
      <c r="S420" s="7">
        <f t="shared" si="19"/>
        <v>2025</v>
      </c>
      <c r="T420" s="7" t="str">
        <f t="shared" si="20"/>
        <v>Jan</v>
      </c>
    </row>
    <row r="421" spans="2:20" x14ac:dyDescent="0.3">
      <c r="B421" s="7">
        <v>420</v>
      </c>
      <c r="C421" s="7" t="s">
        <v>1207</v>
      </c>
      <c r="D421" s="7" t="s">
        <v>463</v>
      </c>
      <c r="E421" s="7" t="str">
        <f t="shared" si="18"/>
        <v>Nov</v>
      </c>
      <c r="F421" s="7" t="s">
        <v>1208</v>
      </c>
      <c r="G421" s="7" t="s">
        <v>36</v>
      </c>
      <c r="H421" s="7" t="s">
        <v>58</v>
      </c>
      <c r="I421" s="7" t="s">
        <v>28</v>
      </c>
      <c r="J421" s="7" t="s">
        <v>66</v>
      </c>
      <c r="K421" s="7" t="s">
        <v>67</v>
      </c>
      <c r="L421" s="7">
        <v>237.76</v>
      </c>
      <c r="M421" s="7">
        <v>1</v>
      </c>
      <c r="N421" s="7">
        <v>0.17</v>
      </c>
      <c r="O421" s="7">
        <v>48.61</v>
      </c>
      <c r="P421" s="7" t="s">
        <v>23</v>
      </c>
      <c r="Q421" s="7" t="s">
        <v>32</v>
      </c>
      <c r="R421" s="7">
        <v>2</v>
      </c>
      <c r="S421" s="7">
        <f t="shared" si="19"/>
        <v>2024</v>
      </c>
      <c r="T421" s="7" t="str">
        <f t="shared" si="20"/>
        <v>Nov</v>
      </c>
    </row>
    <row r="422" spans="2:20" x14ac:dyDescent="0.3">
      <c r="B422" s="7">
        <v>421</v>
      </c>
      <c r="C422" s="7" t="s">
        <v>1209</v>
      </c>
      <c r="D422" s="7" t="s">
        <v>1210</v>
      </c>
      <c r="E422" s="7" t="str">
        <f t="shared" si="18"/>
        <v>Jul</v>
      </c>
      <c r="F422" s="7" t="s">
        <v>1211</v>
      </c>
      <c r="G422" s="7" t="s">
        <v>64</v>
      </c>
      <c r="H422" s="7" t="s">
        <v>19</v>
      </c>
      <c r="I422" s="7" t="s">
        <v>116</v>
      </c>
      <c r="J422" s="7" t="s">
        <v>29</v>
      </c>
      <c r="K422" s="7" t="s">
        <v>30</v>
      </c>
      <c r="L422" s="7">
        <v>1797.38</v>
      </c>
      <c r="M422" s="7">
        <v>3</v>
      </c>
      <c r="N422" s="7">
        <v>0.08</v>
      </c>
      <c r="O422" s="7">
        <v>364.88</v>
      </c>
      <c r="P422" s="7" t="s">
        <v>23</v>
      </c>
      <c r="Q422" s="7" t="s">
        <v>77</v>
      </c>
      <c r="R422" s="7">
        <v>3</v>
      </c>
      <c r="S422" s="7">
        <f t="shared" si="19"/>
        <v>2025</v>
      </c>
      <c r="T422" s="7" t="str">
        <f t="shared" si="20"/>
        <v>Jul</v>
      </c>
    </row>
    <row r="423" spans="2:20" x14ac:dyDescent="0.3">
      <c r="B423" s="7">
        <v>422</v>
      </c>
      <c r="C423" s="7" t="s">
        <v>1212</v>
      </c>
      <c r="D423" s="7" t="s">
        <v>1213</v>
      </c>
      <c r="E423" s="7" t="str">
        <f t="shared" si="18"/>
        <v>Mar</v>
      </c>
      <c r="F423" s="7" t="s">
        <v>1214</v>
      </c>
      <c r="G423" s="7" t="s">
        <v>102</v>
      </c>
      <c r="H423" s="7" t="s">
        <v>19</v>
      </c>
      <c r="I423" s="7" t="s">
        <v>106</v>
      </c>
      <c r="J423" s="7" t="s">
        <v>21</v>
      </c>
      <c r="K423" s="7" t="s">
        <v>39</v>
      </c>
      <c r="L423" s="7">
        <v>596.48</v>
      </c>
      <c r="M423" s="7">
        <v>3</v>
      </c>
      <c r="N423" s="7">
        <v>0.11</v>
      </c>
      <c r="O423" s="7">
        <v>102.1</v>
      </c>
      <c r="P423" s="7" t="s">
        <v>54</v>
      </c>
      <c r="Q423" s="7" t="s">
        <v>24</v>
      </c>
      <c r="R423" s="7">
        <v>3</v>
      </c>
      <c r="S423" s="7">
        <f t="shared" si="19"/>
        <v>2025</v>
      </c>
      <c r="T423" s="7" t="str">
        <f t="shared" si="20"/>
        <v>Mar</v>
      </c>
    </row>
    <row r="424" spans="2:20" x14ac:dyDescent="0.3">
      <c r="B424" s="7">
        <v>423</v>
      </c>
      <c r="C424" s="7" t="s">
        <v>1215</v>
      </c>
      <c r="D424" s="7" t="s">
        <v>1216</v>
      </c>
      <c r="E424" s="7" t="str">
        <f t="shared" si="18"/>
        <v>Oct</v>
      </c>
      <c r="F424" s="7" t="s">
        <v>1217</v>
      </c>
      <c r="G424" s="7" t="s">
        <v>44</v>
      </c>
      <c r="H424" s="7" t="s">
        <v>65</v>
      </c>
      <c r="I424" s="7" t="s">
        <v>59</v>
      </c>
      <c r="J424" s="7" t="s">
        <v>47</v>
      </c>
      <c r="K424" s="7" t="s">
        <v>22</v>
      </c>
      <c r="L424" s="7">
        <v>4365.3500000000004</v>
      </c>
      <c r="M424" s="7">
        <v>5</v>
      </c>
      <c r="N424" s="7">
        <v>0.18</v>
      </c>
      <c r="O424" s="7">
        <v>874.87</v>
      </c>
      <c r="P424" s="7" t="s">
        <v>54</v>
      </c>
      <c r="Q424" s="7" t="s">
        <v>86</v>
      </c>
      <c r="R424" s="7">
        <v>5</v>
      </c>
      <c r="S424" s="7">
        <f t="shared" si="19"/>
        <v>2024</v>
      </c>
      <c r="T424" s="7" t="str">
        <f t="shared" si="20"/>
        <v>Oct</v>
      </c>
    </row>
    <row r="425" spans="2:20" x14ac:dyDescent="0.3">
      <c r="B425" s="7">
        <v>424</v>
      </c>
      <c r="C425" s="7" t="s">
        <v>1218</v>
      </c>
      <c r="D425" s="7" t="s">
        <v>172</v>
      </c>
      <c r="E425" s="7" t="str">
        <f t="shared" si="18"/>
        <v>Sep</v>
      </c>
      <c r="F425" s="7" t="s">
        <v>1219</v>
      </c>
      <c r="G425" s="7" t="s">
        <v>64</v>
      </c>
      <c r="H425" s="7" t="s">
        <v>45</v>
      </c>
      <c r="I425" s="7" t="s">
        <v>59</v>
      </c>
      <c r="J425" s="7" t="s">
        <v>47</v>
      </c>
      <c r="K425" s="7" t="s">
        <v>30</v>
      </c>
      <c r="L425" s="7">
        <v>453.65</v>
      </c>
      <c r="M425" s="7">
        <v>1</v>
      </c>
      <c r="N425" s="7">
        <v>0.14000000000000001</v>
      </c>
      <c r="O425" s="7">
        <v>97.39</v>
      </c>
      <c r="P425" s="7" t="s">
        <v>23</v>
      </c>
      <c r="Q425" s="7" t="s">
        <v>24</v>
      </c>
      <c r="R425" s="7">
        <v>2</v>
      </c>
      <c r="S425" s="7">
        <f t="shared" si="19"/>
        <v>2025</v>
      </c>
      <c r="T425" s="7" t="str">
        <f t="shared" si="20"/>
        <v>Sep</v>
      </c>
    </row>
    <row r="426" spans="2:20" x14ac:dyDescent="0.3">
      <c r="B426" s="7">
        <v>425</v>
      </c>
      <c r="C426" s="7" t="s">
        <v>1220</v>
      </c>
      <c r="D426" s="7" t="s">
        <v>631</v>
      </c>
      <c r="E426" s="7" t="str">
        <f t="shared" si="18"/>
        <v>Jun</v>
      </c>
      <c r="F426" s="7" t="s">
        <v>385</v>
      </c>
      <c r="G426" s="7" t="s">
        <v>36</v>
      </c>
      <c r="H426" s="7" t="s">
        <v>65</v>
      </c>
      <c r="I426" s="7" t="s">
        <v>106</v>
      </c>
      <c r="J426" s="7" t="s">
        <v>81</v>
      </c>
      <c r="K426" s="7" t="s">
        <v>30</v>
      </c>
      <c r="L426" s="7">
        <v>664.67</v>
      </c>
      <c r="M426" s="7">
        <v>2</v>
      </c>
      <c r="N426" s="7">
        <v>0.19</v>
      </c>
      <c r="O426" s="7">
        <v>229.84</v>
      </c>
      <c r="P426" s="7" t="s">
        <v>54</v>
      </c>
      <c r="Q426" s="7" t="s">
        <v>86</v>
      </c>
      <c r="R426" s="7">
        <v>9</v>
      </c>
      <c r="S426" s="7">
        <f t="shared" si="19"/>
        <v>2025</v>
      </c>
      <c r="T426" s="7" t="str">
        <f t="shared" si="20"/>
        <v>Jun</v>
      </c>
    </row>
    <row r="427" spans="2:20" x14ac:dyDescent="0.3">
      <c r="B427" s="7">
        <v>426</v>
      </c>
      <c r="C427" s="7" t="s">
        <v>1221</v>
      </c>
      <c r="D427" s="7" t="s">
        <v>501</v>
      </c>
      <c r="E427" s="7" t="str">
        <f t="shared" si="18"/>
        <v>Oct</v>
      </c>
      <c r="F427" s="7" t="s">
        <v>1222</v>
      </c>
      <c r="G427" s="7" t="s">
        <v>36</v>
      </c>
      <c r="H427" s="7" t="s">
        <v>65</v>
      </c>
      <c r="I427" s="7" t="s">
        <v>28</v>
      </c>
      <c r="J427" s="7" t="s">
        <v>29</v>
      </c>
      <c r="K427" s="7" t="s">
        <v>76</v>
      </c>
      <c r="L427" s="7">
        <v>834.48</v>
      </c>
      <c r="M427" s="7">
        <v>1</v>
      </c>
      <c r="N427" s="7">
        <v>0.04</v>
      </c>
      <c r="O427" s="7">
        <v>149.66999999999999</v>
      </c>
      <c r="P427" s="7" t="s">
        <v>54</v>
      </c>
      <c r="Q427" s="7" t="s">
        <v>86</v>
      </c>
      <c r="R427" s="7">
        <v>3</v>
      </c>
      <c r="S427" s="7">
        <f t="shared" si="19"/>
        <v>2024</v>
      </c>
      <c r="T427" s="7" t="str">
        <f t="shared" si="20"/>
        <v>Oct</v>
      </c>
    </row>
    <row r="428" spans="2:20" x14ac:dyDescent="0.3">
      <c r="B428" s="7">
        <v>427</v>
      </c>
      <c r="C428" s="7" t="s">
        <v>1223</v>
      </c>
      <c r="D428" s="7" t="s">
        <v>614</v>
      </c>
      <c r="E428" s="7" t="str">
        <f t="shared" si="18"/>
        <v>Jun</v>
      </c>
      <c r="F428" s="7" t="s">
        <v>1224</v>
      </c>
      <c r="G428" s="7" t="s">
        <v>64</v>
      </c>
      <c r="H428" s="7" t="s">
        <v>37</v>
      </c>
      <c r="I428" s="7" t="s">
        <v>28</v>
      </c>
      <c r="J428" s="7" t="s">
        <v>21</v>
      </c>
      <c r="K428" s="7" t="s">
        <v>76</v>
      </c>
      <c r="L428" s="7">
        <v>975.99</v>
      </c>
      <c r="M428" s="7">
        <v>2</v>
      </c>
      <c r="N428" s="7">
        <v>0.28000000000000003</v>
      </c>
      <c r="O428" s="7">
        <v>261.86</v>
      </c>
      <c r="P428" s="7" t="s">
        <v>23</v>
      </c>
      <c r="Q428" s="7" t="s">
        <v>32</v>
      </c>
      <c r="R428" s="7">
        <v>5</v>
      </c>
      <c r="S428" s="7">
        <f t="shared" si="19"/>
        <v>2024</v>
      </c>
      <c r="T428" s="7" t="str">
        <f t="shared" si="20"/>
        <v>Jun</v>
      </c>
    </row>
    <row r="429" spans="2:20" x14ac:dyDescent="0.3">
      <c r="B429" s="7">
        <v>428</v>
      </c>
      <c r="C429" s="7" t="s">
        <v>1225</v>
      </c>
      <c r="D429" s="7" t="s">
        <v>355</v>
      </c>
      <c r="E429" s="7" t="str">
        <f t="shared" si="18"/>
        <v>Sep</v>
      </c>
      <c r="F429" s="7" t="s">
        <v>1226</v>
      </c>
      <c r="G429" s="7" t="s">
        <v>18</v>
      </c>
      <c r="H429" s="7" t="s">
        <v>45</v>
      </c>
      <c r="I429" s="7" t="s">
        <v>116</v>
      </c>
      <c r="J429" s="7" t="s">
        <v>81</v>
      </c>
      <c r="K429" s="7" t="s">
        <v>39</v>
      </c>
      <c r="L429" s="7">
        <v>3699.92</v>
      </c>
      <c r="M429" s="7">
        <v>5</v>
      </c>
      <c r="N429" s="7">
        <v>0.17</v>
      </c>
      <c r="O429" s="7">
        <v>641.13</v>
      </c>
      <c r="P429" s="7" t="s">
        <v>31</v>
      </c>
      <c r="Q429" s="7" t="s">
        <v>86</v>
      </c>
      <c r="R429" s="7">
        <v>4</v>
      </c>
      <c r="S429" s="7">
        <f t="shared" si="19"/>
        <v>2024</v>
      </c>
      <c r="T429" s="7" t="str">
        <f t="shared" si="20"/>
        <v>Sep</v>
      </c>
    </row>
    <row r="430" spans="2:20" x14ac:dyDescent="0.3">
      <c r="B430" s="7">
        <v>429</v>
      </c>
      <c r="C430" s="7" t="s">
        <v>1227</v>
      </c>
      <c r="D430" s="7" t="s">
        <v>963</v>
      </c>
      <c r="E430" s="7" t="str">
        <f t="shared" si="18"/>
        <v>Dec</v>
      </c>
      <c r="F430" s="7" t="s">
        <v>1228</v>
      </c>
      <c r="G430" s="7" t="s">
        <v>64</v>
      </c>
      <c r="H430" s="7" t="s">
        <v>19</v>
      </c>
      <c r="I430" s="7" t="s">
        <v>106</v>
      </c>
      <c r="J430" s="7" t="s">
        <v>66</v>
      </c>
      <c r="K430" s="7" t="s">
        <v>22</v>
      </c>
      <c r="L430" s="7">
        <v>2685.65</v>
      </c>
      <c r="M430" s="7">
        <v>4</v>
      </c>
      <c r="N430" s="7">
        <v>0.22</v>
      </c>
      <c r="O430" s="7">
        <v>930.03</v>
      </c>
      <c r="P430" s="7" t="s">
        <v>23</v>
      </c>
      <c r="Q430" s="7" t="s">
        <v>24</v>
      </c>
      <c r="R430" s="7">
        <v>7</v>
      </c>
      <c r="S430" s="7">
        <f t="shared" si="19"/>
        <v>2025</v>
      </c>
      <c r="T430" s="7" t="str">
        <f t="shared" si="20"/>
        <v>Dec</v>
      </c>
    </row>
    <row r="431" spans="2:20" x14ac:dyDescent="0.3">
      <c r="B431" s="7">
        <v>430</v>
      </c>
      <c r="C431" s="7" t="s">
        <v>1229</v>
      </c>
      <c r="D431" s="7" t="s">
        <v>1230</v>
      </c>
      <c r="E431" s="7" t="str">
        <f t="shared" si="18"/>
        <v>Dec</v>
      </c>
      <c r="F431" s="7" t="s">
        <v>1231</v>
      </c>
      <c r="G431" s="7" t="s">
        <v>44</v>
      </c>
      <c r="H431" s="7" t="s">
        <v>65</v>
      </c>
      <c r="I431" s="7" t="s">
        <v>28</v>
      </c>
      <c r="J431" s="7" t="s">
        <v>81</v>
      </c>
      <c r="K431" s="7" t="s">
        <v>76</v>
      </c>
      <c r="L431" s="7">
        <v>769.5</v>
      </c>
      <c r="M431" s="7">
        <v>3</v>
      </c>
      <c r="N431" s="7">
        <v>0.01</v>
      </c>
      <c r="O431" s="7">
        <v>104.04</v>
      </c>
      <c r="P431" s="7" t="s">
        <v>31</v>
      </c>
      <c r="Q431" s="7" t="s">
        <v>77</v>
      </c>
      <c r="R431" s="7">
        <v>8</v>
      </c>
      <c r="S431" s="7">
        <f t="shared" si="19"/>
        <v>2024</v>
      </c>
      <c r="T431" s="7" t="str">
        <f t="shared" si="20"/>
        <v>Dec</v>
      </c>
    </row>
    <row r="432" spans="2:20" x14ac:dyDescent="0.3">
      <c r="B432" s="7">
        <v>431</v>
      </c>
      <c r="C432" s="7" t="s">
        <v>1232</v>
      </c>
      <c r="D432" s="7" t="s">
        <v>1233</v>
      </c>
      <c r="E432" s="7" t="str">
        <f t="shared" si="18"/>
        <v>Oct</v>
      </c>
      <c r="F432" s="7" t="s">
        <v>1234</v>
      </c>
      <c r="G432" s="7" t="s">
        <v>64</v>
      </c>
      <c r="H432" s="7" t="s">
        <v>71</v>
      </c>
      <c r="I432" s="7" t="s">
        <v>106</v>
      </c>
      <c r="J432" s="7" t="s">
        <v>47</v>
      </c>
      <c r="K432" s="7" t="s">
        <v>39</v>
      </c>
      <c r="L432" s="7">
        <v>1199.56</v>
      </c>
      <c r="M432" s="7">
        <v>2</v>
      </c>
      <c r="N432" s="7">
        <v>0.24</v>
      </c>
      <c r="O432" s="7">
        <v>178.1</v>
      </c>
      <c r="P432" s="7" t="s">
        <v>23</v>
      </c>
      <c r="Q432" s="7" t="s">
        <v>86</v>
      </c>
      <c r="R432" s="7">
        <v>2</v>
      </c>
      <c r="S432" s="7">
        <f t="shared" si="19"/>
        <v>2025</v>
      </c>
      <c r="T432" s="7" t="str">
        <f t="shared" si="20"/>
        <v>Oct</v>
      </c>
    </row>
    <row r="433" spans="2:20" x14ac:dyDescent="0.3">
      <c r="B433" s="7">
        <v>432</v>
      </c>
      <c r="C433" s="7" t="s">
        <v>1235</v>
      </c>
      <c r="D433" s="7" t="s">
        <v>680</v>
      </c>
      <c r="E433" s="7" t="str">
        <f t="shared" si="18"/>
        <v>Dec</v>
      </c>
      <c r="F433" s="7" t="s">
        <v>1236</v>
      </c>
      <c r="G433" s="7" t="s">
        <v>36</v>
      </c>
      <c r="H433" s="7" t="s">
        <v>51</v>
      </c>
      <c r="I433" s="7" t="s">
        <v>46</v>
      </c>
      <c r="J433" s="7" t="s">
        <v>21</v>
      </c>
      <c r="K433" s="7" t="s">
        <v>30</v>
      </c>
      <c r="L433" s="7">
        <v>293.06</v>
      </c>
      <c r="M433" s="7">
        <v>4</v>
      </c>
      <c r="N433" s="7">
        <v>0.12</v>
      </c>
      <c r="O433" s="7">
        <v>95.9</v>
      </c>
      <c r="P433" s="7" t="s">
        <v>23</v>
      </c>
      <c r="Q433" s="7" t="s">
        <v>86</v>
      </c>
      <c r="R433" s="7">
        <v>4</v>
      </c>
      <c r="S433" s="7">
        <f t="shared" si="19"/>
        <v>2025</v>
      </c>
      <c r="T433" s="7" t="str">
        <f t="shared" si="20"/>
        <v>Dec</v>
      </c>
    </row>
    <row r="434" spans="2:20" x14ac:dyDescent="0.3">
      <c r="B434" s="7">
        <v>433</v>
      </c>
      <c r="C434" s="7" t="s">
        <v>1237</v>
      </c>
      <c r="D434" s="7" t="s">
        <v>1238</v>
      </c>
      <c r="E434" s="7" t="str">
        <f t="shared" si="18"/>
        <v>Jun</v>
      </c>
      <c r="F434" s="7" t="s">
        <v>1239</v>
      </c>
      <c r="G434" s="7" t="s">
        <v>64</v>
      </c>
      <c r="H434" s="7" t="s">
        <v>65</v>
      </c>
      <c r="I434" s="7" t="s">
        <v>28</v>
      </c>
      <c r="J434" s="7" t="s">
        <v>47</v>
      </c>
      <c r="K434" s="7" t="s">
        <v>30</v>
      </c>
      <c r="L434" s="7">
        <v>164.51</v>
      </c>
      <c r="M434" s="7">
        <v>1</v>
      </c>
      <c r="N434" s="7">
        <v>0.26</v>
      </c>
      <c r="O434" s="7">
        <v>24.01</v>
      </c>
      <c r="P434" s="7" t="s">
        <v>23</v>
      </c>
      <c r="Q434" s="7" t="s">
        <v>40</v>
      </c>
      <c r="R434" s="7">
        <v>5</v>
      </c>
      <c r="S434" s="7">
        <f t="shared" si="19"/>
        <v>2024</v>
      </c>
      <c r="T434" s="7" t="str">
        <f t="shared" si="20"/>
        <v>Jun</v>
      </c>
    </row>
    <row r="435" spans="2:20" x14ac:dyDescent="0.3">
      <c r="B435" s="7">
        <v>434</v>
      </c>
      <c r="C435" s="7" t="s">
        <v>1240</v>
      </c>
      <c r="D435" s="7" t="s">
        <v>1241</v>
      </c>
      <c r="E435" s="7" t="str">
        <f t="shared" si="18"/>
        <v>Dec</v>
      </c>
      <c r="F435" s="7" t="s">
        <v>1242</v>
      </c>
      <c r="G435" s="7" t="s">
        <v>102</v>
      </c>
      <c r="H435" s="7" t="s">
        <v>45</v>
      </c>
      <c r="I435" s="7" t="s">
        <v>106</v>
      </c>
      <c r="J435" s="7" t="s">
        <v>47</v>
      </c>
      <c r="K435" s="7" t="s">
        <v>67</v>
      </c>
      <c r="L435" s="7">
        <v>3675.31</v>
      </c>
      <c r="M435" s="7">
        <v>5</v>
      </c>
      <c r="N435" s="7">
        <v>0.22</v>
      </c>
      <c r="O435" s="7">
        <v>566.49</v>
      </c>
      <c r="P435" s="7" t="s">
        <v>23</v>
      </c>
      <c r="Q435" s="7" t="s">
        <v>77</v>
      </c>
      <c r="R435" s="7">
        <v>5</v>
      </c>
      <c r="S435" s="7">
        <f t="shared" si="19"/>
        <v>2025</v>
      </c>
      <c r="T435" s="7" t="str">
        <f t="shared" si="20"/>
        <v>Dec</v>
      </c>
    </row>
    <row r="436" spans="2:20" x14ac:dyDescent="0.3">
      <c r="B436" s="7">
        <v>435</v>
      </c>
      <c r="C436" s="7" t="s">
        <v>1243</v>
      </c>
      <c r="D436" s="7" t="s">
        <v>1244</v>
      </c>
      <c r="E436" s="7" t="str">
        <f t="shared" si="18"/>
        <v>Jan</v>
      </c>
      <c r="F436" s="7" t="s">
        <v>1245</v>
      </c>
      <c r="G436" s="7" t="s">
        <v>18</v>
      </c>
      <c r="H436" s="7" t="s">
        <v>51</v>
      </c>
      <c r="I436" s="7" t="s">
        <v>38</v>
      </c>
      <c r="J436" s="7" t="s">
        <v>66</v>
      </c>
      <c r="K436" s="7" t="s">
        <v>82</v>
      </c>
      <c r="L436" s="7">
        <v>1737.2</v>
      </c>
      <c r="M436" s="7">
        <v>3</v>
      </c>
      <c r="N436" s="7">
        <v>0.12</v>
      </c>
      <c r="O436" s="7">
        <v>486.21</v>
      </c>
      <c r="P436" s="7" t="s">
        <v>54</v>
      </c>
      <c r="Q436" s="7" t="s">
        <v>40</v>
      </c>
      <c r="R436" s="7">
        <v>5</v>
      </c>
      <c r="S436" s="7">
        <f t="shared" si="19"/>
        <v>2025</v>
      </c>
      <c r="T436" s="7" t="str">
        <f t="shared" si="20"/>
        <v>Jan</v>
      </c>
    </row>
    <row r="437" spans="2:20" x14ac:dyDescent="0.3">
      <c r="B437" s="7">
        <v>436</v>
      </c>
      <c r="C437" s="7" t="s">
        <v>1246</v>
      </c>
      <c r="D437" s="7" t="s">
        <v>390</v>
      </c>
      <c r="E437" s="7" t="str">
        <f t="shared" si="18"/>
        <v>Aug</v>
      </c>
      <c r="F437" s="7" t="s">
        <v>1247</v>
      </c>
      <c r="G437" s="7" t="s">
        <v>18</v>
      </c>
      <c r="H437" s="7" t="s">
        <v>19</v>
      </c>
      <c r="I437" s="7" t="s">
        <v>46</v>
      </c>
      <c r="J437" s="7" t="s">
        <v>81</v>
      </c>
      <c r="K437" s="7" t="s">
        <v>30</v>
      </c>
      <c r="L437" s="7">
        <v>578.95000000000005</v>
      </c>
      <c r="M437" s="7">
        <v>2</v>
      </c>
      <c r="N437" s="7">
        <v>0.25</v>
      </c>
      <c r="O437" s="7">
        <v>165.13</v>
      </c>
      <c r="P437" s="7" t="s">
        <v>31</v>
      </c>
      <c r="Q437" s="7" t="s">
        <v>24</v>
      </c>
      <c r="R437" s="7">
        <v>8</v>
      </c>
      <c r="S437" s="7">
        <f t="shared" si="19"/>
        <v>2025</v>
      </c>
      <c r="T437" s="7" t="str">
        <f t="shared" si="20"/>
        <v>Aug</v>
      </c>
    </row>
    <row r="438" spans="2:20" x14ac:dyDescent="0.3">
      <c r="B438" s="7">
        <v>437</v>
      </c>
      <c r="C438" s="7" t="s">
        <v>1248</v>
      </c>
      <c r="D438" s="7" t="s">
        <v>1249</v>
      </c>
      <c r="E438" s="7" t="str">
        <f t="shared" si="18"/>
        <v>May</v>
      </c>
      <c r="F438" s="7" t="s">
        <v>1250</v>
      </c>
      <c r="G438" s="7" t="s">
        <v>36</v>
      </c>
      <c r="H438" s="7" t="s">
        <v>71</v>
      </c>
      <c r="I438" s="7" t="s">
        <v>28</v>
      </c>
      <c r="J438" s="7" t="s">
        <v>21</v>
      </c>
      <c r="K438" s="7" t="s">
        <v>30</v>
      </c>
      <c r="L438" s="7">
        <v>2968.19</v>
      </c>
      <c r="M438" s="7">
        <v>3</v>
      </c>
      <c r="N438" s="7">
        <v>0.02</v>
      </c>
      <c r="O438" s="7">
        <v>450.92</v>
      </c>
      <c r="P438" s="7" t="s">
        <v>23</v>
      </c>
      <c r="Q438" s="7" t="s">
        <v>32</v>
      </c>
      <c r="R438" s="7">
        <v>6</v>
      </c>
      <c r="S438" s="7">
        <f t="shared" si="19"/>
        <v>2025</v>
      </c>
      <c r="T438" s="7" t="str">
        <f t="shared" si="20"/>
        <v>May</v>
      </c>
    </row>
    <row r="439" spans="2:20" x14ac:dyDescent="0.3">
      <c r="B439" s="7">
        <v>438</v>
      </c>
      <c r="C439" s="7" t="s">
        <v>1251</v>
      </c>
      <c r="D439" s="7" t="s">
        <v>1252</v>
      </c>
      <c r="E439" s="7" t="str">
        <f t="shared" si="18"/>
        <v>Jun</v>
      </c>
      <c r="F439" s="7" t="s">
        <v>1253</v>
      </c>
      <c r="G439" s="7" t="s">
        <v>44</v>
      </c>
      <c r="H439" s="7" t="s">
        <v>37</v>
      </c>
      <c r="I439" s="7" t="s">
        <v>106</v>
      </c>
      <c r="J439" s="7" t="s">
        <v>29</v>
      </c>
      <c r="K439" s="7" t="s">
        <v>60</v>
      </c>
      <c r="L439" s="7">
        <v>850.44</v>
      </c>
      <c r="M439" s="7">
        <v>1</v>
      </c>
      <c r="N439" s="7">
        <v>0.19</v>
      </c>
      <c r="O439" s="7">
        <v>190.24</v>
      </c>
      <c r="P439" s="7" t="s">
        <v>23</v>
      </c>
      <c r="Q439" s="7" t="s">
        <v>86</v>
      </c>
      <c r="R439" s="7">
        <v>5</v>
      </c>
      <c r="S439" s="7">
        <f t="shared" si="19"/>
        <v>2025</v>
      </c>
      <c r="T439" s="7" t="str">
        <f t="shared" si="20"/>
        <v>Jun</v>
      </c>
    </row>
    <row r="440" spans="2:20" x14ac:dyDescent="0.3">
      <c r="B440" s="7">
        <v>439</v>
      </c>
      <c r="C440" s="7" t="s">
        <v>1254</v>
      </c>
      <c r="D440" s="7" t="s">
        <v>1255</v>
      </c>
      <c r="E440" s="7" t="str">
        <f t="shared" si="18"/>
        <v>Nov</v>
      </c>
      <c r="F440" s="7" t="s">
        <v>872</v>
      </c>
      <c r="G440" s="7" t="s">
        <v>36</v>
      </c>
      <c r="H440" s="7" t="s">
        <v>37</v>
      </c>
      <c r="I440" s="7" t="s">
        <v>59</v>
      </c>
      <c r="J440" s="7" t="s">
        <v>81</v>
      </c>
      <c r="K440" s="7" t="s">
        <v>22</v>
      </c>
      <c r="L440" s="7">
        <v>863.72</v>
      </c>
      <c r="M440" s="7">
        <v>1</v>
      </c>
      <c r="N440" s="7">
        <v>0.05</v>
      </c>
      <c r="O440" s="7">
        <v>295.35000000000002</v>
      </c>
      <c r="P440" s="7" t="s">
        <v>54</v>
      </c>
      <c r="Q440" s="7" t="s">
        <v>86</v>
      </c>
      <c r="R440" s="7">
        <v>10</v>
      </c>
      <c r="S440" s="7">
        <f t="shared" si="19"/>
        <v>2025</v>
      </c>
      <c r="T440" s="7" t="str">
        <f t="shared" si="20"/>
        <v>Nov</v>
      </c>
    </row>
    <row r="441" spans="2:20" x14ac:dyDescent="0.3">
      <c r="B441" s="7">
        <v>440</v>
      </c>
      <c r="C441" s="7" t="s">
        <v>1256</v>
      </c>
      <c r="D441" s="7" t="s">
        <v>1257</v>
      </c>
      <c r="E441" s="7" t="str">
        <f t="shared" si="18"/>
        <v>Aug</v>
      </c>
      <c r="F441" s="7" t="s">
        <v>1258</v>
      </c>
      <c r="G441" s="7" t="s">
        <v>18</v>
      </c>
      <c r="H441" s="7" t="s">
        <v>37</v>
      </c>
      <c r="I441" s="7" t="s">
        <v>20</v>
      </c>
      <c r="J441" s="7" t="s">
        <v>21</v>
      </c>
      <c r="K441" s="7" t="s">
        <v>67</v>
      </c>
      <c r="L441" s="7">
        <v>1160.1600000000001</v>
      </c>
      <c r="M441" s="7">
        <v>4</v>
      </c>
      <c r="N441" s="7">
        <v>0.01</v>
      </c>
      <c r="O441" s="7">
        <v>353.52</v>
      </c>
      <c r="P441" s="7" t="s">
        <v>54</v>
      </c>
      <c r="Q441" s="7" t="s">
        <v>32</v>
      </c>
      <c r="R441" s="7">
        <v>10</v>
      </c>
      <c r="S441" s="7">
        <f t="shared" si="19"/>
        <v>2024</v>
      </c>
      <c r="T441" s="7" t="str">
        <f t="shared" si="20"/>
        <v>Aug</v>
      </c>
    </row>
    <row r="442" spans="2:20" x14ac:dyDescent="0.3">
      <c r="B442" s="7">
        <v>441</v>
      </c>
      <c r="C442" s="7" t="s">
        <v>1259</v>
      </c>
      <c r="D442" s="7" t="s">
        <v>224</v>
      </c>
      <c r="E442" s="7" t="str">
        <f t="shared" si="18"/>
        <v>Aug</v>
      </c>
      <c r="F442" s="7" t="s">
        <v>1260</v>
      </c>
      <c r="G442" s="7" t="s">
        <v>36</v>
      </c>
      <c r="H442" s="7" t="s">
        <v>65</v>
      </c>
      <c r="I442" s="7" t="s">
        <v>20</v>
      </c>
      <c r="J442" s="7" t="s">
        <v>29</v>
      </c>
      <c r="K442" s="7" t="s">
        <v>60</v>
      </c>
      <c r="L442" s="7">
        <v>4008.18</v>
      </c>
      <c r="M442" s="7">
        <v>5</v>
      </c>
      <c r="N442" s="7">
        <v>0.3</v>
      </c>
      <c r="O442" s="7">
        <v>949.98</v>
      </c>
      <c r="P442" s="7" t="s">
        <v>54</v>
      </c>
      <c r="Q442" s="7" t="s">
        <v>32</v>
      </c>
      <c r="R442" s="7">
        <v>7</v>
      </c>
      <c r="S442" s="7">
        <f t="shared" si="19"/>
        <v>2024</v>
      </c>
      <c r="T442" s="7" t="str">
        <f t="shared" si="20"/>
        <v>Aug</v>
      </c>
    </row>
    <row r="443" spans="2:20" x14ac:dyDescent="0.3">
      <c r="B443" s="7">
        <v>442</v>
      </c>
      <c r="C443" s="7" t="s">
        <v>1261</v>
      </c>
      <c r="D443" s="7" t="s">
        <v>203</v>
      </c>
      <c r="E443" s="7" t="str">
        <f t="shared" si="18"/>
        <v>Mar</v>
      </c>
      <c r="F443" s="7" t="s">
        <v>1262</v>
      </c>
      <c r="G443" s="7" t="s">
        <v>36</v>
      </c>
      <c r="H443" s="7" t="s">
        <v>45</v>
      </c>
      <c r="I443" s="7" t="s">
        <v>20</v>
      </c>
      <c r="J443" s="7" t="s">
        <v>29</v>
      </c>
      <c r="K443" s="7" t="s">
        <v>30</v>
      </c>
      <c r="L443" s="7">
        <v>1743.83</v>
      </c>
      <c r="M443" s="7">
        <v>3</v>
      </c>
      <c r="N443" s="7">
        <v>0.16</v>
      </c>
      <c r="O443" s="7">
        <v>438.47</v>
      </c>
      <c r="P443" s="7" t="s">
        <v>31</v>
      </c>
      <c r="Q443" s="7" t="s">
        <v>77</v>
      </c>
      <c r="R443" s="7">
        <v>4</v>
      </c>
      <c r="S443" s="7">
        <f t="shared" si="19"/>
        <v>2024</v>
      </c>
      <c r="T443" s="7" t="str">
        <f t="shared" si="20"/>
        <v>Mar</v>
      </c>
    </row>
    <row r="444" spans="2:20" x14ac:dyDescent="0.3">
      <c r="B444" s="7">
        <v>443</v>
      </c>
      <c r="C444" s="7" t="s">
        <v>1263</v>
      </c>
      <c r="D444" s="7" t="s">
        <v>121</v>
      </c>
      <c r="E444" s="7" t="str">
        <f t="shared" si="18"/>
        <v>Feb</v>
      </c>
      <c r="F444" s="7" t="s">
        <v>1264</v>
      </c>
      <c r="G444" s="7" t="s">
        <v>102</v>
      </c>
      <c r="H444" s="7" t="s">
        <v>51</v>
      </c>
      <c r="I444" s="7" t="s">
        <v>59</v>
      </c>
      <c r="J444" s="7" t="s">
        <v>47</v>
      </c>
      <c r="K444" s="7" t="s">
        <v>22</v>
      </c>
      <c r="L444" s="7">
        <v>1167.44</v>
      </c>
      <c r="M444" s="7">
        <v>2</v>
      </c>
      <c r="N444" s="7">
        <v>0.24</v>
      </c>
      <c r="O444" s="7">
        <v>246.27</v>
      </c>
      <c r="P444" s="7" t="s">
        <v>23</v>
      </c>
      <c r="Q444" s="7" t="s">
        <v>24</v>
      </c>
      <c r="R444" s="7">
        <v>9</v>
      </c>
      <c r="S444" s="7">
        <f t="shared" si="19"/>
        <v>2024</v>
      </c>
      <c r="T444" s="7" t="str">
        <f t="shared" si="20"/>
        <v>Feb</v>
      </c>
    </row>
    <row r="445" spans="2:20" x14ac:dyDescent="0.3">
      <c r="B445" s="7">
        <v>444</v>
      </c>
      <c r="C445" s="7" t="s">
        <v>1265</v>
      </c>
      <c r="D445" s="7" t="s">
        <v>453</v>
      </c>
      <c r="E445" s="7" t="str">
        <f t="shared" si="18"/>
        <v>May</v>
      </c>
      <c r="F445" s="7" t="s">
        <v>1266</v>
      </c>
      <c r="G445" s="7" t="s">
        <v>44</v>
      </c>
      <c r="H445" s="7" t="s">
        <v>19</v>
      </c>
      <c r="I445" s="7" t="s">
        <v>52</v>
      </c>
      <c r="J445" s="7" t="s">
        <v>29</v>
      </c>
      <c r="K445" s="7" t="s">
        <v>72</v>
      </c>
      <c r="L445" s="7">
        <v>1203.58</v>
      </c>
      <c r="M445" s="7">
        <v>2</v>
      </c>
      <c r="N445" s="7">
        <v>0.3</v>
      </c>
      <c r="O445" s="7">
        <v>408.6</v>
      </c>
      <c r="P445" s="7" t="s">
        <v>54</v>
      </c>
      <c r="Q445" s="7" t="s">
        <v>24</v>
      </c>
      <c r="R445" s="7">
        <v>10</v>
      </c>
      <c r="S445" s="7">
        <f t="shared" si="19"/>
        <v>2025</v>
      </c>
      <c r="T445" s="7" t="str">
        <f t="shared" si="20"/>
        <v>May</v>
      </c>
    </row>
    <row r="446" spans="2:20" x14ac:dyDescent="0.3">
      <c r="B446" s="7">
        <v>445</v>
      </c>
      <c r="C446" s="7" t="s">
        <v>1267</v>
      </c>
      <c r="D446" s="7" t="s">
        <v>1268</v>
      </c>
      <c r="E446" s="7" t="str">
        <f t="shared" si="18"/>
        <v>Jun</v>
      </c>
      <c r="F446" s="7" t="s">
        <v>1269</v>
      </c>
      <c r="G446" s="7" t="s">
        <v>64</v>
      </c>
      <c r="H446" s="7" t="s">
        <v>51</v>
      </c>
      <c r="I446" s="7" t="s">
        <v>28</v>
      </c>
      <c r="J446" s="7" t="s">
        <v>81</v>
      </c>
      <c r="K446" s="7" t="s">
        <v>72</v>
      </c>
      <c r="L446" s="7">
        <v>572.85</v>
      </c>
      <c r="M446" s="7">
        <v>1</v>
      </c>
      <c r="N446" s="7">
        <v>0</v>
      </c>
      <c r="O446" s="7">
        <v>139.24</v>
      </c>
      <c r="P446" s="7" t="s">
        <v>23</v>
      </c>
      <c r="Q446" s="7" t="s">
        <v>77</v>
      </c>
      <c r="R446" s="7">
        <v>9</v>
      </c>
      <c r="S446" s="7">
        <f t="shared" si="19"/>
        <v>2025</v>
      </c>
      <c r="T446" s="7" t="str">
        <f t="shared" si="20"/>
        <v>Jun</v>
      </c>
    </row>
    <row r="447" spans="2:20" x14ac:dyDescent="0.3">
      <c r="B447" s="7">
        <v>446</v>
      </c>
      <c r="C447" s="7" t="s">
        <v>1270</v>
      </c>
      <c r="D447" s="7" t="s">
        <v>1271</v>
      </c>
      <c r="E447" s="7" t="str">
        <f t="shared" si="18"/>
        <v>Dec</v>
      </c>
      <c r="F447" s="7" t="s">
        <v>1272</v>
      </c>
      <c r="G447" s="7" t="s">
        <v>18</v>
      </c>
      <c r="H447" s="7" t="s">
        <v>51</v>
      </c>
      <c r="I447" s="7" t="s">
        <v>106</v>
      </c>
      <c r="J447" s="7" t="s">
        <v>47</v>
      </c>
      <c r="K447" s="7" t="s">
        <v>39</v>
      </c>
      <c r="L447" s="7">
        <v>238.73</v>
      </c>
      <c r="M447" s="7">
        <v>1</v>
      </c>
      <c r="N447" s="7">
        <v>0.08</v>
      </c>
      <c r="O447" s="7">
        <v>28.98</v>
      </c>
      <c r="P447" s="7" t="s">
        <v>54</v>
      </c>
      <c r="Q447" s="7" t="s">
        <v>24</v>
      </c>
      <c r="R447" s="7">
        <v>10</v>
      </c>
      <c r="S447" s="7">
        <f t="shared" si="19"/>
        <v>2025</v>
      </c>
      <c r="T447" s="7" t="str">
        <f t="shared" si="20"/>
        <v>Dec</v>
      </c>
    </row>
    <row r="448" spans="2:20" x14ac:dyDescent="0.3">
      <c r="B448" s="7">
        <v>447</v>
      </c>
      <c r="C448" s="7" t="s">
        <v>1273</v>
      </c>
      <c r="D448" s="7" t="s">
        <v>785</v>
      </c>
      <c r="E448" s="7" t="str">
        <f t="shared" si="18"/>
        <v>Mar</v>
      </c>
      <c r="F448" s="7" t="s">
        <v>1274</v>
      </c>
      <c r="G448" s="7" t="s">
        <v>36</v>
      </c>
      <c r="H448" s="7" t="s">
        <v>65</v>
      </c>
      <c r="I448" s="7" t="s">
        <v>59</v>
      </c>
      <c r="J448" s="7" t="s">
        <v>47</v>
      </c>
      <c r="K448" s="7" t="s">
        <v>82</v>
      </c>
      <c r="L448" s="7">
        <v>1258.0999999999999</v>
      </c>
      <c r="M448" s="7">
        <v>2</v>
      </c>
      <c r="N448" s="7">
        <v>0.11</v>
      </c>
      <c r="O448" s="7">
        <v>358.04</v>
      </c>
      <c r="P448" s="7" t="s">
        <v>54</v>
      </c>
      <c r="Q448" s="7" t="s">
        <v>24</v>
      </c>
      <c r="R448" s="7">
        <v>5</v>
      </c>
      <c r="S448" s="7">
        <f t="shared" si="19"/>
        <v>2025</v>
      </c>
      <c r="T448" s="7" t="str">
        <f t="shared" si="20"/>
        <v>Mar</v>
      </c>
    </row>
    <row r="449" spans="2:20" x14ac:dyDescent="0.3">
      <c r="B449" s="7">
        <v>448</v>
      </c>
      <c r="C449" s="7" t="s">
        <v>1275</v>
      </c>
      <c r="D449" s="7" t="s">
        <v>1276</v>
      </c>
      <c r="E449" s="7" t="str">
        <f t="shared" si="18"/>
        <v>May</v>
      </c>
      <c r="F449" s="7" t="s">
        <v>1277</v>
      </c>
      <c r="G449" s="7" t="s">
        <v>102</v>
      </c>
      <c r="H449" s="7" t="s">
        <v>65</v>
      </c>
      <c r="I449" s="7" t="s">
        <v>46</v>
      </c>
      <c r="J449" s="7" t="s">
        <v>66</v>
      </c>
      <c r="K449" s="7" t="s">
        <v>72</v>
      </c>
      <c r="L449" s="7">
        <v>1531.82</v>
      </c>
      <c r="M449" s="7">
        <v>2</v>
      </c>
      <c r="N449" s="7">
        <v>0.16</v>
      </c>
      <c r="O449" s="7">
        <v>504.29</v>
      </c>
      <c r="P449" s="7" t="s">
        <v>31</v>
      </c>
      <c r="Q449" s="7" t="s">
        <v>32</v>
      </c>
      <c r="R449" s="7">
        <v>7</v>
      </c>
      <c r="S449" s="7">
        <f t="shared" si="19"/>
        <v>2025</v>
      </c>
      <c r="T449" s="7" t="str">
        <f t="shared" si="20"/>
        <v>May</v>
      </c>
    </row>
    <row r="450" spans="2:20" x14ac:dyDescent="0.3">
      <c r="B450" s="7">
        <v>449</v>
      </c>
      <c r="C450" s="7" t="s">
        <v>1278</v>
      </c>
      <c r="D450" s="7" t="s">
        <v>1279</v>
      </c>
      <c r="E450" s="7" t="str">
        <f t="shared" si="18"/>
        <v>Apr</v>
      </c>
      <c r="F450" s="7" t="s">
        <v>1280</v>
      </c>
      <c r="G450" s="7" t="s">
        <v>18</v>
      </c>
      <c r="H450" s="7" t="s">
        <v>19</v>
      </c>
      <c r="I450" s="7" t="s">
        <v>28</v>
      </c>
      <c r="J450" s="7" t="s">
        <v>21</v>
      </c>
      <c r="K450" s="7" t="s">
        <v>22</v>
      </c>
      <c r="L450" s="7">
        <v>261.52999999999997</v>
      </c>
      <c r="M450" s="7">
        <v>3</v>
      </c>
      <c r="N450" s="7">
        <v>0.08</v>
      </c>
      <c r="O450" s="7">
        <v>30.13</v>
      </c>
      <c r="P450" s="7" t="s">
        <v>23</v>
      </c>
      <c r="Q450" s="7" t="s">
        <v>32</v>
      </c>
      <c r="R450" s="7">
        <v>1</v>
      </c>
      <c r="S450" s="7">
        <f t="shared" si="19"/>
        <v>2024</v>
      </c>
      <c r="T450" s="7" t="str">
        <f t="shared" si="20"/>
        <v>Apr</v>
      </c>
    </row>
    <row r="451" spans="2:20" x14ac:dyDescent="0.3">
      <c r="B451" s="7">
        <v>450</v>
      </c>
      <c r="C451" s="7" t="s">
        <v>1281</v>
      </c>
      <c r="D451" s="7" t="s">
        <v>1282</v>
      </c>
      <c r="E451" s="7" t="str">
        <f t="shared" ref="E451:E514" si="21">TEXT(D451,"mmm")</f>
        <v>Oct</v>
      </c>
      <c r="F451" s="7" t="s">
        <v>1283</v>
      </c>
      <c r="G451" s="7" t="s">
        <v>44</v>
      </c>
      <c r="H451" s="7" t="s">
        <v>45</v>
      </c>
      <c r="I451" s="7" t="s">
        <v>52</v>
      </c>
      <c r="J451" s="7" t="s">
        <v>29</v>
      </c>
      <c r="K451" s="7" t="s">
        <v>39</v>
      </c>
      <c r="L451" s="7">
        <v>195.22</v>
      </c>
      <c r="M451" s="7">
        <v>2</v>
      </c>
      <c r="N451" s="7">
        <v>0.25</v>
      </c>
      <c r="O451" s="7">
        <v>42.97</v>
      </c>
      <c r="P451" s="7" t="s">
        <v>23</v>
      </c>
      <c r="Q451" s="7" t="s">
        <v>32</v>
      </c>
      <c r="R451" s="7">
        <v>8</v>
      </c>
      <c r="S451" s="7">
        <f t="shared" ref="S451:S514" si="22">YEAR(D451)</f>
        <v>2025</v>
      </c>
      <c r="T451" s="7" t="str">
        <f t="shared" ref="T451:T514" si="23">TEXT(D451,"mmm")</f>
        <v>Oct</v>
      </c>
    </row>
    <row r="452" spans="2:20" x14ac:dyDescent="0.3">
      <c r="B452" s="7">
        <v>451</v>
      </c>
      <c r="C452" s="7" t="s">
        <v>1284</v>
      </c>
      <c r="D452" s="7" t="s">
        <v>759</v>
      </c>
      <c r="E452" s="7" t="str">
        <f t="shared" si="21"/>
        <v>Sep</v>
      </c>
      <c r="F452" s="7" t="s">
        <v>1285</v>
      </c>
      <c r="G452" s="7" t="s">
        <v>18</v>
      </c>
      <c r="H452" s="7" t="s">
        <v>19</v>
      </c>
      <c r="I452" s="7" t="s">
        <v>116</v>
      </c>
      <c r="J452" s="7" t="s">
        <v>81</v>
      </c>
      <c r="K452" s="7" t="s">
        <v>67</v>
      </c>
      <c r="L452" s="7">
        <v>1425.61</v>
      </c>
      <c r="M452" s="7">
        <v>3</v>
      </c>
      <c r="N452" s="7">
        <v>0.16</v>
      </c>
      <c r="O452" s="7">
        <v>469.77</v>
      </c>
      <c r="P452" s="7" t="s">
        <v>23</v>
      </c>
      <c r="Q452" s="7" t="s">
        <v>32</v>
      </c>
      <c r="R452" s="7">
        <v>4</v>
      </c>
      <c r="S452" s="7">
        <f t="shared" si="22"/>
        <v>2024</v>
      </c>
      <c r="T452" s="7" t="str">
        <f t="shared" si="23"/>
        <v>Sep</v>
      </c>
    </row>
    <row r="453" spans="2:20" x14ac:dyDescent="0.3">
      <c r="B453" s="7">
        <v>452</v>
      </c>
      <c r="C453" s="7" t="s">
        <v>1286</v>
      </c>
      <c r="D453" s="7" t="s">
        <v>1238</v>
      </c>
      <c r="E453" s="7" t="str">
        <f t="shared" si="21"/>
        <v>Jun</v>
      </c>
      <c r="F453" s="7" t="s">
        <v>1287</v>
      </c>
      <c r="G453" s="7" t="s">
        <v>36</v>
      </c>
      <c r="H453" s="7" t="s">
        <v>65</v>
      </c>
      <c r="I453" s="7" t="s">
        <v>46</v>
      </c>
      <c r="J453" s="7" t="s">
        <v>81</v>
      </c>
      <c r="K453" s="7" t="s">
        <v>53</v>
      </c>
      <c r="L453" s="7">
        <v>1456.57</v>
      </c>
      <c r="M453" s="7">
        <v>5</v>
      </c>
      <c r="N453" s="7">
        <v>0.13</v>
      </c>
      <c r="O453" s="7">
        <v>504.35</v>
      </c>
      <c r="P453" s="7" t="s">
        <v>54</v>
      </c>
      <c r="Q453" s="7" t="s">
        <v>32</v>
      </c>
      <c r="R453" s="7">
        <v>10</v>
      </c>
      <c r="S453" s="7">
        <f t="shared" si="22"/>
        <v>2024</v>
      </c>
      <c r="T453" s="7" t="str">
        <f t="shared" si="23"/>
        <v>Jun</v>
      </c>
    </row>
    <row r="454" spans="2:20" x14ac:dyDescent="0.3">
      <c r="B454" s="7">
        <v>453</v>
      </c>
      <c r="C454" s="7" t="s">
        <v>1288</v>
      </c>
      <c r="D454" s="7" t="s">
        <v>1289</v>
      </c>
      <c r="E454" s="7" t="str">
        <f t="shared" si="21"/>
        <v>Sep</v>
      </c>
      <c r="F454" s="7" t="s">
        <v>1290</v>
      </c>
      <c r="G454" s="7" t="s">
        <v>64</v>
      </c>
      <c r="H454" s="7" t="s">
        <v>51</v>
      </c>
      <c r="I454" s="7" t="s">
        <v>46</v>
      </c>
      <c r="J454" s="7" t="s">
        <v>66</v>
      </c>
      <c r="K454" s="7" t="s">
        <v>72</v>
      </c>
      <c r="L454" s="7">
        <v>2164.77</v>
      </c>
      <c r="M454" s="7">
        <v>3</v>
      </c>
      <c r="N454" s="7">
        <v>0.01</v>
      </c>
      <c r="O454" s="7">
        <v>314.5</v>
      </c>
      <c r="P454" s="7" t="s">
        <v>54</v>
      </c>
      <c r="Q454" s="7" t="s">
        <v>77</v>
      </c>
      <c r="R454" s="7">
        <v>7</v>
      </c>
      <c r="S454" s="7">
        <f t="shared" si="22"/>
        <v>2024</v>
      </c>
      <c r="T454" s="7" t="str">
        <f t="shared" si="23"/>
        <v>Sep</v>
      </c>
    </row>
    <row r="455" spans="2:20" x14ac:dyDescent="0.3">
      <c r="B455" s="7">
        <v>454</v>
      </c>
      <c r="C455" s="7" t="s">
        <v>1291</v>
      </c>
      <c r="D455" s="7" t="s">
        <v>275</v>
      </c>
      <c r="E455" s="7" t="str">
        <f t="shared" si="21"/>
        <v>Apr</v>
      </c>
      <c r="F455" s="7" t="s">
        <v>1292</v>
      </c>
      <c r="G455" s="7" t="s">
        <v>18</v>
      </c>
      <c r="H455" s="7" t="s">
        <v>71</v>
      </c>
      <c r="I455" s="7" t="s">
        <v>106</v>
      </c>
      <c r="J455" s="7" t="s">
        <v>81</v>
      </c>
      <c r="K455" s="7" t="s">
        <v>67</v>
      </c>
      <c r="L455" s="7">
        <v>739.15</v>
      </c>
      <c r="M455" s="7">
        <v>2</v>
      </c>
      <c r="N455" s="7">
        <v>0.23</v>
      </c>
      <c r="O455" s="7">
        <v>258.63</v>
      </c>
      <c r="P455" s="7" t="s">
        <v>54</v>
      </c>
      <c r="Q455" s="7" t="s">
        <v>40</v>
      </c>
      <c r="R455" s="7">
        <v>1</v>
      </c>
      <c r="S455" s="7">
        <f t="shared" si="22"/>
        <v>2025</v>
      </c>
      <c r="T455" s="7" t="str">
        <f t="shared" si="23"/>
        <v>Apr</v>
      </c>
    </row>
    <row r="456" spans="2:20" x14ac:dyDescent="0.3">
      <c r="B456" s="7">
        <v>455</v>
      </c>
      <c r="C456" s="7" t="s">
        <v>1293</v>
      </c>
      <c r="D456" s="7" t="s">
        <v>1294</v>
      </c>
      <c r="E456" s="7" t="str">
        <f t="shared" si="21"/>
        <v>Feb</v>
      </c>
      <c r="F456" s="7" t="s">
        <v>1295</v>
      </c>
      <c r="G456" s="7" t="s">
        <v>64</v>
      </c>
      <c r="H456" s="7" t="s">
        <v>71</v>
      </c>
      <c r="I456" s="7" t="s">
        <v>28</v>
      </c>
      <c r="J456" s="7" t="s">
        <v>29</v>
      </c>
      <c r="K456" s="7" t="s">
        <v>82</v>
      </c>
      <c r="L456" s="7">
        <v>3106.78</v>
      </c>
      <c r="M456" s="7">
        <v>5</v>
      </c>
      <c r="N456" s="7">
        <v>0.25</v>
      </c>
      <c r="O456" s="7">
        <v>439.54</v>
      </c>
      <c r="P456" s="7" t="s">
        <v>31</v>
      </c>
      <c r="Q456" s="7" t="s">
        <v>40</v>
      </c>
      <c r="R456" s="7">
        <v>8</v>
      </c>
      <c r="S456" s="7">
        <f t="shared" si="22"/>
        <v>2025</v>
      </c>
      <c r="T456" s="7" t="str">
        <f t="shared" si="23"/>
        <v>Feb</v>
      </c>
    </row>
    <row r="457" spans="2:20" x14ac:dyDescent="0.3">
      <c r="B457" s="7">
        <v>456</v>
      </c>
      <c r="C457" s="7" t="s">
        <v>1296</v>
      </c>
      <c r="D457" s="7" t="s">
        <v>458</v>
      </c>
      <c r="E457" s="7" t="str">
        <f t="shared" si="21"/>
        <v>Oct</v>
      </c>
      <c r="F457" s="7" t="s">
        <v>1297</v>
      </c>
      <c r="G457" s="7" t="s">
        <v>44</v>
      </c>
      <c r="H457" s="7" t="s">
        <v>19</v>
      </c>
      <c r="I457" s="7" t="s">
        <v>28</v>
      </c>
      <c r="J457" s="7" t="s">
        <v>29</v>
      </c>
      <c r="K457" s="7" t="s">
        <v>82</v>
      </c>
      <c r="L457" s="7">
        <v>1370.66</v>
      </c>
      <c r="M457" s="7">
        <v>3</v>
      </c>
      <c r="N457" s="7">
        <v>0.26</v>
      </c>
      <c r="O457" s="7">
        <v>258.57</v>
      </c>
      <c r="P457" s="7" t="s">
        <v>31</v>
      </c>
      <c r="Q457" s="7" t="s">
        <v>77</v>
      </c>
      <c r="R457" s="7">
        <v>3</v>
      </c>
      <c r="S457" s="7">
        <f t="shared" si="22"/>
        <v>2024</v>
      </c>
      <c r="T457" s="7" t="str">
        <f t="shared" si="23"/>
        <v>Oct</v>
      </c>
    </row>
    <row r="458" spans="2:20" x14ac:dyDescent="0.3">
      <c r="B458" s="7">
        <v>457</v>
      </c>
      <c r="C458" s="7" t="s">
        <v>1298</v>
      </c>
      <c r="D458" s="7" t="s">
        <v>379</v>
      </c>
      <c r="E458" s="7" t="str">
        <f t="shared" si="21"/>
        <v>Oct</v>
      </c>
      <c r="F458" s="7" t="s">
        <v>1299</v>
      </c>
      <c r="G458" s="7" t="s">
        <v>102</v>
      </c>
      <c r="H458" s="7" t="s">
        <v>65</v>
      </c>
      <c r="I458" s="7" t="s">
        <v>20</v>
      </c>
      <c r="J458" s="7" t="s">
        <v>47</v>
      </c>
      <c r="K458" s="7" t="s">
        <v>60</v>
      </c>
      <c r="L458" s="7">
        <v>769.67</v>
      </c>
      <c r="M458" s="7">
        <v>3</v>
      </c>
      <c r="N458" s="7">
        <v>0.28000000000000003</v>
      </c>
      <c r="O458" s="7">
        <v>178.17</v>
      </c>
      <c r="P458" s="7" t="s">
        <v>54</v>
      </c>
      <c r="Q458" s="7" t="s">
        <v>40</v>
      </c>
      <c r="R458" s="7">
        <v>5</v>
      </c>
      <c r="S458" s="7">
        <f t="shared" si="22"/>
        <v>2025</v>
      </c>
      <c r="T458" s="7" t="str">
        <f t="shared" si="23"/>
        <v>Oct</v>
      </c>
    </row>
    <row r="459" spans="2:20" x14ac:dyDescent="0.3">
      <c r="B459" s="7">
        <v>458</v>
      </c>
      <c r="C459" s="7" t="s">
        <v>1300</v>
      </c>
      <c r="D459" s="7" t="s">
        <v>1301</v>
      </c>
      <c r="E459" s="7" t="str">
        <f t="shared" si="21"/>
        <v>Jul</v>
      </c>
      <c r="F459" s="7" t="s">
        <v>1302</v>
      </c>
      <c r="G459" s="7" t="s">
        <v>18</v>
      </c>
      <c r="H459" s="7" t="s">
        <v>71</v>
      </c>
      <c r="I459" s="7" t="s">
        <v>38</v>
      </c>
      <c r="J459" s="7" t="s">
        <v>21</v>
      </c>
      <c r="K459" s="7" t="s">
        <v>76</v>
      </c>
      <c r="L459" s="7">
        <v>2422.85</v>
      </c>
      <c r="M459" s="7">
        <v>3</v>
      </c>
      <c r="N459" s="7">
        <v>0.05</v>
      </c>
      <c r="O459" s="7">
        <v>819.13</v>
      </c>
      <c r="P459" s="7" t="s">
        <v>23</v>
      </c>
      <c r="Q459" s="7" t="s">
        <v>24</v>
      </c>
      <c r="R459" s="7">
        <v>3</v>
      </c>
      <c r="S459" s="7">
        <f t="shared" si="22"/>
        <v>2025</v>
      </c>
      <c r="T459" s="7" t="str">
        <f t="shared" si="23"/>
        <v>Jul</v>
      </c>
    </row>
    <row r="460" spans="2:20" x14ac:dyDescent="0.3">
      <c r="B460" s="7">
        <v>459</v>
      </c>
      <c r="C460" s="7" t="s">
        <v>1303</v>
      </c>
      <c r="D460" s="7" t="s">
        <v>272</v>
      </c>
      <c r="E460" s="7" t="str">
        <f t="shared" si="21"/>
        <v>Jun</v>
      </c>
      <c r="F460" s="7" t="s">
        <v>1304</v>
      </c>
      <c r="G460" s="7" t="s">
        <v>64</v>
      </c>
      <c r="H460" s="7" t="s">
        <v>65</v>
      </c>
      <c r="I460" s="7" t="s">
        <v>116</v>
      </c>
      <c r="J460" s="7" t="s">
        <v>47</v>
      </c>
      <c r="K460" s="7" t="s">
        <v>82</v>
      </c>
      <c r="L460" s="7">
        <v>713.06</v>
      </c>
      <c r="M460" s="7">
        <v>5</v>
      </c>
      <c r="N460" s="7">
        <v>0.21</v>
      </c>
      <c r="O460" s="7">
        <v>131.07</v>
      </c>
      <c r="P460" s="7" t="s">
        <v>54</v>
      </c>
      <c r="Q460" s="7" t="s">
        <v>86</v>
      </c>
      <c r="R460" s="7">
        <v>6</v>
      </c>
      <c r="S460" s="7">
        <f t="shared" si="22"/>
        <v>2025</v>
      </c>
      <c r="T460" s="7" t="str">
        <f t="shared" si="23"/>
        <v>Jun</v>
      </c>
    </row>
    <row r="461" spans="2:20" x14ac:dyDescent="0.3">
      <c r="B461" s="7">
        <v>460</v>
      </c>
      <c r="C461" s="7" t="s">
        <v>1305</v>
      </c>
      <c r="D461" s="7" t="s">
        <v>1306</v>
      </c>
      <c r="E461" s="7" t="str">
        <f t="shared" si="21"/>
        <v>Jul</v>
      </c>
      <c r="F461" s="7" t="s">
        <v>1307</v>
      </c>
      <c r="G461" s="7" t="s">
        <v>18</v>
      </c>
      <c r="H461" s="7" t="s">
        <v>45</v>
      </c>
      <c r="I461" s="7" t="s">
        <v>28</v>
      </c>
      <c r="J461" s="7" t="s">
        <v>29</v>
      </c>
      <c r="K461" s="7" t="s">
        <v>82</v>
      </c>
      <c r="L461" s="7">
        <v>1036.67</v>
      </c>
      <c r="M461" s="7">
        <v>2</v>
      </c>
      <c r="N461" s="7">
        <v>0.01</v>
      </c>
      <c r="O461" s="7">
        <v>148.49</v>
      </c>
      <c r="P461" s="7" t="s">
        <v>54</v>
      </c>
      <c r="Q461" s="7" t="s">
        <v>24</v>
      </c>
      <c r="R461" s="7">
        <v>10</v>
      </c>
      <c r="S461" s="7">
        <f t="shared" si="22"/>
        <v>2025</v>
      </c>
      <c r="T461" s="7" t="str">
        <f t="shared" si="23"/>
        <v>Jul</v>
      </c>
    </row>
    <row r="462" spans="2:20" x14ac:dyDescent="0.3">
      <c r="B462" s="7">
        <v>461</v>
      </c>
      <c r="C462" s="7" t="s">
        <v>1308</v>
      </c>
      <c r="D462" s="7" t="s">
        <v>626</v>
      </c>
      <c r="E462" s="7" t="str">
        <f t="shared" si="21"/>
        <v>Nov</v>
      </c>
      <c r="F462" s="7" t="s">
        <v>1309</v>
      </c>
      <c r="G462" s="7" t="s">
        <v>64</v>
      </c>
      <c r="H462" s="7" t="s">
        <v>51</v>
      </c>
      <c r="I462" s="7" t="s">
        <v>38</v>
      </c>
      <c r="J462" s="7" t="s">
        <v>81</v>
      </c>
      <c r="K462" s="7" t="s">
        <v>72</v>
      </c>
      <c r="L462" s="7">
        <v>2922</v>
      </c>
      <c r="M462" s="7">
        <v>5</v>
      </c>
      <c r="N462" s="7">
        <v>0.09</v>
      </c>
      <c r="O462" s="7">
        <v>645.41999999999996</v>
      </c>
      <c r="P462" s="7" t="s">
        <v>31</v>
      </c>
      <c r="Q462" s="7" t="s">
        <v>86</v>
      </c>
      <c r="R462" s="7">
        <v>3</v>
      </c>
      <c r="S462" s="7">
        <f t="shared" si="22"/>
        <v>2024</v>
      </c>
      <c r="T462" s="7" t="str">
        <f t="shared" si="23"/>
        <v>Nov</v>
      </c>
    </row>
    <row r="463" spans="2:20" x14ac:dyDescent="0.3">
      <c r="B463" s="7">
        <v>462</v>
      </c>
      <c r="C463" s="7" t="s">
        <v>1310</v>
      </c>
      <c r="D463" s="7" t="s">
        <v>1311</v>
      </c>
      <c r="E463" s="7" t="str">
        <f t="shared" si="21"/>
        <v>Jun</v>
      </c>
      <c r="F463" s="7" t="s">
        <v>1312</v>
      </c>
      <c r="G463" s="7" t="s">
        <v>102</v>
      </c>
      <c r="H463" s="7" t="s">
        <v>45</v>
      </c>
      <c r="I463" s="7" t="s">
        <v>28</v>
      </c>
      <c r="J463" s="7" t="s">
        <v>66</v>
      </c>
      <c r="K463" s="7" t="s">
        <v>22</v>
      </c>
      <c r="L463" s="7">
        <v>3571.83</v>
      </c>
      <c r="M463" s="7">
        <v>4</v>
      </c>
      <c r="N463" s="7">
        <v>0.17</v>
      </c>
      <c r="O463" s="7">
        <v>566.89</v>
      </c>
      <c r="P463" s="7" t="s">
        <v>23</v>
      </c>
      <c r="Q463" s="7" t="s">
        <v>32</v>
      </c>
      <c r="R463" s="7">
        <v>9</v>
      </c>
      <c r="S463" s="7">
        <f t="shared" si="22"/>
        <v>2024</v>
      </c>
      <c r="T463" s="7" t="str">
        <f t="shared" si="23"/>
        <v>Jun</v>
      </c>
    </row>
    <row r="464" spans="2:20" x14ac:dyDescent="0.3">
      <c r="B464" s="7">
        <v>463</v>
      </c>
      <c r="C464" s="7" t="s">
        <v>1313</v>
      </c>
      <c r="D464" s="7" t="s">
        <v>1314</v>
      </c>
      <c r="E464" s="7" t="str">
        <f t="shared" si="21"/>
        <v>May</v>
      </c>
      <c r="F464" s="7" t="s">
        <v>1315</v>
      </c>
      <c r="G464" s="7" t="s">
        <v>64</v>
      </c>
      <c r="H464" s="7" t="s">
        <v>71</v>
      </c>
      <c r="I464" s="7" t="s">
        <v>28</v>
      </c>
      <c r="J464" s="7" t="s">
        <v>29</v>
      </c>
      <c r="K464" s="7" t="s">
        <v>76</v>
      </c>
      <c r="L464" s="7">
        <v>855.15</v>
      </c>
      <c r="M464" s="7">
        <v>5</v>
      </c>
      <c r="N464" s="7">
        <v>0.11</v>
      </c>
      <c r="O464" s="7">
        <v>228.41</v>
      </c>
      <c r="P464" s="7" t="s">
        <v>31</v>
      </c>
      <c r="Q464" s="7" t="s">
        <v>77</v>
      </c>
      <c r="R464" s="7">
        <v>9</v>
      </c>
      <c r="S464" s="7">
        <f t="shared" si="22"/>
        <v>2024</v>
      </c>
      <c r="T464" s="7" t="str">
        <f t="shared" si="23"/>
        <v>May</v>
      </c>
    </row>
    <row r="465" spans="2:20" x14ac:dyDescent="0.3">
      <c r="B465" s="7">
        <v>464</v>
      </c>
      <c r="C465" s="7" t="s">
        <v>1316</v>
      </c>
      <c r="D465" s="7" t="s">
        <v>1317</v>
      </c>
      <c r="E465" s="7" t="str">
        <f t="shared" si="21"/>
        <v>May</v>
      </c>
      <c r="F465" s="7" t="s">
        <v>1318</v>
      </c>
      <c r="G465" s="7" t="s">
        <v>102</v>
      </c>
      <c r="H465" s="7" t="s">
        <v>71</v>
      </c>
      <c r="I465" s="7" t="s">
        <v>106</v>
      </c>
      <c r="J465" s="7" t="s">
        <v>47</v>
      </c>
      <c r="K465" s="7" t="s">
        <v>30</v>
      </c>
      <c r="L465" s="7">
        <v>1596.38</v>
      </c>
      <c r="M465" s="7">
        <v>4</v>
      </c>
      <c r="N465" s="7">
        <v>0.3</v>
      </c>
      <c r="O465" s="7">
        <v>498.75</v>
      </c>
      <c r="P465" s="7" t="s">
        <v>54</v>
      </c>
      <c r="Q465" s="7" t="s">
        <v>77</v>
      </c>
      <c r="R465" s="7">
        <v>7</v>
      </c>
      <c r="S465" s="7">
        <f t="shared" si="22"/>
        <v>2024</v>
      </c>
      <c r="T465" s="7" t="str">
        <f t="shared" si="23"/>
        <v>May</v>
      </c>
    </row>
    <row r="466" spans="2:20" x14ac:dyDescent="0.3">
      <c r="B466" s="7">
        <v>465</v>
      </c>
      <c r="C466" s="7" t="s">
        <v>1319</v>
      </c>
      <c r="D466" s="7" t="s">
        <v>218</v>
      </c>
      <c r="E466" s="7" t="str">
        <f t="shared" si="21"/>
        <v>Sep</v>
      </c>
      <c r="F466" s="7" t="s">
        <v>1320</v>
      </c>
      <c r="G466" s="7" t="s">
        <v>102</v>
      </c>
      <c r="H466" s="7" t="s">
        <v>51</v>
      </c>
      <c r="I466" s="7" t="s">
        <v>116</v>
      </c>
      <c r="J466" s="7" t="s">
        <v>21</v>
      </c>
      <c r="K466" s="7" t="s">
        <v>22</v>
      </c>
      <c r="L466" s="7">
        <v>1327.67</v>
      </c>
      <c r="M466" s="7">
        <v>5</v>
      </c>
      <c r="N466" s="7">
        <v>0.12</v>
      </c>
      <c r="O466" s="7">
        <v>298.8</v>
      </c>
      <c r="P466" s="7" t="s">
        <v>54</v>
      </c>
      <c r="Q466" s="7" t="s">
        <v>86</v>
      </c>
      <c r="R466" s="7">
        <v>2</v>
      </c>
      <c r="S466" s="7">
        <f t="shared" si="22"/>
        <v>2024</v>
      </c>
      <c r="T466" s="7" t="str">
        <f t="shared" si="23"/>
        <v>Sep</v>
      </c>
    </row>
    <row r="467" spans="2:20" x14ac:dyDescent="0.3">
      <c r="B467" s="7">
        <v>466</v>
      </c>
      <c r="C467" s="7" t="s">
        <v>1321</v>
      </c>
      <c r="D467" s="7" t="s">
        <v>1322</v>
      </c>
      <c r="E467" s="7" t="str">
        <f t="shared" si="21"/>
        <v>Apr</v>
      </c>
      <c r="F467" s="7" t="s">
        <v>1323</v>
      </c>
      <c r="G467" s="7" t="s">
        <v>64</v>
      </c>
      <c r="H467" s="7" t="s">
        <v>19</v>
      </c>
      <c r="I467" s="7" t="s">
        <v>59</v>
      </c>
      <c r="J467" s="7" t="s">
        <v>47</v>
      </c>
      <c r="K467" s="7" t="s">
        <v>76</v>
      </c>
      <c r="L467" s="7">
        <v>2411.06</v>
      </c>
      <c r="M467" s="7">
        <v>4</v>
      </c>
      <c r="N467" s="7">
        <v>0.06</v>
      </c>
      <c r="O467" s="7">
        <v>584.63</v>
      </c>
      <c r="P467" s="7" t="s">
        <v>23</v>
      </c>
      <c r="Q467" s="7" t="s">
        <v>32</v>
      </c>
      <c r="R467" s="7">
        <v>2</v>
      </c>
      <c r="S467" s="7">
        <f t="shared" si="22"/>
        <v>2024</v>
      </c>
      <c r="T467" s="7" t="str">
        <f t="shared" si="23"/>
        <v>Apr</v>
      </c>
    </row>
    <row r="468" spans="2:20" x14ac:dyDescent="0.3">
      <c r="B468" s="7">
        <v>467</v>
      </c>
      <c r="C468" s="7" t="s">
        <v>1324</v>
      </c>
      <c r="D468" s="7" t="s">
        <v>1325</v>
      </c>
      <c r="E468" s="7" t="str">
        <f t="shared" si="21"/>
        <v>Feb</v>
      </c>
      <c r="F468" s="7" t="s">
        <v>1326</v>
      </c>
      <c r="G468" s="7" t="s">
        <v>102</v>
      </c>
      <c r="H468" s="7" t="s">
        <v>51</v>
      </c>
      <c r="I468" s="7" t="s">
        <v>52</v>
      </c>
      <c r="J468" s="7" t="s">
        <v>47</v>
      </c>
      <c r="K468" s="7" t="s">
        <v>67</v>
      </c>
      <c r="L468" s="7">
        <v>479.7</v>
      </c>
      <c r="M468" s="7">
        <v>2</v>
      </c>
      <c r="N468" s="7">
        <v>0.01</v>
      </c>
      <c r="O468" s="7">
        <v>49.89</v>
      </c>
      <c r="P468" s="7" t="s">
        <v>31</v>
      </c>
      <c r="Q468" s="7" t="s">
        <v>86</v>
      </c>
      <c r="R468" s="7">
        <v>8</v>
      </c>
      <c r="S468" s="7">
        <f t="shared" si="22"/>
        <v>2024</v>
      </c>
      <c r="T468" s="7" t="str">
        <f t="shared" si="23"/>
        <v>Feb</v>
      </c>
    </row>
    <row r="469" spans="2:20" x14ac:dyDescent="0.3">
      <c r="B469" s="7">
        <v>468</v>
      </c>
      <c r="C469" s="7" t="s">
        <v>1327</v>
      </c>
      <c r="D469" s="7" t="s">
        <v>26</v>
      </c>
      <c r="E469" s="7" t="str">
        <f t="shared" si="21"/>
        <v>Jun</v>
      </c>
      <c r="F469" s="7" t="s">
        <v>1328</v>
      </c>
      <c r="G469" s="7" t="s">
        <v>102</v>
      </c>
      <c r="H469" s="7" t="s">
        <v>71</v>
      </c>
      <c r="I469" s="7" t="s">
        <v>20</v>
      </c>
      <c r="J469" s="7" t="s">
        <v>66</v>
      </c>
      <c r="K469" s="7" t="s">
        <v>53</v>
      </c>
      <c r="L469" s="7">
        <v>4117.62</v>
      </c>
      <c r="M469" s="7">
        <v>5</v>
      </c>
      <c r="N469" s="7">
        <v>0.24</v>
      </c>
      <c r="O469" s="7">
        <v>1207.29</v>
      </c>
      <c r="P469" s="7" t="s">
        <v>31</v>
      </c>
      <c r="Q469" s="7" t="s">
        <v>24</v>
      </c>
      <c r="R469" s="7">
        <v>4</v>
      </c>
      <c r="S469" s="7">
        <f t="shared" si="22"/>
        <v>2024</v>
      </c>
      <c r="T469" s="7" t="str">
        <f t="shared" si="23"/>
        <v>Jun</v>
      </c>
    </row>
    <row r="470" spans="2:20" x14ac:dyDescent="0.3">
      <c r="B470" s="7">
        <v>469</v>
      </c>
      <c r="C470" s="7" t="s">
        <v>1329</v>
      </c>
      <c r="D470" s="7" t="s">
        <v>863</v>
      </c>
      <c r="E470" s="7" t="str">
        <f t="shared" si="21"/>
        <v>Nov</v>
      </c>
      <c r="F470" s="7" t="s">
        <v>1330</v>
      </c>
      <c r="G470" s="7" t="s">
        <v>18</v>
      </c>
      <c r="H470" s="7" t="s">
        <v>58</v>
      </c>
      <c r="I470" s="7" t="s">
        <v>106</v>
      </c>
      <c r="J470" s="7" t="s">
        <v>29</v>
      </c>
      <c r="K470" s="7" t="s">
        <v>39</v>
      </c>
      <c r="L470" s="7">
        <v>371.89</v>
      </c>
      <c r="M470" s="7">
        <v>1</v>
      </c>
      <c r="N470" s="7">
        <v>0.14000000000000001</v>
      </c>
      <c r="O470" s="7">
        <v>108.83</v>
      </c>
      <c r="P470" s="7" t="s">
        <v>54</v>
      </c>
      <c r="Q470" s="7" t="s">
        <v>86</v>
      </c>
      <c r="R470" s="7">
        <v>8</v>
      </c>
      <c r="S470" s="7">
        <f t="shared" si="22"/>
        <v>2024</v>
      </c>
      <c r="T470" s="7" t="str">
        <f t="shared" si="23"/>
        <v>Nov</v>
      </c>
    </row>
    <row r="471" spans="2:20" x14ac:dyDescent="0.3">
      <c r="B471" s="7">
        <v>470</v>
      </c>
      <c r="C471" s="7" t="s">
        <v>1331</v>
      </c>
      <c r="D471" s="7" t="s">
        <v>1332</v>
      </c>
      <c r="E471" s="7" t="str">
        <f t="shared" si="21"/>
        <v>Oct</v>
      </c>
      <c r="F471" s="7" t="s">
        <v>1333</v>
      </c>
      <c r="G471" s="7" t="s">
        <v>36</v>
      </c>
      <c r="H471" s="7" t="s">
        <v>71</v>
      </c>
      <c r="I471" s="7" t="s">
        <v>116</v>
      </c>
      <c r="J471" s="7" t="s">
        <v>81</v>
      </c>
      <c r="K471" s="7" t="s">
        <v>53</v>
      </c>
      <c r="L471" s="7">
        <v>3020.36</v>
      </c>
      <c r="M471" s="7">
        <v>5</v>
      </c>
      <c r="N471" s="7">
        <v>7.0000000000000007E-2</v>
      </c>
      <c r="O471" s="7">
        <v>819.94</v>
      </c>
      <c r="P471" s="7" t="s">
        <v>54</v>
      </c>
      <c r="Q471" s="7" t="s">
        <v>32</v>
      </c>
      <c r="R471" s="7">
        <v>1</v>
      </c>
      <c r="S471" s="7">
        <f t="shared" si="22"/>
        <v>2024</v>
      </c>
      <c r="T471" s="7" t="str">
        <f t="shared" si="23"/>
        <v>Oct</v>
      </c>
    </row>
    <row r="472" spans="2:20" x14ac:dyDescent="0.3">
      <c r="B472" s="7">
        <v>471</v>
      </c>
      <c r="C472" s="7" t="s">
        <v>1334</v>
      </c>
      <c r="D472" s="7" t="s">
        <v>1335</v>
      </c>
      <c r="E472" s="7" t="str">
        <f t="shared" si="21"/>
        <v>Nov</v>
      </c>
      <c r="F472" s="7" t="s">
        <v>1336</v>
      </c>
      <c r="G472" s="7" t="s">
        <v>102</v>
      </c>
      <c r="H472" s="7" t="s">
        <v>71</v>
      </c>
      <c r="I472" s="7" t="s">
        <v>59</v>
      </c>
      <c r="J472" s="7" t="s">
        <v>21</v>
      </c>
      <c r="K472" s="7" t="s">
        <v>72</v>
      </c>
      <c r="L472" s="7">
        <v>275</v>
      </c>
      <c r="M472" s="7">
        <v>4</v>
      </c>
      <c r="N472" s="7">
        <v>0.22</v>
      </c>
      <c r="O472" s="7">
        <v>86.15</v>
      </c>
      <c r="P472" s="7" t="s">
        <v>23</v>
      </c>
      <c r="Q472" s="7" t="s">
        <v>77</v>
      </c>
      <c r="R472" s="7">
        <v>9</v>
      </c>
      <c r="S472" s="7">
        <f t="shared" si="22"/>
        <v>2025</v>
      </c>
      <c r="T472" s="7" t="str">
        <f t="shared" si="23"/>
        <v>Nov</v>
      </c>
    </row>
    <row r="473" spans="2:20" x14ac:dyDescent="0.3">
      <c r="B473" s="7">
        <v>472</v>
      </c>
      <c r="C473" s="7" t="s">
        <v>1337</v>
      </c>
      <c r="D473" s="7" t="s">
        <v>160</v>
      </c>
      <c r="E473" s="7" t="str">
        <f t="shared" si="21"/>
        <v>Aug</v>
      </c>
      <c r="F473" s="7" t="s">
        <v>1338</v>
      </c>
      <c r="G473" s="7" t="s">
        <v>44</v>
      </c>
      <c r="H473" s="7" t="s">
        <v>58</v>
      </c>
      <c r="I473" s="7" t="s">
        <v>106</v>
      </c>
      <c r="J473" s="7" t="s">
        <v>21</v>
      </c>
      <c r="K473" s="7" t="s">
        <v>82</v>
      </c>
      <c r="L473" s="7">
        <v>266.86</v>
      </c>
      <c r="M473" s="7">
        <v>3</v>
      </c>
      <c r="N473" s="7">
        <v>0</v>
      </c>
      <c r="O473" s="7">
        <v>39.270000000000003</v>
      </c>
      <c r="P473" s="7" t="s">
        <v>54</v>
      </c>
      <c r="Q473" s="7" t="s">
        <v>86</v>
      </c>
      <c r="R473" s="7">
        <v>6</v>
      </c>
      <c r="S473" s="7">
        <f t="shared" si="22"/>
        <v>2025</v>
      </c>
      <c r="T473" s="7" t="str">
        <f t="shared" si="23"/>
        <v>Aug</v>
      </c>
    </row>
    <row r="474" spans="2:20" x14ac:dyDescent="0.3">
      <c r="B474" s="7">
        <v>473</v>
      </c>
      <c r="C474" s="7" t="s">
        <v>1339</v>
      </c>
      <c r="D474" s="7" t="s">
        <v>1252</v>
      </c>
      <c r="E474" s="7" t="str">
        <f t="shared" si="21"/>
        <v>Jun</v>
      </c>
      <c r="F474" s="7" t="s">
        <v>1340</v>
      </c>
      <c r="G474" s="7" t="s">
        <v>102</v>
      </c>
      <c r="H474" s="7" t="s">
        <v>65</v>
      </c>
      <c r="I474" s="7" t="s">
        <v>59</v>
      </c>
      <c r="J474" s="7" t="s">
        <v>66</v>
      </c>
      <c r="K474" s="7" t="s">
        <v>72</v>
      </c>
      <c r="L474" s="7">
        <v>3201.26</v>
      </c>
      <c r="M474" s="7">
        <v>4</v>
      </c>
      <c r="N474" s="7">
        <v>0.19</v>
      </c>
      <c r="O474" s="7">
        <v>476.44</v>
      </c>
      <c r="P474" s="7" t="s">
        <v>54</v>
      </c>
      <c r="Q474" s="7" t="s">
        <v>86</v>
      </c>
      <c r="R474" s="7">
        <v>2</v>
      </c>
      <c r="S474" s="7">
        <f t="shared" si="22"/>
        <v>2025</v>
      </c>
      <c r="T474" s="7" t="str">
        <f t="shared" si="23"/>
        <v>Jun</v>
      </c>
    </row>
    <row r="475" spans="2:20" x14ac:dyDescent="0.3">
      <c r="B475" s="7">
        <v>474</v>
      </c>
      <c r="C475" s="7" t="s">
        <v>1341</v>
      </c>
      <c r="D475" s="7" t="s">
        <v>1342</v>
      </c>
      <c r="E475" s="7" t="str">
        <f t="shared" si="21"/>
        <v>Jan</v>
      </c>
      <c r="F475" s="7" t="s">
        <v>1343</v>
      </c>
      <c r="G475" s="7" t="s">
        <v>44</v>
      </c>
      <c r="H475" s="7" t="s">
        <v>51</v>
      </c>
      <c r="I475" s="7" t="s">
        <v>28</v>
      </c>
      <c r="J475" s="7" t="s">
        <v>47</v>
      </c>
      <c r="K475" s="7" t="s">
        <v>82</v>
      </c>
      <c r="L475" s="7">
        <v>579.59</v>
      </c>
      <c r="M475" s="7">
        <v>5</v>
      </c>
      <c r="N475" s="7">
        <v>0.18</v>
      </c>
      <c r="O475" s="7">
        <v>163.25</v>
      </c>
      <c r="P475" s="7" t="s">
        <v>54</v>
      </c>
      <c r="Q475" s="7" t="s">
        <v>40</v>
      </c>
      <c r="R475" s="7">
        <v>2</v>
      </c>
      <c r="S475" s="7">
        <f t="shared" si="22"/>
        <v>2025</v>
      </c>
      <c r="T475" s="7" t="str">
        <f t="shared" si="23"/>
        <v>Jan</v>
      </c>
    </row>
    <row r="476" spans="2:20" x14ac:dyDescent="0.3">
      <c r="B476" s="7">
        <v>475</v>
      </c>
      <c r="C476" s="7" t="s">
        <v>1344</v>
      </c>
      <c r="D476" s="7" t="s">
        <v>1345</v>
      </c>
      <c r="E476" s="7" t="str">
        <f t="shared" si="21"/>
        <v>Sep</v>
      </c>
      <c r="F476" s="7" t="s">
        <v>1346</v>
      </c>
      <c r="G476" s="7" t="s">
        <v>18</v>
      </c>
      <c r="H476" s="7" t="s">
        <v>19</v>
      </c>
      <c r="I476" s="7" t="s">
        <v>59</v>
      </c>
      <c r="J476" s="7" t="s">
        <v>66</v>
      </c>
      <c r="K476" s="7" t="s">
        <v>30</v>
      </c>
      <c r="L476" s="7">
        <v>829.46</v>
      </c>
      <c r="M476" s="7">
        <v>3</v>
      </c>
      <c r="N476" s="7">
        <v>0.04</v>
      </c>
      <c r="O476" s="7">
        <v>121.95</v>
      </c>
      <c r="P476" s="7" t="s">
        <v>23</v>
      </c>
      <c r="Q476" s="7" t="s">
        <v>32</v>
      </c>
      <c r="R476" s="7">
        <v>9</v>
      </c>
      <c r="S476" s="7">
        <f t="shared" si="22"/>
        <v>2025</v>
      </c>
      <c r="T476" s="7" t="str">
        <f t="shared" si="23"/>
        <v>Sep</v>
      </c>
    </row>
    <row r="477" spans="2:20" x14ac:dyDescent="0.3">
      <c r="B477" s="7">
        <v>476</v>
      </c>
      <c r="C477" s="7" t="s">
        <v>1347</v>
      </c>
      <c r="D477" s="7" t="s">
        <v>1348</v>
      </c>
      <c r="E477" s="7" t="str">
        <f t="shared" si="21"/>
        <v>Sep</v>
      </c>
      <c r="F477" s="7" t="s">
        <v>1349</v>
      </c>
      <c r="G477" s="7" t="s">
        <v>18</v>
      </c>
      <c r="H477" s="7" t="s">
        <v>65</v>
      </c>
      <c r="I477" s="7" t="s">
        <v>116</v>
      </c>
      <c r="J477" s="7" t="s">
        <v>66</v>
      </c>
      <c r="K477" s="7" t="s">
        <v>30</v>
      </c>
      <c r="L477" s="7">
        <v>3411.75</v>
      </c>
      <c r="M477" s="7">
        <v>4</v>
      </c>
      <c r="N477" s="7">
        <v>0.24</v>
      </c>
      <c r="O477" s="7">
        <v>872.98</v>
      </c>
      <c r="P477" s="7" t="s">
        <v>54</v>
      </c>
      <c r="Q477" s="7" t="s">
        <v>86</v>
      </c>
      <c r="R477" s="7">
        <v>8</v>
      </c>
      <c r="S477" s="7">
        <f t="shared" si="22"/>
        <v>2024</v>
      </c>
      <c r="T477" s="7" t="str">
        <f t="shared" si="23"/>
        <v>Sep</v>
      </c>
    </row>
    <row r="478" spans="2:20" x14ac:dyDescent="0.3">
      <c r="B478" s="7">
        <v>477</v>
      </c>
      <c r="C478" s="7" t="s">
        <v>1350</v>
      </c>
      <c r="D478" s="7" t="s">
        <v>1351</v>
      </c>
      <c r="E478" s="7" t="str">
        <f t="shared" si="21"/>
        <v>Dec</v>
      </c>
      <c r="F478" s="7" t="s">
        <v>1352</v>
      </c>
      <c r="G478" s="7" t="s">
        <v>44</v>
      </c>
      <c r="H478" s="7" t="s">
        <v>37</v>
      </c>
      <c r="I478" s="7" t="s">
        <v>28</v>
      </c>
      <c r="J478" s="7" t="s">
        <v>66</v>
      </c>
      <c r="K478" s="7" t="s">
        <v>53</v>
      </c>
      <c r="L478" s="7">
        <v>2840.22</v>
      </c>
      <c r="M478" s="7">
        <v>4</v>
      </c>
      <c r="N478" s="7">
        <v>0.25</v>
      </c>
      <c r="O478" s="7">
        <v>674.18</v>
      </c>
      <c r="P478" s="7" t="s">
        <v>31</v>
      </c>
      <c r="Q478" s="7" t="s">
        <v>40</v>
      </c>
      <c r="R478" s="7">
        <v>5</v>
      </c>
      <c r="S478" s="7">
        <f t="shared" si="22"/>
        <v>2024</v>
      </c>
      <c r="T478" s="7" t="str">
        <f t="shared" si="23"/>
        <v>Dec</v>
      </c>
    </row>
    <row r="479" spans="2:20" x14ac:dyDescent="0.3">
      <c r="B479" s="7">
        <v>478</v>
      </c>
      <c r="C479" s="7" t="s">
        <v>1353</v>
      </c>
      <c r="D479" s="7" t="s">
        <v>569</v>
      </c>
      <c r="E479" s="7" t="str">
        <f t="shared" si="21"/>
        <v>Dec</v>
      </c>
      <c r="F479" s="7" t="s">
        <v>1354</v>
      </c>
      <c r="G479" s="7" t="s">
        <v>64</v>
      </c>
      <c r="H479" s="7" t="s">
        <v>51</v>
      </c>
      <c r="I479" s="7" t="s">
        <v>46</v>
      </c>
      <c r="J479" s="7" t="s">
        <v>66</v>
      </c>
      <c r="K479" s="7" t="s">
        <v>82</v>
      </c>
      <c r="L479" s="7">
        <v>2968.8</v>
      </c>
      <c r="M479" s="7">
        <v>4</v>
      </c>
      <c r="N479" s="7">
        <v>7.0000000000000007E-2</v>
      </c>
      <c r="O479" s="7">
        <v>641.34</v>
      </c>
      <c r="P479" s="7" t="s">
        <v>23</v>
      </c>
      <c r="Q479" s="7" t="s">
        <v>32</v>
      </c>
      <c r="R479" s="7">
        <v>1</v>
      </c>
      <c r="S479" s="7">
        <f t="shared" si="22"/>
        <v>2024</v>
      </c>
      <c r="T479" s="7" t="str">
        <f t="shared" si="23"/>
        <v>Dec</v>
      </c>
    </row>
    <row r="480" spans="2:20" x14ac:dyDescent="0.3">
      <c r="B480" s="7">
        <v>479</v>
      </c>
      <c r="C480" s="7" t="s">
        <v>1355</v>
      </c>
      <c r="D480" s="7" t="s">
        <v>1356</v>
      </c>
      <c r="E480" s="7" t="str">
        <f t="shared" si="21"/>
        <v>Jul</v>
      </c>
      <c r="F480" s="7" t="s">
        <v>1357</v>
      </c>
      <c r="G480" s="7" t="s">
        <v>64</v>
      </c>
      <c r="H480" s="7" t="s">
        <v>51</v>
      </c>
      <c r="I480" s="7" t="s">
        <v>46</v>
      </c>
      <c r="J480" s="7" t="s">
        <v>21</v>
      </c>
      <c r="K480" s="7" t="s">
        <v>30</v>
      </c>
      <c r="L480" s="7">
        <v>1746.39</v>
      </c>
      <c r="M480" s="7">
        <v>2</v>
      </c>
      <c r="N480" s="7">
        <v>0.18</v>
      </c>
      <c r="O480" s="7">
        <v>229.07</v>
      </c>
      <c r="P480" s="7" t="s">
        <v>23</v>
      </c>
      <c r="Q480" s="7" t="s">
        <v>77</v>
      </c>
      <c r="R480" s="7">
        <v>5</v>
      </c>
      <c r="S480" s="7">
        <f t="shared" si="22"/>
        <v>2024</v>
      </c>
      <c r="T480" s="7" t="str">
        <f t="shared" si="23"/>
        <v>Jul</v>
      </c>
    </row>
    <row r="481" spans="2:20" x14ac:dyDescent="0.3">
      <c r="B481" s="7">
        <v>480</v>
      </c>
      <c r="C481" s="7" t="s">
        <v>1358</v>
      </c>
      <c r="D481" s="7" t="s">
        <v>343</v>
      </c>
      <c r="E481" s="7" t="str">
        <f t="shared" si="21"/>
        <v>Nov</v>
      </c>
      <c r="F481" s="7" t="s">
        <v>1359</v>
      </c>
      <c r="G481" s="7" t="s">
        <v>102</v>
      </c>
      <c r="H481" s="7" t="s">
        <v>65</v>
      </c>
      <c r="I481" s="7" t="s">
        <v>106</v>
      </c>
      <c r="J481" s="7" t="s">
        <v>66</v>
      </c>
      <c r="K481" s="7" t="s">
        <v>72</v>
      </c>
      <c r="L481" s="7">
        <v>460.85</v>
      </c>
      <c r="M481" s="7">
        <v>2</v>
      </c>
      <c r="N481" s="7">
        <v>0.23</v>
      </c>
      <c r="O481" s="7">
        <v>72.709999999999994</v>
      </c>
      <c r="P481" s="7" t="s">
        <v>23</v>
      </c>
      <c r="Q481" s="7" t="s">
        <v>86</v>
      </c>
      <c r="R481" s="7">
        <v>10</v>
      </c>
      <c r="S481" s="7">
        <f t="shared" si="22"/>
        <v>2025</v>
      </c>
      <c r="T481" s="7" t="str">
        <f t="shared" si="23"/>
        <v>Nov</v>
      </c>
    </row>
    <row r="482" spans="2:20" x14ac:dyDescent="0.3">
      <c r="B482" s="7">
        <v>481</v>
      </c>
      <c r="C482" s="7" t="s">
        <v>1360</v>
      </c>
      <c r="D482" s="7" t="s">
        <v>815</v>
      </c>
      <c r="E482" s="7" t="str">
        <f t="shared" si="21"/>
        <v>Nov</v>
      </c>
      <c r="F482" s="7" t="s">
        <v>1361</v>
      </c>
      <c r="G482" s="7" t="s">
        <v>102</v>
      </c>
      <c r="H482" s="7" t="s">
        <v>65</v>
      </c>
      <c r="I482" s="7" t="s">
        <v>116</v>
      </c>
      <c r="J482" s="7" t="s">
        <v>21</v>
      </c>
      <c r="K482" s="7" t="s">
        <v>82</v>
      </c>
      <c r="L482" s="7">
        <v>3759.75</v>
      </c>
      <c r="M482" s="7">
        <v>5</v>
      </c>
      <c r="N482" s="7">
        <v>0.27</v>
      </c>
      <c r="O482" s="7">
        <v>820.79</v>
      </c>
      <c r="P482" s="7" t="s">
        <v>54</v>
      </c>
      <c r="Q482" s="7" t="s">
        <v>86</v>
      </c>
      <c r="R482" s="7">
        <v>4</v>
      </c>
      <c r="S482" s="7">
        <f t="shared" si="22"/>
        <v>2024</v>
      </c>
      <c r="T482" s="7" t="str">
        <f t="shared" si="23"/>
        <v>Nov</v>
      </c>
    </row>
    <row r="483" spans="2:20" x14ac:dyDescent="0.3">
      <c r="B483" s="7">
        <v>482</v>
      </c>
      <c r="C483" s="7" t="s">
        <v>1362</v>
      </c>
      <c r="D483" s="7" t="s">
        <v>1363</v>
      </c>
      <c r="E483" s="7" t="str">
        <f t="shared" si="21"/>
        <v>Dec</v>
      </c>
      <c r="F483" s="7" t="s">
        <v>1336</v>
      </c>
      <c r="G483" s="7" t="s">
        <v>64</v>
      </c>
      <c r="H483" s="7" t="s">
        <v>37</v>
      </c>
      <c r="I483" s="7" t="s">
        <v>28</v>
      </c>
      <c r="J483" s="7" t="s">
        <v>66</v>
      </c>
      <c r="K483" s="7" t="s">
        <v>53</v>
      </c>
      <c r="L483" s="7">
        <v>767.06</v>
      </c>
      <c r="M483" s="7">
        <v>1</v>
      </c>
      <c r="N483" s="7">
        <v>0.12</v>
      </c>
      <c r="O483" s="7">
        <v>93.74</v>
      </c>
      <c r="P483" s="7" t="s">
        <v>23</v>
      </c>
      <c r="Q483" s="7" t="s">
        <v>77</v>
      </c>
      <c r="R483" s="7">
        <v>7</v>
      </c>
      <c r="S483" s="7">
        <f t="shared" si="22"/>
        <v>2024</v>
      </c>
      <c r="T483" s="7" t="str">
        <f t="shared" si="23"/>
        <v>Dec</v>
      </c>
    </row>
    <row r="484" spans="2:20" x14ac:dyDescent="0.3">
      <c r="B484" s="7">
        <v>483</v>
      </c>
      <c r="C484" s="7" t="s">
        <v>1364</v>
      </c>
      <c r="D484" s="7" t="s">
        <v>364</v>
      </c>
      <c r="E484" s="7" t="str">
        <f t="shared" si="21"/>
        <v>May</v>
      </c>
      <c r="F484" s="7" t="s">
        <v>1365</v>
      </c>
      <c r="G484" s="7" t="s">
        <v>36</v>
      </c>
      <c r="H484" s="7" t="s">
        <v>65</v>
      </c>
      <c r="I484" s="7" t="s">
        <v>20</v>
      </c>
      <c r="J484" s="7" t="s">
        <v>29</v>
      </c>
      <c r="K484" s="7" t="s">
        <v>53</v>
      </c>
      <c r="L484" s="7">
        <v>225.78</v>
      </c>
      <c r="M484" s="7">
        <v>4</v>
      </c>
      <c r="N484" s="7">
        <v>0.1</v>
      </c>
      <c r="O484" s="7">
        <v>36.97</v>
      </c>
      <c r="P484" s="7" t="s">
        <v>54</v>
      </c>
      <c r="Q484" s="7" t="s">
        <v>77</v>
      </c>
      <c r="R484" s="7">
        <v>2</v>
      </c>
      <c r="S484" s="7">
        <f t="shared" si="22"/>
        <v>2024</v>
      </c>
      <c r="T484" s="7" t="str">
        <f t="shared" si="23"/>
        <v>May</v>
      </c>
    </row>
    <row r="485" spans="2:20" x14ac:dyDescent="0.3">
      <c r="B485" s="7">
        <v>484</v>
      </c>
      <c r="C485" s="7" t="s">
        <v>1366</v>
      </c>
      <c r="D485" s="7" t="s">
        <v>717</v>
      </c>
      <c r="E485" s="7" t="str">
        <f t="shared" si="21"/>
        <v>Jun</v>
      </c>
      <c r="F485" s="7" t="s">
        <v>1367</v>
      </c>
      <c r="G485" s="7" t="s">
        <v>36</v>
      </c>
      <c r="H485" s="7" t="s">
        <v>19</v>
      </c>
      <c r="I485" s="7" t="s">
        <v>38</v>
      </c>
      <c r="J485" s="7" t="s">
        <v>66</v>
      </c>
      <c r="K485" s="7" t="s">
        <v>30</v>
      </c>
      <c r="L485" s="7">
        <v>2521.1799999999998</v>
      </c>
      <c r="M485" s="7">
        <v>4</v>
      </c>
      <c r="N485" s="7">
        <v>0.26</v>
      </c>
      <c r="O485" s="7">
        <v>500.26</v>
      </c>
      <c r="P485" s="7" t="s">
        <v>54</v>
      </c>
      <c r="Q485" s="7" t="s">
        <v>86</v>
      </c>
      <c r="R485" s="7">
        <v>1</v>
      </c>
      <c r="S485" s="7">
        <f t="shared" si="22"/>
        <v>2025</v>
      </c>
      <c r="T485" s="7" t="str">
        <f t="shared" si="23"/>
        <v>Jun</v>
      </c>
    </row>
    <row r="486" spans="2:20" x14ac:dyDescent="0.3">
      <c r="B486" s="7">
        <v>485</v>
      </c>
      <c r="C486" s="7" t="s">
        <v>1368</v>
      </c>
      <c r="D486" s="7" t="s">
        <v>697</v>
      </c>
      <c r="E486" s="7" t="str">
        <f t="shared" si="21"/>
        <v>May</v>
      </c>
      <c r="F486" s="7" t="s">
        <v>1369</v>
      </c>
      <c r="G486" s="7" t="s">
        <v>18</v>
      </c>
      <c r="H486" s="7" t="s">
        <v>71</v>
      </c>
      <c r="I486" s="7" t="s">
        <v>106</v>
      </c>
      <c r="J486" s="7" t="s">
        <v>21</v>
      </c>
      <c r="K486" s="7" t="s">
        <v>82</v>
      </c>
      <c r="L486" s="7">
        <v>690.82</v>
      </c>
      <c r="M486" s="7">
        <v>2</v>
      </c>
      <c r="N486" s="7">
        <v>0.11</v>
      </c>
      <c r="O486" s="7">
        <v>211.6</v>
      </c>
      <c r="P486" s="7" t="s">
        <v>54</v>
      </c>
      <c r="Q486" s="7" t="s">
        <v>77</v>
      </c>
      <c r="R486" s="7">
        <v>10</v>
      </c>
      <c r="S486" s="7">
        <f t="shared" si="22"/>
        <v>2025</v>
      </c>
      <c r="T486" s="7" t="str">
        <f t="shared" si="23"/>
        <v>May</v>
      </c>
    </row>
    <row r="487" spans="2:20" x14ac:dyDescent="0.3">
      <c r="B487" s="7">
        <v>486</v>
      </c>
      <c r="C487" s="7" t="s">
        <v>1370</v>
      </c>
      <c r="D487" s="7" t="s">
        <v>1371</v>
      </c>
      <c r="E487" s="7" t="str">
        <f t="shared" si="21"/>
        <v>Mar</v>
      </c>
      <c r="F487" s="7" t="s">
        <v>1372</v>
      </c>
      <c r="G487" s="7" t="s">
        <v>18</v>
      </c>
      <c r="H487" s="7" t="s">
        <v>71</v>
      </c>
      <c r="I487" s="7" t="s">
        <v>52</v>
      </c>
      <c r="J487" s="7" t="s">
        <v>47</v>
      </c>
      <c r="K487" s="7" t="s">
        <v>22</v>
      </c>
      <c r="L487" s="7">
        <v>418.71</v>
      </c>
      <c r="M487" s="7">
        <v>2</v>
      </c>
      <c r="N487" s="7">
        <v>0.19</v>
      </c>
      <c r="O487" s="7">
        <v>115.04</v>
      </c>
      <c r="P487" s="7" t="s">
        <v>54</v>
      </c>
      <c r="Q487" s="7" t="s">
        <v>40</v>
      </c>
      <c r="R487" s="7">
        <v>8</v>
      </c>
      <c r="S487" s="7">
        <f t="shared" si="22"/>
        <v>2024</v>
      </c>
      <c r="T487" s="7" t="str">
        <f t="shared" si="23"/>
        <v>Mar</v>
      </c>
    </row>
    <row r="488" spans="2:20" x14ac:dyDescent="0.3">
      <c r="B488" s="7">
        <v>487</v>
      </c>
      <c r="C488" s="7" t="s">
        <v>1373</v>
      </c>
      <c r="D488" s="7" t="s">
        <v>1374</v>
      </c>
      <c r="E488" s="7" t="str">
        <f t="shared" si="21"/>
        <v>Feb</v>
      </c>
      <c r="F488" s="7" t="s">
        <v>1375</v>
      </c>
      <c r="G488" s="7" t="s">
        <v>44</v>
      </c>
      <c r="H488" s="7" t="s">
        <v>51</v>
      </c>
      <c r="I488" s="7" t="s">
        <v>38</v>
      </c>
      <c r="J488" s="7" t="s">
        <v>81</v>
      </c>
      <c r="K488" s="7" t="s">
        <v>53</v>
      </c>
      <c r="L488" s="7">
        <v>704.83</v>
      </c>
      <c r="M488" s="7">
        <v>4</v>
      </c>
      <c r="N488" s="7">
        <v>0.12</v>
      </c>
      <c r="O488" s="7">
        <v>190.89</v>
      </c>
      <c r="P488" s="7" t="s">
        <v>31</v>
      </c>
      <c r="Q488" s="7" t="s">
        <v>40</v>
      </c>
      <c r="R488" s="7">
        <v>3</v>
      </c>
      <c r="S488" s="7">
        <f t="shared" si="22"/>
        <v>2024</v>
      </c>
      <c r="T488" s="7" t="str">
        <f t="shared" si="23"/>
        <v>Feb</v>
      </c>
    </row>
    <row r="489" spans="2:20" x14ac:dyDescent="0.3">
      <c r="B489" s="7">
        <v>488</v>
      </c>
      <c r="C489" s="7" t="s">
        <v>1376</v>
      </c>
      <c r="D489" s="7" t="s">
        <v>346</v>
      </c>
      <c r="E489" s="7" t="str">
        <f t="shared" si="21"/>
        <v>Jun</v>
      </c>
      <c r="F489" s="7" t="s">
        <v>1377</v>
      </c>
      <c r="G489" s="7" t="s">
        <v>102</v>
      </c>
      <c r="H489" s="7" t="s">
        <v>37</v>
      </c>
      <c r="I489" s="7" t="s">
        <v>20</v>
      </c>
      <c r="J489" s="7" t="s">
        <v>29</v>
      </c>
      <c r="K489" s="7" t="s">
        <v>22</v>
      </c>
      <c r="L489" s="7">
        <v>327.64999999999998</v>
      </c>
      <c r="M489" s="7">
        <v>2</v>
      </c>
      <c r="N489" s="7">
        <v>0.18</v>
      </c>
      <c r="O489" s="7">
        <v>83.28</v>
      </c>
      <c r="P489" s="7" t="s">
        <v>54</v>
      </c>
      <c r="Q489" s="7" t="s">
        <v>77</v>
      </c>
      <c r="R489" s="7">
        <v>10</v>
      </c>
      <c r="S489" s="7">
        <f t="shared" si="22"/>
        <v>2024</v>
      </c>
      <c r="T489" s="7" t="str">
        <f t="shared" si="23"/>
        <v>Jun</v>
      </c>
    </row>
    <row r="490" spans="2:20" x14ac:dyDescent="0.3">
      <c r="B490" s="7">
        <v>489</v>
      </c>
      <c r="C490" s="7" t="s">
        <v>1378</v>
      </c>
      <c r="D490" s="7" t="s">
        <v>261</v>
      </c>
      <c r="E490" s="7" t="str">
        <f t="shared" si="21"/>
        <v>Dec</v>
      </c>
      <c r="F490" s="7" t="s">
        <v>1379</v>
      </c>
      <c r="G490" s="7" t="s">
        <v>18</v>
      </c>
      <c r="H490" s="7" t="s">
        <v>45</v>
      </c>
      <c r="I490" s="7" t="s">
        <v>28</v>
      </c>
      <c r="J490" s="7" t="s">
        <v>47</v>
      </c>
      <c r="K490" s="7" t="s">
        <v>53</v>
      </c>
      <c r="L490" s="7">
        <v>708.7</v>
      </c>
      <c r="M490" s="7">
        <v>1</v>
      </c>
      <c r="N490" s="7">
        <v>0.19</v>
      </c>
      <c r="O490" s="7">
        <v>103.14</v>
      </c>
      <c r="P490" s="7" t="s">
        <v>23</v>
      </c>
      <c r="Q490" s="7" t="s">
        <v>24</v>
      </c>
      <c r="R490" s="7">
        <v>9</v>
      </c>
      <c r="S490" s="7">
        <f t="shared" si="22"/>
        <v>2024</v>
      </c>
      <c r="T490" s="7" t="str">
        <f t="shared" si="23"/>
        <v>Dec</v>
      </c>
    </row>
    <row r="491" spans="2:20" x14ac:dyDescent="0.3">
      <c r="B491" s="7">
        <v>490</v>
      </c>
      <c r="C491" s="7" t="s">
        <v>1380</v>
      </c>
      <c r="D491" s="7" t="s">
        <v>1079</v>
      </c>
      <c r="E491" s="7" t="str">
        <f t="shared" si="21"/>
        <v>Jul</v>
      </c>
      <c r="F491" s="7" t="s">
        <v>772</v>
      </c>
      <c r="G491" s="7" t="s">
        <v>64</v>
      </c>
      <c r="H491" s="7" t="s">
        <v>58</v>
      </c>
      <c r="I491" s="7" t="s">
        <v>20</v>
      </c>
      <c r="J491" s="7" t="s">
        <v>66</v>
      </c>
      <c r="K491" s="7" t="s">
        <v>39</v>
      </c>
      <c r="L491" s="7">
        <v>43</v>
      </c>
      <c r="M491" s="7">
        <v>1</v>
      </c>
      <c r="N491" s="7">
        <v>0.23</v>
      </c>
      <c r="O491" s="7">
        <v>9.3699999999999992</v>
      </c>
      <c r="P491" s="7" t="s">
        <v>31</v>
      </c>
      <c r="Q491" s="7" t="s">
        <v>40</v>
      </c>
      <c r="R491" s="7">
        <v>5</v>
      </c>
      <c r="S491" s="7">
        <f t="shared" si="22"/>
        <v>2024</v>
      </c>
      <c r="T491" s="7" t="str">
        <f t="shared" si="23"/>
        <v>Jul</v>
      </c>
    </row>
    <row r="492" spans="2:20" x14ac:dyDescent="0.3">
      <c r="B492" s="7">
        <v>491</v>
      </c>
      <c r="C492" s="7" t="s">
        <v>1381</v>
      </c>
      <c r="D492" s="7" t="s">
        <v>927</v>
      </c>
      <c r="E492" s="7" t="str">
        <f t="shared" si="21"/>
        <v>Feb</v>
      </c>
      <c r="F492" s="7" t="s">
        <v>1382</v>
      </c>
      <c r="G492" s="7" t="s">
        <v>102</v>
      </c>
      <c r="H492" s="7" t="s">
        <v>19</v>
      </c>
      <c r="I492" s="7" t="s">
        <v>38</v>
      </c>
      <c r="J492" s="7" t="s">
        <v>81</v>
      </c>
      <c r="K492" s="7" t="s">
        <v>76</v>
      </c>
      <c r="L492" s="7">
        <v>3495.67</v>
      </c>
      <c r="M492" s="7">
        <v>5</v>
      </c>
      <c r="N492" s="7">
        <v>0.13</v>
      </c>
      <c r="O492" s="7">
        <v>928.36</v>
      </c>
      <c r="P492" s="7" t="s">
        <v>31</v>
      </c>
      <c r="Q492" s="7" t="s">
        <v>40</v>
      </c>
      <c r="R492" s="7">
        <v>1</v>
      </c>
      <c r="S492" s="7">
        <f t="shared" si="22"/>
        <v>2025</v>
      </c>
      <c r="T492" s="7" t="str">
        <f t="shared" si="23"/>
        <v>Feb</v>
      </c>
    </row>
    <row r="493" spans="2:20" x14ac:dyDescent="0.3">
      <c r="B493" s="7">
        <v>492</v>
      </c>
      <c r="C493" s="7" t="s">
        <v>1383</v>
      </c>
      <c r="D493" s="7" t="s">
        <v>1384</v>
      </c>
      <c r="E493" s="7" t="str">
        <f t="shared" si="21"/>
        <v>Jan</v>
      </c>
      <c r="F493" s="7" t="s">
        <v>1385</v>
      </c>
      <c r="G493" s="7" t="s">
        <v>64</v>
      </c>
      <c r="H493" s="7" t="s">
        <v>37</v>
      </c>
      <c r="I493" s="7" t="s">
        <v>28</v>
      </c>
      <c r="J493" s="7" t="s">
        <v>81</v>
      </c>
      <c r="K493" s="7" t="s">
        <v>39</v>
      </c>
      <c r="L493" s="7">
        <v>603.04999999999995</v>
      </c>
      <c r="M493" s="7">
        <v>5</v>
      </c>
      <c r="N493" s="7">
        <v>0.11</v>
      </c>
      <c r="O493" s="7">
        <v>183.93</v>
      </c>
      <c r="P493" s="7" t="s">
        <v>54</v>
      </c>
      <c r="Q493" s="7" t="s">
        <v>24</v>
      </c>
      <c r="R493" s="7">
        <v>3</v>
      </c>
      <c r="S493" s="7">
        <f t="shared" si="22"/>
        <v>2024</v>
      </c>
      <c r="T493" s="7" t="str">
        <f t="shared" si="23"/>
        <v>Jan</v>
      </c>
    </row>
    <row r="494" spans="2:20" x14ac:dyDescent="0.3">
      <c r="B494" s="7">
        <v>493</v>
      </c>
      <c r="C494" s="7" t="s">
        <v>1386</v>
      </c>
      <c r="D494" s="7" t="s">
        <v>593</v>
      </c>
      <c r="E494" s="7" t="str">
        <f t="shared" si="21"/>
        <v>Jul</v>
      </c>
      <c r="F494" s="7" t="s">
        <v>1387</v>
      </c>
      <c r="G494" s="7" t="s">
        <v>36</v>
      </c>
      <c r="H494" s="7" t="s">
        <v>37</v>
      </c>
      <c r="I494" s="7" t="s">
        <v>52</v>
      </c>
      <c r="J494" s="7" t="s">
        <v>66</v>
      </c>
      <c r="K494" s="7" t="s">
        <v>60</v>
      </c>
      <c r="L494" s="7">
        <v>3766.4</v>
      </c>
      <c r="M494" s="7">
        <v>4</v>
      </c>
      <c r="N494" s="7">
        <v>0.27</v>
      </c>
      <c r="O494" s="7">
        <v>1261.8499999999999</v>
      </c>
      <c r="P494" s="7" t="s">
        <v>54</v>
      </c>
      <c r="Q494" s="7" t="s">
        <v>40</v>
      </c>
      <c r="R494" s="7">
        <v>1</v>
      </c>
      <c r="S494" s="7">
        <f t="shared" si="22"/>
        <v>2025</v>
      </c>
      <c r="T494" s="7" t="str">
        <f t="shared" si="23"/>
        <v>Jul</v>
      </c>
    </row>
    <row r="495" spans="2:20" x14ac:dyDescent="0.3">
      <c r="B495" s="7">
        <v>494</v>
      </c>
      <c r="C495" s="7" t="s">
        <v>1388</v>
      </c>
      <c r="D495" s="7" t="s">
        <v>379</v>
      </c>
      <c r="E495" s="7" t="str">
        <f t="shared" si="21"/>
        <v>Oct</v>
      </c>
      <c r="F495" s="7" t="s">
        <v>1389</v>
      </c>
      <c r="G495" s="7" t="s">
        <v>36</v>
      </c>
      <c r="H495" s="7" t="s">
        <v>65</v>
      </c>
      <c r="I495" s="7" t="s">
        <v>20</v>
      </c>
      <c r="J495" s="7" t="s">
        <v>21</v>
      </c>
      <c r="K495" s="7" t="s">
        <v>67</v>
      </c>
      <c r="L495" s="7">
        <v>1602.11</v>
      </c>
      <c r="M495" s="7">
        <v>3</v>
      </c>
      <c r="N495" s="7">
        <v>0.08</v>
      </c>
      <c r="O495" s="7">
        <v>343.03</v>
      </c>
      <c r="P495" s="7" t="s">
        <v>31</v>
      </c>
      <c r="Q495" s="7" t="s">
        <v>32</v>
      </c>
      <c r="R495" s="7">
        <v>2</v>
      </c>
      <c r="S495" s="7">
        <f t="shared" si="22"/>
        <v>2025</v>
      </c>
      <c r="T495" s="7" t="str">
        <f t="shared" si="23"/>
        <v>Oct</v>
      </c>
    </row>
    <row r="496" spans="2:20" x14ac:dyDescent="0.3">
      <c r="B496" s="7">
        <v>495</v>
      </c>
      <c r="C496" s="7" t="s">
        <v>1390</v>
      </c>
      <c r="D496" s="7" t="s">
        <v>1391</v>
      </c>
      <c r="E496" s="7" t="str">
        <f t="shared" si="21"/>
        <v>Aug</v>
      </c>
      <c r="F496" s="7" t="s">
        <v>1392</v>
      </c>
      <c r="G496" s="7" t="s">
        <v>64</v>
      </c>
      <c r="H496" s="7" t="s">
        <v>37</v>
      </c>
      <c r="I496" s="7" t="s">
        <v>59</v>
      </c>
      <c r="J496" s="7" t="s">
        <v>29</v>
      </c>
      <c r="K496" s="7" t="s">
        <v>53</v>
      </c>
      <c r="L496" s="7">
        <v>2436.59</v>
      </c>
      <c r="M496" s="7">
        <v>5</v>
      </c>
      <c r="N496" s="7">
        <v>7.0000000000000007E-2</v>
      </c>
      <c r="O496" s="7">
        <v>516.79999999999995</v>
      </c>
      <c r="P496" s="7" t="s">
        <v>31</v>
      </c>
      <c r="Q496" s="7" t="s">
        <v>24</v>
      </c>
      <c r="R496" s="7">
        <v>10</v>
      </c>
      <c r="S496" s="7">
        <f t="shared" si="22"/>
        <v>2025</v>
      </c>
      <c r="T496" s="7" t="str">
        <f t="shared" si="23"/>
        <v>Aug</v>
      </c>
    </row>
    <row r="497" spans="2:20" x14ac:dyDescent="0.3">
      <c r="B497" s="7">
        <v>496</v>
      </c>
      <c r="C497" s="7" t="s">
        <v>1393</v>
      </c>
      <c r="D497" s="7" t="s">
        <v>1394</v>
      </c>
      <c r="E497" s="7" t="str">
        <f t="shared" si="21"/>
        <v>May</v>
      </c>
      <c r="F497" s="7" t="s">
        <v>1395</v>
      </c>
      <c r="G497" s="7" t="s">
        <v>18</v>
      </c>
      <c r="H497" s="7" t="s">
        <v>65</v>
      </c>
      <c r="I497" s="7" t="s">
        <v>106</v>
      </c>
      <c r="J497" s="7" t="s">
        <v>66</v>
      </c>
      <c r="K497" s="7" t="s">
        <v>72</v>
      </c>
      <c r="L497" s="7">
        <v>280.58999999999997</v>
      </c>
      <c r="M497" s="7">
        <v>4</v>
      </c>
      <c r="N497" s="7">
        <v>0.18</v>
      </c>
      <c r="O497" s="7">
        <v>40.26</v>
      </c>
      <c r="P497" s="7" t="s">
        <v>23</v>
      </c>
      <c r="Q497" s="7" t="s">
        <v>24</v>
      </c>
      <c r="R497" s="7">
        <v>4</v>
      </c>
      <c r="S497" s="7">
        <f t="shared" si="22"/>
        <v>2025</v>
      </c>
      <c r="T497" s="7" t="str">
        <f t="shared" si="23"/>
        <v>May</v>
      </c>
    </row>
    <row r="498" spans="2:20" x14ac:dyDescent="0.3">
      <c r="B498" s="7">
        <v>497</v>
      </c>
      <c r="C498" s="7" t="s">
        <v>1396</v>
      </c>
      <c r="D498" s="7" t="s">
        <v>1397</v>
      </c>
      <c r="E498" s="7" t="str">
        <f t="shared" si="21"/>
        <v>Mar</v>
      </c>
      <c r="F498" s="7" t="s">
        <v>1398</v>
      </c>
      <c r="G498" s="7" t="s">
        <v>44</v>
      </c>
      <c r="H498" s="7" t="s">
        <v>71</v>
      </c>
      <c r="I498" s="7" t="s">
        <v>106</v>
      </c>
      <c r="J498" s="7" t="s">
        <v>66</v>
      </c>
      <c r="K498" s="7" t="s">
        <v>60</v>
      </c>
      <c r="L498" s="7">
        <v>1899.62</v>
      </c>
      <c r="M498" s="7">
        <v>3</v>
      </c>
      <c r="N498" s="7">
        <v>0.04</v>
      </c>
      <c r="O498" s="7">
        <v>342.09</v>
      </c>
      <c r="P498" s="7" t="s">
        <v>31</v>
      </c>
      <c r="Q498" s="7" t="s">
        <v>32</v>
      </c>
      <c r="R498" s="7">
        <v>7</v>
      </c>
      <c r="S498" s="7">
        <f t="shared" si="22"/>
        <v>2025</v>
      </c>
      <c r="T498" s="7" t="str">
        <f t="shared" si="23"/>
        <v>Mar</v>
      </c>
    </row>
    <row r="499" spans="2:20" x14ac:dyDescent="0.3">
      <c r="B499" s="7">
        <v>498</v>
      </c>
      <c r="C499" s="7" t="s">
        <v>1399</v>
      </c>
      <c r="D499" s="7" t="s">
        <v>759</v>
      </c>
      <c r="E499" s="7" t="str">
        <f t="shared" si="21"/>
        <v>Sep</v>
      </c>
      <c r="F499" s="7" t="s">
        <v>1400</v>
      </c>
      <c r="G499" s="7" t="s">
        <v>102</v>
      </c>
      <c r="H499" s="7" t="s">
        <v>37</v>
      </c>
      <c r="I499" s="7" t="s">
        <v>116</v>
      </c>
      <c r="J499" s="7" t="s">
        <v>47</v>
      </c>
      <c r="K499" s="7" t="s">
        <v>60</v>
      </c>
      <c r="L499" s="7">
        <v>971.02</v>
      </c>
      <c r="M499" s="7">
        <v>2</v>
      </c>
      <c r="N499" s="7">
        <v>0.01</v>
      </c>
      <c r="O499" s="7">
        <v>191.1</v>
      </c>
      <c r="P499" s="7" t="s">
        <v>23</v>
      </c>
      <c r="Q499" s="7" t="s">
        <v>40</v>
      </c>
      <c r="R499" s="7">
        <v>6</v>
      </c>
      <c r="S499" s="7">
        <f t="shared" si="22"/>
        <v>2024</v>
      </c>
      <c r="T499" s="7" t="str">
        <f t="shared" si="23"/>
        <v>Sep</v>
      </c>
    </row>
    <row r="500" spans="2:20" x14ac:dyDescent="0.3">
      <c r="B500" s="7">
        <v>499</v>
      </c>
      <c r="C500" s="7" t="s">
        <v>1401</v>
      </c>
      <c r="D500" s="7" t="s">
        <v>1402</v>
      </c>
      <c r="E500" s="7" t="str">
        <f t="shared" si="21"/>
        <v>Mar</v>
      </c>
      <c r="F500" s="7" t="s">
        <v>1403</v>
      </c>
      <c r="G500" s="7" t="s">
        <v>102</v>
      </c>
      <c r="H500" s="7" t="s">
        <v>58</v>
      </c>
      <c r="I500" s="7" t="s">
        <v>28</v>
      </c>
      <c r="J500" s="7" t="s">
        <v>81</v>
      </c>
      <c r="K500" s="7" t="s">
        <v>30</v>
      </c>
      <c r="L500" s="7">
        <v>546.72</v>
      </c>
      <c r="M500" s="7">
        <v>1</v>
      </c>
      <c r="N500" s="7">
        <v>0.18</v>
      </c>
      <c r="O500" s="7">
        <v>163.28</v>
      </c>
      <c r="P500" s="7" t="s">
        <v>31</v>
      </c>
      <c r="Q500" s="7" t="s">
        <v>77</v>
      </c>
      <c r="R500" s="7">
        <v>1</v>
      </c>
      <c r="S500" s="7">
        <f t="shared" si="22"/>
        <v>2024</v>
      </c>
      <c r="T500" s="7" t="str">
        <f t="shared" si="23"/>
        <v>Mar</v>
      </c>
    </row>
    <row r="501" spans="2:20" x14ac:dyDescent="0.3">
      <c r="B501" s="7">
        <v>500</v>
      </c>
      <c r="C501" s="7" t="s">
        <v>1404</v>
      </c>
      <c r="D501" s="7" t="s">
        <v>1405</v>
      </c>
      <c r="E501" s="7" t="str">
        <f t="shared" si="21"/>
        <v>Feb</v>
      </c>
      <c r="F501" s="7" t="s">
        <v>579</v>
      </c>
      <c r="G501" s="7" t="s">
        <v>64</v>
      </c>
      <c r="H501" s="7" t="s">
        <v>37</v>
      </c>
      <c r="I501" s="7" t="s">
        <v>52</v>
      </c>
      <c r="J501" s="7" t="s">
        <v>29</v>
      </c>
      <c r="K501" s="7" t="s">
        <v>76</v>
      </c>
      <c r="L501" s="7">
        <v>843.68</v>
      </c>
      <c r="M501" s="7">
        <v>1</v>
      </c>
      <c r="N501" s="7">
        <v>0.02</v>
      </c>
      <c r="O501" s="7">
        <v>240.31</v>
      </c>
      <c r="P501" s="7" t="s">
        <v>23</v>
      </c>
      <c r="Q501" s="7" t="s">
        <v>86</v>
      </c>
      <c r="R501" s="7">
        <v>6</v>
      </c>
      <c r="S501" s="7">
        <f t="shared" si="22"/>
        <v>2024</v>
      </c>
      <c r="T501" s="7" t="str">
        <f t="shared" si="23"/>
        <v>Feb</v>
      </c>
    </row>
    <row r="502" spans="2:20" x14ac:dyDescent="0.3">
      <c r="B502" s="7">
        <v>501</v>
      </c>
      <c r="C502" s="7" t="s">
        <v>1406</v>
      </c>
      <c r="D502" s="7" t="s">
        <v>1407</v>
      </c>
      <c r="E502" s="7" t="str">
        <f t="shared" si="21"/>
        <v>Aug</v>
      </c>
      <c r="F502" s="7" t="s">
        <v>1408</v>
      </c>
      <c r="G502" s="7" t="s">
        <v>64</v>
      </c>
      <c r="H502" s="7" t="s">
        <v>71</v>
      </c>
      <c r="I502" s="7" t="s">
        <v>38</v>
      </c>
      <c r="J502" s="7" t="s">
        <v>66</v>
      </c>
      <c r="K502" s="7" t="s">
        <v>22</v>
      </c>
      <c r="L502" s="7">
        <v>71.52</v>
      </c>
      <c r="M502" s="7">
        <v>1</v>
      </c>
      <c r="N502" s="7">
        <v>0.04</v>
      </c>
      <c r="O502" s="7">
        <v>19.62</v>
      </c>
      <c r="P502" s="7" t="s">
        <v>54</v>
      </c>
      <c r="Q502" s="7" t="s">
        <v>24</v>
      </c>
      <c r="R502" s="7">
        <v>6</v>
      </c>
      <c r="S502" s="7">
        <f t="shared" si="22"/>
        <v>2024</v>
      </c>
      <c r="T502" s="7" t="str">
        <f t="shared" si="23"/>
        <v>Aug</v>
      </c>
    </row>
    <row r="503" spans="2:20" x14ac:dyDescent="0.3">
      <c r="B503" s="7">
        <v>502</v>
      </c>
      <c r="C503" s="7" t="s">
        <v>1409</v>
      </c>
      <c r="D503" s="7" t="s">
        <v>1410</v>
      </c>
      <c r="E503" s="7" t="str">
        <f t="shared" si="21"/>
        <v>Mar</v>
      </c>
      <c r="F503" s="7" t="s">
        <v>1411</v>
      </c>
      <c r="G503" s="7" t="s">
        <v>36</v>
      </c>
      <c r="H503" s="7" t="s">
        <v>51</v>
      </c>
      <c r="I503" s="7" t="s">
        <v>20</v>
      </c>
      <c r="J503" s="7" t="s">
        <v>29</v>
      </c>
      <c r="K503" s="7" t="s">
        <v>72</v>
      </c>
      <c r="L503" s="7">
        <v>2049.38</v>
      </c>
      <c r="M503" s="7">
        <v>3</v>
      </c>
      <c r="N503" s="7">
        <v>0.12</v>
      </c>
      <c r="O503" s="7">
        <v>551.75</v>
      </c>
      <c r="P503" s="7" t="s">
        <v>54</v>
      </c>
      <c r="Q503" s="7" t="s">
        <v>77</v>
      </c>
      <c r="R503" s="7">
        <v>1</v>
      </c>
      <c r="S503" s="7">
        <f t="shared" si="22"/>
        <v>2025</v>
      </c>
      <c r="T503" s="7" t="str">
        <f t="shared" si="23"/>
        <v>Mar</v>
      </c>
    </row>
    <row r="504" spans="2:20" x14ac:dyDescent="0.3">
      <c r="B504" s="7">
        <v>503</v>
      </c>
      <c r="C504" s="7" t="s">
        <v>1412</v>
      </c>
      <c r="D504" s="7" t="s">
        <v>1413</v>
      </c>
      <c r="E504" s="7" t="str">
        <f t="shared" si="21"/>
        <v>Aug</v>
      </c>
      <c r="F504" s="7" t="s">
        <v>1414</v>
      </c>
      <c r="G504" s="7" t="s">
        <v>18</v>
      </c>
      <c r="H504" s="7" t="s">
        <v>51</v>
      </c>
      <c r="I504" s="7" t="s">
        <v>106</v>
      </c>
      <c r="J504" s="7" t="s">
        <v>47</v>
      </c>
      <c r="K504" s="7" t="s">
        <v>82</v>
      </c>
      <c r="L504" s="7">
        <v>302.58999999999997</v>
      </c>
      <c r="M504" s="7">
        <v>1</v>
      </c>
      <c r="N504" s="7">
        <v>0.16</v>
      </c>
      <c r="O504" s="7">
        <v>33.1</v>
      </c>
      <c r="P504" s="7" t="s">
        <v>31</v>
      </c>
      <c r="Q504" s="7" t="s">
        <v>86</v>
      </c>
      <c r="R504" s="7">
        <v>5</v>
      </c>
      <c r="S504" s="7">
        <f t="shared" si="22"/>
        <v>2024</v>
      </c>
      <c r="T504" s="7" t="str">
        <f t="shared" si="23"/>
        <v>Aug</v>
      </c>
    </row>
    <row r="505" spans="2:20" x14ac:dyDescent="0.3">
      <c r="B505" s="7">
        <v>504</v>
      </c>
      <c r="C505" s="7" t="s">
        <v>1415</v>
      </c>
      <c r="D505" s="7" t="s">
        <v>200</v>
      </c>
      <c r="E505" s="7" t="str">
        <f t="shared" si="21"/>
        <v>Apr</v>
      </c>
      <c r="F505" s="7" t="s">
        <v>1416</v>
      </c>
      <c r="G505" s="7" t="s">
        <v>64</v>
      </c>
      <c r="H505" s="7" t="s">
        <v>58</v>
      </c>
      <c r="I505" s="7" t="s">
        <v>20</v>
      </c>
      <c r="J505" s="7" t="s">
        <v>21</v>
      </c>
      <c r="K505" s="7" t="s">
        <v>82</v>
      </c>
      <c r="L505" s="7">
        <v>384.61</v>
      </c>
      <c r="M505" s="7">
        <v>2</v>
      </c>
      <c r="N505" s="7">
        <v>0.12</v>
      </c>
      <c r="O505" s="7">
        <v>63.37</v>
      </c>
      <c r="P505" s="7" t="s">
        <v>54</v>
      </c>
      <c r="Q505" s="7" t="s">
        <v>32</v>
      </c>
      <c r="R505" s="7">
        <v>6</v>
      </c>
      <c r="S505" s="7">
        <f t="shared" si="22"/>
        <v>2024</v>
      </c>
      <c r="T505" s="7" t="str">
        <f t="shared" si="23"/>
        <v>Apr</v>
      </c>
    </row>
    <row r="506" spans="2:20" x14ac:dyDescent="0.3">
      <c r="B506" s="7">
        <v>505</v>
      </c>
      <c r="C506" s="7" t="s">
        <v>1417</v>
      </c>
      <c r="D506" s="7" t="s">
        <v>1418</v>
      </c>
      <c r="E506" s="7" t="str">
        <f t="shared" si="21"/>
        <v>Aug</v>
      </c>
      <c r="F506" s="7" t="s">
        <v>1419</v>
      </c>
      <c r="G506" s="7" t="s">
        <v>36</v>
      </c>
      <c r="H506" s="7" t="s">
        <v>19</v>
      </c>
      <c r="I506" s="7" t="s">
        <v>38</v>
      </c>
      <c r="J506" s="7" t="s">
        <v>81</v>
      </c>
      <c r="K506" s="7" t="s">
        <v>82</v>
      </c>
      <c r="L506" s="7">
        <v>175.66</v>
      </c>
      <c r="M506" s="7">
        <v>2</v>
      </c>
      <c r="N506" s="7">
        <v>0.21</v>
      </c>
      <c r="O506" s="7">
        <v>26.88</v>
      </c>
      <c r="P506" s="7" t="s">
        <v>23</v>
      </c>
      <c r="Q506" s="7" t="s">
        <v>24</v>
      </c>
      <c r="R506" s="7">
        <v>1</v>
      </c>
      <c r="S506" s="7">
        <f t="shared" si="22"/>
        <v>2024</v>
      </c>
      <c r="T506" s="7" t="str">
        <f t="shared" si="23"/>
        <v>Aug</v>
      </c>
    </row>
    <row r="507" spans="2:20" x14ac:dyDescent="0.3">
      <c r="B507" s="7">
        <v>506</v>
      </c>
      <c r="C507" s="7" t="s">
        <v>1420</v>
      </c>
      <c r="D507" s="7" t="s">
        <v>192</v>
      </c>
      <c r="E507" s="7" t="str">
        <f t="shared" si="21"/>
        <v>May</v>
      </c>
      <c r="F507" s="7" t="s">
        <v>1421</v>
      </c>
      <c r="G507" s="7" t="s">
        <v>44</v>
      </c>
      <c r="H507" s="7" t="s">
        <v>45</v>
      </c>
      <c r="I507" s="7" t="s">
        <v>106</v>
      </c>
      <c r="J507" s="7" t="s">
        <v>81</v>
      </c>
      <c r="K507" s="7" t="s">
        <v>82</v>
      </c>
      <c r="L507" s="7">
        <v>729.58</v>
      </c>
      <c r="M507" s="7">
        <v>2</v>
      </c>
      <c r="N507" s="7">
        <v>0.27</v>
      </c>
      <c r="O507" s="7">
        <v>225.69</v>
      </c>
      <c r="P507" s="7" t="s">
        <v>23</v>
      </c>
      <c r="Q507" s="7" t="s">
        <v>32</v>
      </c>
      <c r="R507" s="7">
        <v>4</v>
      </c>
      <c r="S507" s="7">
        <f t="shared" si="22"/>
        <v>2025</v>
      </c>
      <c r="T507" s="7" t="str">
        <f t="shared" si="23"/>
        <v>May</v>
      </c>
    </row>
    <row r="508" spans="2:20" x14ac:dyDescent="0.3">
      <c r="B508" s="7">
        <v>507</v>
      </c>
      <c r="C508" s="7" t="s">
        <v>1422</v>
      </c>
      <c r="D508" s="7" t="s">
        <v>1342</v>
      </c>
      <c r="E508" s="7" t="str">
        <f t="shared" si="21"/>
        <v>Jan</v>
      </c>
      <c r="F508" s="7" t="s">
        <v>1423</v>
      </c>
      <c r="G508" s="7" t="s">
        <v>36</v>
      </c>
      <c r="H508" s="7" t="s">
        <v>19</v>
      </c>
      <c r="I508" s="7" t="s">
        <v>46</v>
      </c>
      <c r="J508" s="7" t="s">
        <v>81</v>
      </c>
      <c r="K508" s="7" t="s">
        <v>39</v>
      </c>
      <c r="L508" s="7">
        <v>515.58000000000004</v>
      </c>
      <c r="M508" s="7">
        <v>1</v>
      </c>
      <c r="N508" s="7">
        <v>0.05</v>
      </c>
      <c r="O508" s="7">
        <v>154.16</v>
      </c>
      <c r="P508" s="7" t="s">
        <v>54</v>
      </c>
      <c r="Q508" s="7" t="s">
        <v>24</v>
      </c>
      <c r="R508" s="7">
        <v>2</v>
      </c>
      <c r="S508" s="7">
        <f t="shared" si="22"/>
        <v>2025</v>
      </c>
      <c r="T508" s="7" t="str">
        <f t="shared" si="23"/>
        <v>Jan</v>
      </c>
    </row>
    <row r="509" spans="2:20" x14ac:dyDescent="0.3">
      <c r="B509" s="7">
        <v>508</v>
      </c>
      <c r="C509" s="7" t="s">
        <v>1424</v>
      </c>
      <c r="D509" s="7" t="s">
        <v>801</v>
      </c>
      <c r="E509" s="7" t="str">
        <f t="shared" si="21"/>
        <v>Aug</v>
      </c>
      <c r="F509" s="7" t="s">
        <v>1425</v>
      </c>
      <c r="G509" s="7" t="s">
        <v>102</v>
      </c>
      <c r="H509" s="7" t="s">
        <v>65</v>
      </c>
      <c r="I509" s="7" t="s">
        <v>46</v>
      </c>
      <c r="J509" s="7" t="s">
        <v>47</v>
      </c>
      <c r="K509" s="7" t="s">
        <v>72</v>
      </c>
      <c r="L509" s="7">
        <v>1472.23</v>
      </c>
      <c r="M509" s="7">
        <v>3</v>
      </c>
      <c r="N509" s="7">
        <v>0.09</v>
      </c>
      <c r="O509" s="7">
        <v>433.98</v>
      </c>
      <c r="P509" s="7" t="s">
        <v>54</v>
      </c>
      <c r="Q509" s="7" t="s">
        <v>77</v>
      </c>
      <c r="R509" s="7">
        <v>9</v>
      </c>
      <c r="S509" s="7">
        <f t="shared" si="22"/>
        <v>2025</v>
      </c>
      <c r="T509" s="7" t="str">
        <f t="shared" si="23"/>
        <v>Aug</v>
      </c>
    </row>
    <row r="510" spans="2:20" x14ac:dyDescent="0.3">
      <c r="B510" s="7">
        <v>509</v>
      </c>
      <c r="C510" s="7" t="s">
        <v>1426</v>
      </c>
      <c r="D510" s="7" t="s">
        <v>1427</v>
      </c>
      <c r="E510" s="7" t="str">
        <f t="shared" si="21"/>
        <v>Jan</v>
      </c>
      <c r="F510" s="7" t="s">
        <v>1428</v>
      </c>
      <c r="G510" s="7" t="s">
        <v>18</v>
      </c>
      <c r="H510" s="7" t="s">
        <v>71</v>
      </c>
      <c r="I510" s="7" t="s">
        <v>46</v>
      </c>
      <c r="J510" s="7" t="s">
        <v>29</v>
      </c>
      <c r="K510" s="7" t="s">
        <v>60</v>
      </c>
      <c r="L510" s="7">
        <v>2580.92</v>
      </c>
      <c r="M510" s="7">
        <v>3</v>
      </c>
      <c r="N510" s="7">
        <v>0.2</v>
      </c>
      <c r="O510" s="7">
        <v>511.65</v>
      </c>
      <c r="P510" s="7" t="s">
        <v>31</v>
      </c>
      <c r="Q510" s="7" t="s">
        <v>24</v>
      </c>
      <c r="R510" s="7">
        <v>1</v>
      </c>
      <c r="S510" s="7">
        <f t="shared" si="22"/>
        <v>2024</v>
      </c>
      <c r="T510" s="7" t="str">
        <f t="shared" si="23"/>
        <v>Jan</v>
      </c>
    </row>
    <row r="511" spans="2:20" x14ac:dyDescent="0.3">
      <c r="B511" s="7">
        <v>510</v>
      </c>
      <c r="C511" s="7" t="s">
        <v>1429</v>
      </c>
      <c r="D511" s="7" t="s">
        <v>1430</v>
      </c>
      <c r="E511" s="7" t="str">
        <f t="shared" si="21"/>
        <v>Jan</v>
      </c>
      <c r="F511" s="7" t="s">
        <v>1431</v>
      </c>
      <c r="G511" s="7" t="s">
        <v>64</v>
      </c>
      <c r="H511" s="7" t="s">
        <v>51</v>
      </c>
      <c r="I511" s="7" t="s">
        <v>28</v>
      </c>
      <c r="J511" s="7" t="s">
        <v>66</v>
      </c>
      <c r="K511" s="7" t="s">
        <v>82</v>
      </c>
      <c r="L511" s="7">
        <v>874.84</v>
      </c>
      <c r="M511" s="7">
        <v>1</v>
      </c>
      <c r="N511" s="7">
        <v>0.11</v>
      </c>
      <c r="O511" s="7">
        <v>115.09</v>
      </c>
      <c r="P511" s="7" t="s">
        <v>31</v>
      </c>
      <c r="Q511" s="7" t="s">
        <v>24</v>
      </c>
      <c r="R511" s="7">
        <v>10</v>
      </c>
      <c r="S511" s="7">
        <f t="shared" si="22"/>
        <v>2025</v>
      </c>
      <c r="T511" s="7" t="str">
        <f t="shared" si="23"/>
        <v>Jan</v>
      </c>
    </row>
    <row r="512" spans="2:20" x14ac:dyDescent="0.3">
      <c r="B512" s="7">
        <v>511</v>
      </c>
      <c r="C512" s="7" t="s">
        <v>1432</v>
      </c>
      <c r="D512" s="7" t="s">
        <v>1000</v>
      </c>
      <c r="E512" s="7" t="str">
        <f t="shared" si="21"/>
        <v>Jun</v>
      </c>
      <c r="F512" s="7" t="s">
        <v>1433</v>
      </c>
      <c r="G512" s="7" t="s">
        <v>102</v>
      </c>
      <c r="H512" s="7" t="s">
        <v>45</v>
      </c>
      <c r="I512" s="7" t="s">
        <v>38</v>
      </c>
      <c r="J512" s="7" t="s">
        <v>29</v>
      </c>
      <c r="K512" s="7" t="s">
        <v>60</v>
      </c>
      <c r="L512" s="7">
        <v>2759.23</v>
      </c>
      <c r="M512" s="7">
        <v>3</v>
      </c>
      <c r="N512" s="7">
        <v>0.03</v>
      </c>
      <c r="O512" s="7">
        <v>616.6</v>
      </c>
      <c r="P512" s="7" t="s">
        <v>31</v>
      </c>
      <c r="Q512" s="7" t="s">
        <v>40</v>
      </c>
      <c r="R512" s="7">
        <v>10</v>
      </c>
      <c r="S512" s="7">
        <f t="shared" si="22"/>
        <v>2024</v>
      </c>
      <c r="T512" s="7" t="str">
        <f t="shared" si="23"/>
        <v>Jun</v>
      </c>
    </row>
    <row r="513" spans="2:20" x14ac:dyDescent="0.3">
      <c r="B513" s="7">
        <v>512</v>
      </c>
      <c r="C513" s="7" t="s">
        <v>1434</v>
      </c>
      <c r="D513" s="7" t="s">
        <v>1435</v>
      </c>
      <c r="E513" s="7" t="str">
        <f t="shared" si="21"/>
        <v>May</v>
      </c>
      <c r="F513" s="7" t="s">
        <v>1436</v>
      </c>
      <c r="G513" s="7" t="s">
        <v>44</v>
      </c>
      <c r="H513" s="7" t="s">
        <v>65</v>
      </c>
      <c r="I513" s="7" t="s">
        <v>28</v>
      </c>
      <c r="J513" s="7" t="s">
        <v>29</v>
      </c>
      <c r="K513" s="7" t="s">
        <v>53</v>
      </c>
      <c r="L513" s="7">
        <v>189.23</v>
      </c>
      <c r="M513" s="7">
        <v>2</v>
      </c>
      <c r="N513" s="7">
        <v>0.02</v>
      </c>
      <c r="O513" s="7">
        <v>26.24</v>
      </c>
      <c r="P513" s="7" t="s">
        <v>23</v>
      </c>
      <c r="Q513" s="7" t="s">
        <v>24</v>
      </c>
      <c r="R513" s="7">
        <v>9</v>
      </c>
      <c r="S513" s="7">
        <f t="shared" si="22"/>
        <v>2024</v>
      </c>
      <c r="T513" s="7" t="str">
        <f t="shared" si="23"/>
        <v>May</v>
      </c>
    </row>
    <row r="514" spans="2:20" x14ac:dyDescent="0.3">
      <c r="B514" s="7">
        <v>513</v>
      </c>
      <c r="C514" s="7" t="s">
        <v>1437</v>
      </c>
      <c r="D514" s="7" t="s">
        <v>1009</v>
      </c>
      <c r="E514" s="7" t="str">
        <f t="shared" si="21"/>
        <v>Apr</v>
      </c>
      <c r="F514" s="7" t="s">
        <v>1438</v>
      </c>
      <c r="G514" s="7" t="s">
        <v>44</v>
      </c>
      <c r="H514" s="7" t="s">
        <v>51</v>
      </c>
      <c r="I514" s="7" t="s">
        <v>106</v>
      </c>
      <c r="J514" s="7" t="s">
        <v>66</v>
      </c>
      <c r="K514" s="7" t="s">
        <v>72</v>
      </c>
      <c r="L514" s="7">
        <v>942.31</v>
      </c>
      <c r="M514" s="7">
        <v>1</v>
      </c>
      <c r="N514" s="7">
        <v>0.22</v>
      </c>
      <c r="O514" s="7">
        <v>242.49</v>
      </c>
      <c r="P514" s="7" t="s">
        <v>31</v>
      </c>
      <c r="Q514" s="7" t="s">
        <v>24</v>
      </c>
      <c r="R514" s="7">
        <v>9</v>
      </c>
      <c r="S514" s="7">
        <f t="shared" si="22"/>
        <v>2024</v>
      </c>
      <c r="T514" s="7" t="str">
        <f t="shared" si="23"/>
        <v>Apr</v>
      </c>
    </row>
    <row r="515" spans="2:20" x14ac:dyDescent="0.3">
      <c r="B515" s="7">
        <v>514</v>
      </c>
      <c r="C515" s="7" t="s">
        <v>1439</v>
      </c>
      <c r="D515" s="7" t="s">
        <v>1440</v>
      </c>
      <c r="E515" s="7" t="str">
        <f t="shared" ref="E515:E578" si="24">TEXT(D515,"mmm")</f>
        <v>Sep</v>
      </c>
      <c r="F515" s="7" t="s">
        <v>1441</v>
      </c>
      <c r="G515" s="7" t="s">
        <v>18</v>
      </c>
      <c r="H515" s="7" t="s">
        <v>65</v>
      </c>
      <c r="I515" s="7" t="s">
        <v>28</v>
      </c>
      <c r="J515" s="7" t="s">
        <v>66</v>
      </c>
      <c r="K515" s="7" t="s">
        <v>72</v>
      </c>
      <c r="L515" s="7">
        <v>3285.95</v>
      </c>
      <c r="M515" s="7">
        <v>4</v>
      </c>
      <c r="N515" s="7">
        <v>0.2</v>
      </c>
      <c r="O515" s="7">
        <v>1050.31</v>
      </c>
      <c r="P515" s="7" t="s">
        <v>31</v>
      </c>
      <c r="Q515" s="7" t="s">
        <v>40</v>
      </c>
      <c r="R515" s="7">
        <v>6</v>
      </c>
      <c r="S515" s="7">
        <f t="shared" ref="S515:S578" si="25">YEAR(D515)</f>
        <v>2025</v>
      </c>
      <c r="T515" s="7" t="str">
        <f t="shared" ref="T515:T578" si="26">TEXT(D515,"mmm")</f>
        <v>Sep</v>
      </c>
    </row>
    <row r="516" spans="2:20" x14ac:dyDescent="0.3">
      <c r="B516" s="7">
        <v>515</v>
      </c>
      <c r="C516" s="7" t="s">
        <v>1442</v>
      </c>
      <c r="D516" s="7" t="s">
        <v>988</v>
      </c>
      <c r="E516" s="7" t="str">
        <f t="shared" si="24"/>
        <v>Mar</v>
      </c>
      <c r="F516" s="7" t="s">
        <v>1443</v>
      </c>
      <c r="G516" s="7" t="s">
        <v>102</v>
      </c>
      <c r="H516" s="7" t="s">
        <v>45</v>
      </c>
      <c r="I516" s="7" t="s">
        <v>38</v>
      </c>
      <c r="J516" s="7" t="s">
        <v>47</v>
      </c>
      <c r="K516" s="7" t="s">
        <v>22</v>
      </c>
      <c r="L516" s="7">
        <v>791.49</v>
      </c>
      <c r="M516" s="7">
        <v>4</v>
      </c>
      <c r="N516" s="7">
        <v>0.21</v>
      </c>
      <c r="O516" s="7">
        <v>123.98</v>
      </c>
      <c r="P516" s="7" t="s">
        <v>31</v>
      </c>
      <c r="Q516" s="7" t="s">
        <v>24</v>
      </c>
      <c r="R516" s="7">
        <v>2</v>
      </c>
      <c r="S516" s="7">
        <f t="shared" si="25"/>
        <v>2024</v>
      </c>
      <c r="T516" s="7" t="str">
        <f t="shared" si="26"/>
        <v>Mar</v>
      </c>
    </row>
    <row r="517" spans="2:20" x14ac:dyDescent="0.3">
      <c r="B517" s="7">
        <v>516</v>
      </c>
      <c r="C517" s="7" t="s">
        <v>1444</v>
      </c>
      <c r="D517" s="7" t="s">
        <v>1241</v>
      </c>
      <c r="E517" s="7" t="str">
        <f t="shared" si="24"/>
        <v>Dec</v>
      </c>
      <c r="F517" s="7" t="s">
        <v>1445</v>
      </c>
      <c r="G517" s="7" t="s">
        <v>102</v>
      </c>
      <c r="H517" s="7" t="s">
        <v>45</v>
      </c>
      <c r="I517" s="7" t="s">
        <v>28</v>
      </c>
      <c r="J517" s="7" t="s">
        <v>81</v>
      </c>
      <c r="K517" s="7" t="s">
        <v>76</v>
      </c>
      <c r="L517" s="7">
        <v>554.91999999999996</v>
      </c>
      <c r="M517" s="7">
        <v>1</v>
      </c>
      <c r="N517" s="7">
        <v>0.12</v>
      </c>
      <c r="O517" s="7">
        <v>70.83</v>
      </c>
      <c r="P517" s="7" t="s">
        <v>23</v>
      </c>
      <c r="Q517" s="7" t="s">
        <v>32</v>
      </c>
      <c r="R517" s="7">
        <v>8</v>
      </c>
      <c r="S517" s="7">
        <f t="shared" si="25"/>
        <v>2025</v>
      </c>
      <c r="T517" s="7" t="str">
        <f t="shared" si="26"/>
        <v>Dec</v>
      </c>
    </row>
    <row r="518" spans="2:20" x14ac:dyDescent="0.3">
      <c r="B518" s="7">
        <v>517</v>
      </c>
      <c r="C518" s="7" t="s">
        <v>1446</v>
      </c>
      <c r="D518" s="7" t="s">
        <v>1447</v>
      </c>
      <c r="E518" s="7" t="str">
        <f t="shared" si="24"/>
        <v>Mar</v>
      </c>
      <c r="F518" s="7" t="s">
        <v>1448</v>
      </c>
      <c r="G518" s="7" t="s">
        <v>18</v>
      </c>
      <c r="H518" s="7" t="s">
        <v>19</v>
      </c>
      <c r="I518" s="7" t="s">
        <v>59</v>
      </c>
      <c r="J518" s="7" t="s">
        <v>81</v>
      </c>
      <c r="K518" s="7" t="s">
        <v>53</v>
      </c>
      <c r="L518" s="7">
        <v>1717.37</v>
      </c>
      <c r="M518" s="7">
        <v>2</v>
      </c>
      <c r="N518" s="7">
        <v>0.12</v>
      </c>
      <c r="O518" s="7">
        <v>591.22</v>
      </c>
      <c r="P518" s="7" t="s">
        <v>31</v>
      </c>
      <c r="Q518" s="7" t="s">
        <v>40</v>
      </c>
      <c r="R518" s="7">
        <v>9</v>
      </c>
      <c r="S518" s="7">
        <f t="shared" si="25"/>
        <v>2024</v>
      </c>
      <c r="T518" s="7" t="str">
        <f t="shared" si="26"/>
        <v>Mar</v>
      </c>
    </row>
    <row r="519" spans="2:20" x14ac:dyDescent="0.3">
      <c r="B519" s="7">
        <v>518</v>
      </c>
      <c r="C519" s="7" t="s">
        <v>1449</v>
      </c>
      <c r="D519" s="7" t="s">
        <v>1450</v>
      </c>
      <c r="E519" s="7" t="str">
        <f t="shared" si="24"/>
        <v>Jun</v>
      </c>
      <c r="F519" s="7" t="s">
        <v>1451</v>
      </c>
      <c r="G519" s="7" t="s">
        <v>36</v>
      </c>
      <c r="H519" s="7" t="s">
        <v>45</v>
      </c>
      <c r="I519" s="7" t="s">
        <v>28</v>
      </c>
      <c r="J519" s="7" t="s">
        <v>21</v>
      </c>
      <c r="K519" s="7" t="s">
        <v>30</v>
      </c>
      <c r="L519" s="7">
        <v>223.93</v>
      </c>
      <c r="M519" s="7">
        <v>1</v>
      </c>
      <c r="N519" s="7">
        <v>7.0000000000000007E-2</v>
      </c>
      <c r="O519" s="7">
        <v>53.35</v>
      </c>
      <c r="P519" s="7" t="s">
        <v>31</v>
      </c>
      <c r="Q519" s="7" t="s">
        <v>77</v>
      </c>
      <c r="R519" s="7">
        <v>9</v>
      </c>
      <c r="S519" s="7">
        <f t="shared" si="25"/>
        <v>2025</v>
      </c>
      <c r="T519" s="7" t="str">
        <f t="shared" si="26"/>
        <v>Jun</v>
      </c>
    </row>
    <row r="520" spans="2:20" x14ac:dyDescent="0.3">
      <c r="B520" s="7">
        <v>519</v>
      </c>
      <c r="C520" s="7" t="s">
        <v>1452</v>
      </c>
      <c r="D520" s="7" t="s">
        <v>1453</v>
      </c>
      <c r="E520" s="7" t="str">
        <f t="shared" si="24"/>
        <v>Nov</v>
      </c>
      <c r="F520" s="7" t="s">
        <v>1454</v>
      </c>
      <c r="G520" s="7" t="s">
        <v>36</v>
      </c>
      <c r="H520" s="7" t="s">
        <v>37</v>
      </c>
      <c r="I520" s="7" t="s">
        <v>116</v>
      </c>
      <c r="J520" s="7" t="s">
        <v>21</v>
      </c>
      <c r="K520" s="7" t="s">
        <v>67</v>
      </c>
      <c r="L520" s="7">
        <v>2472.85</v>
      </c>
      <c r="M520" s="7">
        <v>4</v>
      </c>
      <c r="N520" s="7">
        <v>0.2</v>
      </c>
      <c r="O520" s="7">
        <v>490.72</v>
      </c>
      <c r="P520" s="7" t="s">
        <v>23</v>
      </c>
      <c r="Q520" s="7" t="s">
        <v>86</v>
      </c>
      <c r="R520" s="7">
        <v>9</v>
      </c>
      <c r="S520" s="7">
        <f t="shared" si="25"/>
        <v>2025</v>
      </c>
      <c r="T520" s="7" t="str">
        <f t="shared" si="26"/>
        <v>Nov</v>
      </c>
    </row>
    <row r="521" spans="2:20" x14ac:dyDescent="0.3">
      <c r="B521" s="7">
        <v>520</v>
      </c>
      <c r="C521" s="7" t="s">
        <v>1455</v>
      </c>
      <c r="D521" s="7" t="s">
        <v>1456</v>
      </c>
      <c r="E521" s="7" t="str">
        <f t="shared" si="24"/>
        <v>Nov</v>
      </c>
      <c r="F521" s="7" t="s">
        <v>1457</v>
      </c>
      <c r="G521" s="7" t="s">
        <v>18</v>
      </c>
      <c r="H521" s="7" t="s">
        <v>37</v>
      </c>
      <c r="I521" s="7" t="s">
        <v>116</v>
      </c>
      <c r="J521" s="7" t="s">
        <v>47</v>
      </c>
      <c r="K521" s="7" t="s">
        <v>76</v>
      </c>
      <c r="L521" s="7">
        <v>629.46</v>
      </c>
      <c r="M521" s="7">
        <v>1</v>
      </c>
      <c r="N521" s="7">
        <v>0.13</v>
      </c>
      <c r="O521" s="7">
        <v>88.6</v>
      </c>
      <c r="P521" s="7" t="s">
        <v>31</v>
      </c>
      <c r="Q521" s="7" t="s">
        <v>32</v>
      </c>
      <c r="R521" s="7">
        <v>4</v>
      </c>
      <c r="S521" s="7">
        <f t="shared" si="25"/>
        <v>2024</v>
      </c>
      <c r="T521" s="7" t="str">
        <f t="shared" si="26"/>
        <v>Nov</v>
      </c>
    </row>
    <row r="522" spans="2:20" x14ac:dyDescent="0.3">
      <c r="B522" s="7">
        <v>521</v>
      </c>
      <c r="C522" s="7" t="s">
        <v>1458</v>
      </c>
      <c r="D522" s="7" t="s">
        <v>1459</v>
      </c>
      <c r="E522" s="7" t="str">
        <f t="shared" si="24"/>
        <v>Dec</v>
      </c>
      <c r="F522" s="7" t="s">
        <v>1460</v>
      </c>
      <c r="G522" s="7" t="s">
        <v>102</v>
      </c>
      <c r="H522" s="7" t="s">
        <v>45</v>
      </c>
      <c r="I522" s="7" t="s">
        <v>28</v>
      </c>
      <c r="J522" s="7" t="s">
        <v>66</v>
      </c>
      <c r="K522" s="7" t="s">
        <v>22</v>
      </c>
      <c r="L522" s="7">
        <v>1843.11</v>
      </c>
      <c r="M522" s="7">
        <v>2</v>
      </c>
      <c r="N522" s="7">
        <v>0.17</v>
      </c>
      <c r="O522" s="7">
        <v>622.4</v>
      </c>
      <c r="P522" s="7" t="s">
        <v>31</v>
      </c>
      <c r="Q522" s="7" t="s">
        <v>32</v>
      </c>
      <c r="R522" s="7">
        <v>3</v>
      </c>
      <c r="S522" s="7">
        <f t="shared" si="25"/>
        <v>2024</v>
      </c>
      <c r="T522" s="7" t="str">
        <f t="shared" si="26"/>
        <v>Dec</v>
      </c>
    </row>
    <row r="523" spans="2:20" x14ac:dyDescent="0.3">
      <c r="B523" s="7">
        <v>522</v>
      </c>
      <c r="C523" s="7" t="s">
        <v>1461</v>
      </c>
      <c r="D523" s="7" t="s">
        <v>1462</v>
      </c>
      <c r="E523" s="7" t="str">
        <f t="shared" si="24"/>
        <v>Jun</v>
      </c>
      <c r="F523" s="7" t="s">
        <v>1463</v>
      </c>
      <c r="G523" s="7" t="s">
        <v>18</v>
      </c>
      <c r="H523" s="7" t="s">
        <v>71</v>
      </c>
      <c r="I523" s="7" t="s">
        <v>46</v>
      </c>
      <c r="J523" s="7" t="s">
        <v>21</v>
      </c>
      <c r="K523" s="7" t="s">
        <v>53</v>
      </c>
      <c r="L523" s="7">
        <v>444.83</v>
      </c>
      <c r="M523" s="7">
        <v>1</v>
      </c>
      <c r="N523" s="7">
        <v>0.04</v>
      </c>
      <c r="O523" s="7">
        <v>55.57</v>
      </c>
      <c r="P523" s="7" t="s">
        <v>31</v>
      </c>
      <c r="Q523" s="7" t="s">
        <v>32</v>
      </c>
      <c r="R523" s="7">
        <v>4</v>
      </c>
      <c r="S523" s="7">
        <f t="shared" si="25"/>
        <v>2024</v>
      </c>
      <c r="T523" s="7" t="str">
        <f t="shared" si="26"/>
        <v>Jun</v>
      </c>
    </row>
    <row r="524" spans="2:20" x14ac:dyDescent="0.3">
      <c r="B524" s="7">
        <v>523</v>
      </c>
      <c r="C524" s="7" t="s">
        <v>1464</v>
      </c>
      <c r="D524" s="7" t="s">
        <v>1025</v>
      </c>
      <c r="E524" s="7" t="str">
        <f t="shared" si="24"/>
        <v>Feb</v>
      </c>
      <c r="F524" s="7" t="s">
        <v>1465</v>
      </c>
      <c r="G524" s="7" t="s">
        <v>18</v>
      </c>
      <c r="H524" s="7" t="s">
        <v>65</v>
      </c>
      <c r="I524" s="7" t="s">
        <v>20</v>
      </c>
      <c r="J524" s="7" t="s">
        <v>47</v>
      </c>
      <c r="K524" s="7" t="s">
        <v>30</v>
      </c>
      <c r="L524" s="7">
        <v>4088.8</v>
      </c>
      <c r="M524" s="7">
        <v>5</v>
      </c>
      <c r="N524" s="7">
        <v>0.11</v>
      </c>
      <c r="O524" s="7">
        <v>1047.55</v>
      </c>
      <c r="P524" s="7" t="s">
        <v>31</v>
      </c>
      <c r="Q524" s="7" t="s">
        <v>40</v>
      </c>
      <c r="R524" s="7">
        <v>10</v>
      </c>
      <c r="S524" s="7">
        <f t="shared" si="25"/>
        <v>2024</v>
      </c>
      <c r="T524" s="7" t="str">
        <f t="shared" si="26"/>
        <v>Feb</v>
      </c>
    </row>
    <row r="525" spans="2:20" x14ac:dyDescent="0.3">
      <c r="B525" s="7">
        <v>524</v>
      </c>
      <c r="C525" s="7" t="s">
        <v>1466</v>
      </c>
      <c r="D525" s="7" t="s">
        <v>255</v>
      </c>
      <c r="E525" s="7" t="str">
        <f t="shared" si="24"/>
        <v>Dec</v>
      </c>
      <c r="F525" s="7" t="s">
        <v>1467</v>
      </c>
      <c r="G525" s="7" t="s">
        <v>36</v>
      </c>
      <c r="H525" s="7" t="s">
        <v>58</v>
      </c>
      <c r="I525" s="7" t="s">
        <v>38</v>
      </c>
      <c r="J525" s="7" t="s">
        <v>29</v>
      </c>
      <c r="K525" s="7" t="s">
        <v>30</v>
      </c>
      <c r="L525" s="7">
        <v>561.91</v>
      </c>
      <c r="M525" s="7">
        <v>4</v>
      </c>
      <c r="N525" s="7">
        <v>0.11</v>
      </c>
      <c r="O525" s="7">
        <v>161.80000000000001</v>
      </c>
      <c r="P525" s="7" t="s">
        <v>23</v>
      </c>
      <c r="Q525" s="7" t="s">
        <v>24</v>
      </c>
      <c r="R525" s="7">
        <v>8</v>
      </c>
      <c r="S525" s="7">
        <f t="shared" si="25"/>
        <v>2024</v>
      </c>
      <c r="T525" s="7" t="str">
        <f t="shared" si="26"/>
        <v>Dec</v>
      </c>
    </row>
    <row r="526" spans="2:20" x14ac:dyDescent="0.3">
      <c r="B526" s="7">
        <v>525</v>
      </c>
      <c r="C526" s="7" t="s">
        <v>1468</v>
      </c>
      <c r="D526" s="7" t="s">
        <v>1469</v>
      </c>
      <c r="E526" s="7" t="str">
        <f t="shared" si="24"/>
        <v>Jun</v>
      </c>
      <c r="F526" s="7" t="s">
        <v>1470</v>
      </c>
      <c r="G526" s="7" t="s">
        <v>36</v>
      </c>
      <c r="H526" s="7" t="s">
        <v>45</v>
      </c>
      <c r="I526" s="7" t="s">
        <v>106</v>
      </c>
      <c r="J526" s="7" t="s">
        <v>47</v>
      </c>
      <c r="K526" s="7" t="s">
        <v>76</v>
      </c>
      <c r="L526" s="7">
        <v>3366.68</v>
      </c>
      <c r="M526" s="7">
        <v>4</v>
      </c>
      <c r="N526" s="7">
        <v>7.0000000000000007E-2</v>
      </c>
      <c r="O526" s="7">
        <v>1116.94</v>
      </c>
      <c r="P526" s="7" t="s">
        <v>31</v>
      </c>
      <c r="Q526" s="7" t="s">
        <v>32</v>
      </c>
      <c r="R526" s="7">
        <v>8</v>
      </c>
      <c r="S526" s="7">
        <f t="shared" si="25"/>
        <v>2025</v>
      </c>
      <c r="T526" s="7" t="str">
        <f t="shared" si="26"/>
        <v>Jun</v>
      </c>
    </row>
    <row r="527" spans="2:20" x14ac:dyDescent="0.3">
      <c r="B527" s="7">
        <v>526</v>
      </c>
      <c r="C527" s="7" t="s">
        <v>1471</v>
      </c>
      <c r="D527" s="7" t="s">
        <v>569</v>
      </c>
      <c r="E527" s="7" t="str">
        <f t="shared" si="24"/>
        <v>Dec</v>
      </c>
      <c r="F527" s="7" t="s">
        <v>1472</v>
      </c>
      <c r="G527" s="7" t="s">
        <v>36</v>
      </c>
      <c r="H527" s="7" t="s">
        <v>51</v>
      </c>
      <c r="I527" s="7" t="s">
        <v>46</v>
      </c>
      <c r="J527" s="7" t="s">
        <v>81</v>
      </c>
      <c r="K527" s="7" t="s">
        <v>53</v>
      </c>
      <c r="L527" s="7">
        <v>210</v>
      </c>
      <c r="M527" s="7">
        <v>4</v>
      </c>
      <c r="N527" s="7">
        <v>0.14000000000000001</v>
      </c>
      <c r="O527" s="7">
        <v>64.760000000000005</v>
      </c>
      <c r="P527" s="7" t="s">
        <v>54</v>
      </c>
      <c r="Q527" s="7" t="s">
        <v>40</v>
      </c>
      <c r="R527" s="7">
        <v>4</v>
      </c>
      <c r="S527" s="7">
        <f t="shared" si="25"/>
        <v>2024</v>
      </c>
      <c r="T527" s="7" t="str">
        <f t="shared" si="26"/>
        <v>Dec</v>
      </c>
    </row>
    <row r="528" spans="2:20" x14ac:dyDescent="0.3">
      <c r="B528" s="7">
        <v>527</v>
      </c>
      <c r="C528" s="7" t="s">
        <v>1473</v>
      </c>
      <c r="D528" s="7" t="s">
        <v>1474</v>
      </c>
      <c r="E528" s="7" t="str">
        <f t="shared" si="24"/>
        <v>Sep</v>
      </c>
      <c r="F528" s="7" t="s">
        <v>1475</v>
      </c>
      <c r="G528" s="7" t="s">
        <v>64</v>
      </c>
      <c r="H528" s="7" t="s">
        <v>45</v>
      </c>
      <c r="I528" s="7" t="s">
        <v>106</v>
      </c>
      <c r="J528" s="7" t="s">
        <v>47</v>
      </c>
      <c r="K528" s="7" t="s">
        <v>76</v>
      </c>
      <c r="L528" s="7">
        <v>547.91999999999996</v>
      </c>
      <c r="M528" s="7">
        <v>3</v>
      </c>
      <c r="N528" s="7">
        <v>0.09</v>
      </c>
      <c r="O528" s="7">
        <v>174.69</v>
      </c>
      <c r="P528" s="7" t="s">
        <v>23</v>
      </c>
      <c r="Q528" s="7" t="s">
        <v>40</v>
      </c>
      <c r="R528" s="7">
        <v>8</v>
      </c>
      <c r="S528" s="7">
        <f t="shared" si="25"/>
        <v>2024</v>
      </c>
      <c r="T528" s="7" t="str">
        <f t="shared" si="26"/>
        <v>Sep</v>
      </c>
    </row>
    <row r="529" spans="2:20" x14ac:dyDescent="0.3">
      <c r="B529" s="7">
        <v>528</v>
      </c>
      <c r="C529" s="7" t="s">
        <v>1476</v>
      </c>
      <c r="D529" s="7" t="s">
        <v>1477</v>
      </c>
      <c r="E529" s="7" t="str">
        <f t="shared" si="24"/>
        <v>May</v>
      </c>
      <c r="F529" s="7" t="s">
        <v>1478</v>
      </c>
      <c r="G529" s="7" t="s">
        <v>64</v>
      </c>
      <c r="H529" s="7" t="s">
        <v>45</v>
      </c>
      <c r="I529" s="7" t="s">
        <v>46</v>
      </c>
      <c r="J529" s="7" t="s">
        <v>21</v>
      </c>
      <c r="K529" s="7" t="s">
        <v>72</v>
      </c>
      <c r="L529" s="7">
        <v>2621.64</v>
      </c>
      <c r="M529" s="7">
        <v>4</v>
      </c>
      <c r="N529" s="7">
        <v>0.12</v>
      </c>
      <c r="O529" s="7">
        <v>854.45</v>
      </c>
      <c r="P529" s="7" t="s">
        <v>31</v>
      </c>
      <c r="Q529" s="7" t="s">
        <v>32</v>
      </c>
      <c r="R529" s="7">
        <v>5</v>
      </c>
      <c r="S529" s="7">
        <f t="shared" si="25"/>
        <v>2024</v>
      </c>
      <c r="T529" s="7" t="str">
        <f t="shared" si="26"/>
        <v>May</v>
      </c>
    </row>
    <row r="530" spans="2:20" x14ac:dyDescent="0.3">
      <c r="B530" s="7">
        <v>529</v>
      </c>
      <c r="C530" s="7" t="s">
        <v>1479</v>
      </c>
      <c r="D530" s="7" t="s">
        <v>1480</v>
      </c>
      <c r="E530" s="7" t="str">
        <f t="shared" si="24"/>
        <v>Jun</v>
      </c>
      <c r="F530" s="7" t="s">
        <v>1481</v>
      </c>
      <c r="G530" s="7" t="s">
        <v>18</v>
      </c>
      <c r="H530" s="7" t="s">
        <v>71</v>
      </c>
      <c r="I530" s="7" t="s">
        <v>46</v>
      </c>
      <c r="J530" s="7" t="s">
        <v>47</v>
      </c>
      <c r="K530" s="7" t="s">
        <v>53</v>
      </c>
      <c r="L530" s="7">
        <v>741.71</v>
      </c>
      <c r="M530" s="7">
        <v>1</v>
      </c>
      <c r="N530" s="7">
        <v>0.08</v>
      </c>
      <c r="O530" s="7">
        <v>90.67</v>
      </c>
      <c r="P530" s="7" t="s">
        <v>23</v>
      </c>
      <c r="Q530" s="7" t="s">
        <v>40</v>
      </c>
      <c r="R530" s="7">
        <v>10</v>
      </c>
      <c r="S530" s="7">
        <f t="shared" si="25"/>
        <v>2024</v>
      </c>
      <c r="T530" s="7" t="str">
        <f t="shared" si="26"/>
        <v>Jun</v>
      </c>
    </row>
    <row r="531" spans="2:20" x14ac:dyDescent="0.3">
      <c r="B531" s="7">
        <v>530</v>
      </c>
      <c r="C531" s="7" t="s">
        <v>1482</v>
      </c>
      <c r="D531" s="7" t="s">
        <v>1483</v>
      </c>
      <c r="E531" s="7" t="str">
        <f t="shared" si="24"/>
        <v>Aug</v>
      </c>
      <c r="F531" s="7" t="s">
        <v>1484</v>
      </c>
      <c r="G531" s="7" t="s">
        <v>102</v>
      </c>
      <c r="H531" s="7" t="s">
        <v>45</v>
      </c>
      <c r="I531" s="7" t="s">
        <v>106</v>
      </c>
      <c r="J531" s="7" t="s">
        <v>21</v>
      </c>
      <c r="K531" s="7" t="s">
        <v>72</v>
      </c>
      <c r="L531" s="7">
        <v>1730.2</v>
      </c>
      <c r="M531" s="7">
        <v>3</v>
      </c>
      <c r="N531" s="7">
        <v>0.27</v>
      </c>
      <c r="O531" s="7">
        <v>595.49</v>
      </c>
      <c r="P531" s="7" t="s">
        <v>54</v>
      </c>
      <c r="Q531" s="7" t="s">
        <v>24</v>
      </c>
      <c r="R531" s="7">
        <v>4</v>
      </c>
      <c r="S531" s="7">
        <f t="shared" si="25"/>
        <v>2024</v>
      </c>
      <c r="T531" s="7" t="str">
        <f t="shared" si="26"/>
        <v>Aug</v>
      </c>
    </row>
    <row r="532" spans="2:20" x14ac:dyDescent="0.3">
      <c r="B532" s="7">
        <v>531</v>
      </c>
      <c r="C532" s="7" t="s">
        <v>1485</v>
      </c>
      <c r="D532" s="7" t="s">
        <v>1486</v>
      </c>
      <c r="E532" s="7" t="str">
        <f t="shared" si="24"/>
        <v>May</v>
      </c>
      <c r="F532" s="7" t="s">
        <v>410</v>
      </c>
      <c r="G532" s="7" t="s">
        <v>102</v>
      </c>
      <c r="H532" s="7" t="s">
        <v>19</v>
      </c>
      <c r="I532" s="7" t="s">
        <v>59</v>
      </c>
      <c r="J532" s="7" t="s">
        <v>29</v>
      </c>
      <c r="K532" s="7" t="s">
        <v>82</v>
      </c>
      <c r="L532" s="7">
        <v>3199.95</v>
      </c>
      <c r="M532" s="7">
        <v>5</v>
      </c>
      <c r="N532" s="7">
        <v>0.3</v>
      </c>
      <c r="O532" s="7">
        <v>858.28</v>
      </c>
      <c r="P532" s="7" t="s">
        <v>54</v>
      </c>
      <c r="Q532" s="7" t="s">
        <v>40</v>
      </c>
      <c r="R532" s="7">
        <v>8</v>
      </c>
      <c r="S532" s="7">
        <f t="shared" si="25"/>
        <v>2024</v>
      </c>
      <c r="T532" s="7" t="str">
        <f t="shared" si="26"/>
        <v>May</v>
      </c>
    </row>
    <row r="533" spans="2:20" x14ac:dyDescent="0.3">
      <c r="B533" s="7">
        <v>532</v>
      </c>
      <c r="C533" s="7" t="s">
        <v>1487</v>
      </c>
      <c r="D533" s="7" t="s">
        <v>1488</v>
      </c>
      <c r="E533" s="7" t="str">
        <f t="shared" si="24"/>
        <v>Aug</v>
      </c>
      <c r="F533" s="7" t="s">
        <v>1489</v>
      </c>
      <c r="G533" s="7" t="s">
        <v>102</v>
      </c>
      <c r="H533" s="7" t="s">
        <v>71</v>
      </c>
      <c r="I533" s="7" t="s">
        <v>38</v>
      </c>
      <c r="J533" s="7" t="s">
        <v>21</v>
      </c>
      <c r="K533" s="7" t="s">
        <v>30</v>
      </c>
      <c r="L533" s="7">
        <v>556.6</v>
      </c>
      <c r="M533" s="7">
        <v>1</v>
      </c>
      <c r="N533" s="7">
        <v>0.16</v>
      </c>
      <c r="O533" s="7">
        <v>64.44</v>
      </c>
      <c r="P533" s="7" t="s">
        <v>31</v>
      </c>
      <c r="Q533" s="7" t="s">
        <v>24</v>
      </c>
      <c r="R533" s="7">
        <v>5</v>
      </c>
      <c r="S533" s="7">
        <f t="shared" si="25"/>
        <v>2024</v>
      </c>
      <c r="T533" s="7" t="str">
        <f t="shared" si="26"/>
        <v>Aug</v>
      </c>
    </row>
    <row r="534" spans="2:20" x14ac:dyDescent="0.3">
      <c r="B534" s="7">
        <v>533</v>
      </c>
      <c r="C534" s="7" t="s">
        <v>1490</v>
      </c>
      <c r="D534" s="7" t="s">
        <v>821</v>
      </c>
      <c r="E534" s="7" t="str">
        <f t="shared" si="24"/>
        <v>Feb</v>
      </c>
      <c r="F534" s="7" t="s">
        <v>1491</v>
      </c>
      <c r="G534" s="7" t="s">
        <v>64</v>
      </c>
      <c r="H534" s="7" t="s">
        <v>58</v>
      </c>
      <c r="I534" s="7" t="s">
        <v>38</v>
      </c>
      <c r="J534" s="7" t="s">
        <v>47</v>
      </c>
      <c r="K534" s="7" t="s">
        <v>72</v>
      </c>
      <c r="L534" s="7">
        <v>649.20000000000005</v>
      </c>
      <c r="M534" s="7">
        <v>5</v>
      </c>
      <c r="N534" s="7">
        <v>0.09</v>
      </c>
      <c r="O534" s="7">
        <v>172.37</v>
      </c>
      <c r="P534" s="7" t="s">
        <v>54</v>
      </c>
      <c r="Q534" s="7" t="s">
        <v>40</v>
      </c>
      <c r="R534" s="7">
        <v>10</v>
      </c>
      <c r="S534" s="7">
        <f t="shared" si="25"/>
        <v>2025</v>
      </c>
      <c r="T534" s="7" t="str">
        <f t="shared" si="26"/>
        <v>Feb</v>
      </c>
    </row>
    <row r="535" spans="2:20" x14ac:dyDescent="0.3">
      <c r="B535" s="7">
        <v>534</v>
      </c>
      <c r="C535" s="7" t="s">
        <v>1492</v>
      </c>
      <c r="D535" s="7" t="s">
        <v>272</v>
      </c>
      <c r="E535" s="7" t="str">
        <f t="shared" si="24"/>
        <v>Jun</v>
      </c>
      <c r="F535" s="7" t="s">
        <v>1208</v>
      </c>
      <c r="G535" s="7" t="s">
        <v>102</v>
      </c>
      <c r="H535" s="7" t="s">
        <v>45</v>
      </c>
      <c r="I535" s="7" t="s">
        <v>59</v>
      </c>
      <c r="J535" s="7" t="s">
        <v>81</v>
      </c>
      <c r="K535" s="7" t="s">
        <v>60</v>
      </c>
      <c r="L535" s="7">
        <v>77.069999999999993</v>
      </c>
      <c r="M535" s="7">
        <v>1</v>
      </c>
      <c r="N535" s="7">
        <v>7.0000000000000007E-2</v>
      </c>
      <c r="O535" s="7">
        <v>14.81</v>
      </c>
      <c r="P535" s="7" t="s">
        <v>31</v>
      </c>
      <c r="Q535" s="7" t="s">
        <v>77</v>
      </c>
      <c r="R535" s="7">
        <v>3</v>
      </c>
      <c r="S535" s="7">
        <f t="shared" si="25"/>
        <v>2025</v>
      </c>
      <c r="T535" s="7" t="str">
        <f t="shared" si="26"/>
        <v>Jun</v>
      </c>
    </row>
    <row r="536" spans="2:20" x14ac:dyDescent="0.3">
      <c r="B536" s="7">
        <v>535</v>
      </c>
      <c r="C536" s="7" t="s">
        <v>1493</v>
      </c>
      <c r="D536" s="7" t="s">
        <v>1391</v>
      </c>
      <c r="E536" s="7" t="str">
        <f t="shared" si="24"/>
        <v>Aug</v>
      </c>
      <c r="F536" s="7" t="s">
        <v>1494</v>
      </c>
      <c r="G536" s="7" t="s">
        <v>102</v>
      </c>
      <c r="H536" s="7" t="s">
        <v>37</v>
      </c>
      <c r="I536" s="7" t="s">
        <v>20</v>
      </c>
      <c r="J536" s="7" t="s">
        <v>29</v>
      </c>
      <c r="K536" s="7" t="s">
        <v>53</v>
      </c>
      <c r="L536" s="7">
        <v>525.30999999999995</v>
      </c>
      <c r="M536" s="7">
        <v>1</v>
      </c>
      <c r="N536" s="7">
        <v>0.19</v>
      </c>
      <c r="O536" s="7">
        <v>175.04</v>
      </c>
      <c r="P536" s="7" t="s">
        <v>54</v>
      </c>
      <c r="Q536" s="7" t="s">
        <v>40</v>
      </c>
      <c r="R536" s="7">
        <v>2</v>
      </c>
      <c r="S536" s="7">
        <f t="shared" si="25"/>
        <v>2025</v>
      </c>
      <c r="T536" s="7" t="str">
        <f t="shared" si="26"/>
        <v>Aug</v>
      </c>
    </row>
    <row r="537" spans="2:20" x14ac:dyDescent="0.3">
      <c r="B537" s="7">
        <v>536</v>
      </c>
      <c r="C537" s="7" t="s">
        <v>1495</v>
      </c>
      <c r="D537" s="7" t="s">
        <v>309</v>
      </c>
      <c r="E537" s="7" t="str">
        <f t="shared" si="24"/>
        <v>Mar</v>
      </c>
      <c r="F537" s="7" t="s">
        <v>1496</v>
      </c>
      <c r="G537" s="7" t="s">
        <v>64</v>
      </c>
      <c r="H537" s="7" t="s">
        <v>65</v>
      </c>
      <c r="I537" s="7" t="s">
        <v>28</v>
      </c>
      <c r="J537" s="7" t="s">
        <v>47</v>
      </c>
      <c r="K537" s="7" t="s">
        <v>53</v>
      </c>
      <c r="L537" s="7">
        <v>3885.53</v>
      </c>
      <c r="M537" s="7">
        <v>4</v>
      </c>
      <c r="N537" s="7">
        <v>0.28000000000000003</v>
      </c>
      <c r="O537" s="7">
        <v>1208.21</v>
      </c>
      <c r="P537" s="7" t="s">
        <v>31</v>
      </c>
      <c r="Q537" s="7" t="s">
        <v>40</v>
      </c>
      <c r="R537" s="7">
        <v>5</v>
      </c>
      <c r="S537" s="7">
        <f t="shared" si="25"/>
        <v>2025</v>
      </c>
      <c r="T537" s="7" t="str">
        <f t="shared" si="26"/>
        <v>Mar</v>
      </c>
    </row>
    <row r="538" spans="2:20" x14ac:dyDescent="0.3">
      <c r="B538" s="7">
        <v>537</v>
      </c>
      <c r="C538" s="7" t="s">
        <v>1497</v>
      </c>
      <c r="D538" s="7" t="s">
        <v>1498</v>
      </c>
      <c r="E538" s="7" t="str">
        <f t="shared" si="24"/>
        <v>Oct</v>
      </c>
      <c r="F538" s="7" t="s">
        <v>1499</v>
      </c>
      <c r="G538" s="7" t="s">
        <v>36</v>
      </c>
      <c r="H538" s="7" t="s">
        <v>65</v>
      </c>
      <c r="I538" s="7" t="s">
        <v>46</v>
      </c>
      <c r="J538" s="7" t="s">
        <v>47</v>
      </c>
      <c r="K538" s="7" t="s">
        <v>76</v>
      </c>
      <c r="L538" s="7">
        <v>3140.31</v>
      </c>
      <c r="M538" s="7">
        <v>4</v>
      </c>
      <c r="N538" s="7">
        <v>0.21</v>
      </c>
      <c r="O538" s="7">
        <v>428.9</v>
      </c>
      <c r="P538" s="7" t="s">
        <v>54</v>
      </c>
      <c r="Q538" s="7" t="s">
        <v>77</v>
      </c>
      <c r="R538" s="7">
        <v>5</v>
      </c>
      <c r="S538" s="7">
        <f t="shared" si="25"/>
        <v>2024</v>
      </c>
      <c r="T538" s="7" t="str">
        <f t="shared" si="26"/>
        <v>Oct</v>
      </c>
    </row>
    <row r="539" spans="2:20" x14ac:dyDescent="0.3">
      <c r="B539" s="7">
        <v>538</v>
      </c>
      <c r="C539" s="7" t="s">
        <v>1500</v>
      </c>
      <c r="D539" s="7" t="s">
        <v>680</v>
      </c>
      <c r="E539" s="7" t="str">
        <f t="shared" si="24"/>
        <v>Dec</v>
      </c>
      <c r="F539" s="7" t="s">
        <v>1501</v>
      </c>
      <c r="G539" s="7" t="s">
        <v>18</v>
      </c>
      <c r="H539" s="7" t="s">
        <v>51</v>
      </c>
      <c r="I539" s="7" t="s">
        <v>20</v>
      </c>
      <c r="J539" s="7" t="s">
        <v>47</v>
      </c>
      <c r="K539" s="7" t="s">
        <v>67</v>
      </c>
      <c r="L539" s="7">
        <v>1806.63</v>
      </c>
      <c r="M539" s="7">
        <v>4</v>
      </c>
      <c r="N539" s="7">
        <v>0.15</v>
      </c>
      <c r="O539" s="7">
        <v>607.11</v>
      </c>
      <c r="P539" s="7" t="s">
        <v>31</v>
      </c>
      <c r="Q539" s="7" t="s">
        <v>77</v>
      </c>
      <c r="R539" s="7">
        <v>3</v>
      </c>
      <c r="S539" s="7">
        <f t="shared" si="25"/>
        <v>2025</v>
      </c>
      <c r="T539" s="7" t="str">
        <f t="shared" si="26"/>
        <v>Dec</v>
      </c>
    </row>
    <row r="540" spans="2:20" x14ac:dyDescent="0.3">
      <c r="B540" s="7">
        <v>539</v>
      </c>
      <c r="C540" s="7" t="s">
        <v>1502</v>
      </c>
      <c r="D540" s="7" t="s">
        <v>1503</v>
      </c>
      <c r="E540" s="7" t="str">
        <f t="shared" si="24"/>
        <v>Dec</v>
      </c>
      <c r="F540" s="7" t="s">
        <v>1504</v>
      </c>
      <c r="G540" s="7" t="s">
        <v>44</v>
      </c>
      <c r="H540" s="7" t="s">
        <v>37</v>
      </c>
      <c r="I540" s="7" t="s">
        <v>59</v>
      </c>
      <c r="J540" s="7" t="s">
        <v>21</v>
      </c>
      <c r="K540" s="7" t="s">
        <v>60</v>
      </c>
      <c r="L540" s="7">
        <v>1047.22</v>
      </c>
      <c r="M540" s="7">
        <v>3</v>
      </c>
      <c r="N540" s="7">
        <v>0.22</v>
      </c>
      <c r="O540" s="7">
        <v>329.58</v>
      </c>
      <c r="P540" s="7" t="s">
        <v>23</v>
      </c>
      <c r="Q540" s="7" t="s">
        <v>86</v>
      </c>
      <c r="R540" s="7">
        <v>3</v>
      </c>
      <c r="S540" s="7">
        <f t="shared" si="25"/>
        <v>2024</v>
      </c>
      <c r="T540" s="7" t="str">
        <f t="shared" si="26"/>
        <v>Dec</v>
      </c>
    </row>
    <row r="541" spans="2:20" x14ac:dyDescent="0.3">
      <c r="B541" s="7">
        <v>540</v>
      </c>
      <c r="C541" s="7" t="s">
        <v>1505</v>
      </c>
      <c r="D541" s="7" t="s">
        <v>272</v>
      </c>
      <c r="E541" s="7" t="str">
        <f t="shared" si="24"/>
        <v>Jun</v>
      </c>
      <c r="F541" s="7" t="s">
        <v>1506</v>
      </c>
      <c r="G541" s="7" t="s">
        <v>18</v>
      </c>
      <c r="H541" s="7" t="s">
        <v>71</v>
      </c>
      <c r="I541" s="7" t="s">
        <v>46</v>
      </c>
      <c r="J541" s="7" t="s">
        <v>29</v>
      </c>
      <c r="K541" s="7" t="s">
        <v>60</v>
      </c>
      <c r="L541" s="7">
        <v>862.84</v>
      </c>
      <c r="M541" s="7">
        <v>1</v>
      </c>
      <c r="N541" s="7">
        <v>0.02</v>
      </c>
      <c r="O541" s="7">
        <v>187.64</v>
      </c>
      <c r="P541" s="7" t="s">
        <v>31</v>
      </c>
      <c r="Q541" s="7" t="s">
        <v>86</v>
      </c>
      <c r="R541" s="7">
        <v>1</v>
      </c>
      <c r="S541" s="7">
        <f t="shared" si="25"/>
        <v>2025</v>
      </c>
      <c r="T541" s="7" t="str">
        <f t="shared" si="26"/>
        <v>Jun</v>
      </c>
    </row>
    <row r="542" spans="2:20" x14ac:dyDescent="0.3">
      <c r="B542" s="7">
        <v>541</v>
      </c>
      <c r="C542" s="7" t="s">
        <v>1507</v>
      </c>
      <c r="D542" s="7" t="s">
        <v>166</v>
      </c>
      <c r="E542" s="7" t="str">
        <f t="shared" si="24"/>
        <v>Dec</v>
      </c>
      <c r="F542" s="7" t="s">
        <v>1508</v>
      </c>
      <c r="G542" s="7" t="s">
        <v>102</v>
      </c>
      <c r="H542" s="7" t="s">
        <v>45</v>
      </c>
      <c r="I542" s="7" t="s">
        <v>46</v>
      </c>
      <c r="J542" s="7" t="s">
        <v>47</v>
      </c>
      <c r="K542" s="7" t="s">
        <v>76</v>
      </c>
      <c r="L542" s="7">
        <v>308.89999999999998</v>
      </c>
      <c r="M542" s="7">
        <v>4</v>
      </c>
      <c r="N542" s="7">
        <v>0.01</v>
      </c>
      <c r="O542" s="7">
        <v>94.03</v>
      </c>
      <c r="P542" s="7" t="s">
        <v>31</v>
      </c>
      <c r="Q542" s="7" t="s">
        <v>40</v>
      </c>
      <c r="R542" s="7">
        <v>3</v>
      </c>
      <c r="S542" s="7">
        <f t="shared" si="25"/>
        <v>2025</v>
      </c>
      <c r="T542" s="7" t="str">
        <f t="shared" si="26"/>
        <v>Dec</v>
      </c>
    </row>
    <row r="543" spans="2:20" x14ac:dyDescent="0.3">
      <c r="B543" s="7">
        <v>542</v>
      </c>
      <c r="C543" s="7" t="s">
        <v>1509</v>
      </c>
      <c r="D543" s="7" t="s">
        <v>1510</v>
      </c>
      <c r="E543" s="7" t="str">
        <f t="shared" si="24"/>
        <v>Nov</v>
      </c>
      <c r="F543" s="7" t="s">
        <v>1438</v>
      </c>
      <c r="G543" s="7" t="s">
        <v>36</v>
      </c>
      <c r="H543" s="7" t="s">
        <v>65</v>
      </c>
      <c r="I543" s="7" t="s">
        <v>116</v>
      </c>
      <c r="J543" s="7" t="s">
        <v>81</v>
      </c>
      <c r="K543" s="7" t="s">
        <v>82</v>
      </c>
      <c r="L543" s="7">
        <v>1148.58</v>
      </c>
      <c r="M543" s="7">
        <v>5</v>
      </c>
      <c r="N543" s="7">
        <v>0.28999999999999998</v>
      </c>
      <c r="O543" s="7">
        <v>198.92</v>
      </c>
      <c r="P543" s="7" t="s">
        <v>23</v>
      </c>
      <c r="Q543" s="7" t="s">
        <v>40</v>
      </c>
      <c r="R543" s="7">
        <v>6</v>
      </c>
      <c r="S543" s="7">
        <f t="shared" si="25"/>
        <v>2024</v>
      </c>
      <c r="T543" s="7" t="str">
        <f t="shared" si="26"/>
        <v>Nov</v>
      </c>
    </row>
    <row r="544" spans="2:20" x14ac:dyDescent="0.3">
      <c r="B544" s="7">
        <v>543</v>
      </c>
      <c r="C544" s="7" t="s">
        <v>1511</v>
      </c>
      <c r="D544" s="7" t="s">
        <v>26</v>
      </c>
      <c r="E544" s="7" t="str">
        <f t="shared" si="24"/>
        <v>Jun</v>
      </c>
      <c r="F544" s="7" t="s">
        <v>1512</v>
      </c>
      <c r="G544" s="7" t="s">
        <v>44</v>
      </c>
      <c r="H544" s="7" t="s">
        <v>71</v>
      </c>
      <c r="I544" s="7" t="s">
        <v>59</v>
      </c>
      <c r="J544" s="7" t="s">
        <v>21</v>
      </c>
      <c r="K544" s="7" t="s">
        <v>60</v>
      </c>
      <c r="L544" s="7">
        <v>4839.71</v>
      </c>
      <c r="M544" s="7">
        <v>5</v>
      </c>
      <c r="N544" s="7">
        <v>0.23</v>
      </c>
      <c r="O544" s="7">
        <v>1167.96</v>
      </c>
      <c r="P544" s="7" t="s">
        <v>31</v>
      </c>
      <c r="Q544" s="7" t="s">
        <v>77</v>
      </c>
      <c r="R544" s="7">
        <v>8</v>
      </c>
      <c r="S544" s="7">
        <f t="shared" si="25"/>
        <v>2024</v>
      </c>
      <c r="T544" s="7" t="str">
        <f t="shared" si="26"/>
        <v>Jun</v>
      </c>
    </row>
    <row r="545" spans="2:20" x14ac:dyDescent="0.3">
      <c r="B545" s="7">
        <v>544</v>
      </c>
      <c r="C545" s="7" t="s">
        <v>1513</v>
      </c>
      <c r="D545" s="7" t="s">
        <v>1514</v>
      </c>
      <c r="E545" s="7" t="str">
        <f t="shared" si="24"/>
        <v>Aug</v>
      </c>
      <c r="F545" s="7" t="s">
        <v>1515</v>
      </c>
      <c r="G545" s="7" t="s">
        <v>64</v>
      </c>
      <c r="H545" s="7" t="s">
        <v>71</v>
      </c>
      <c r="I545" s="7" t="s">
        <v>46</v>
      </c>
      <c r="J545" s="7" t="s">
        <v>81</v>
      </c>
      <c r="K545" s="7" t="s">
        <v>82</v>
      </c>
      <c r="L545" s="7">
        <v>3539.63</v>
      </c>
      <c r="M545" s="7">
        <v>5</v>
      </c>
      <c r="N545" s="7">
        <v>0.02</v>
      </c>
      <c r="O545" s="7">
        <v>844.5</v>
      </c>
      <c r="P545" s="7" t="s">
        <v>54</v>
      </c>
      <c r="Q545" s="7" t="s">
        <v>86</v>
      </c>
      <c r="R545" s="7">
        <v>7</v>
      </c>
      <c r="S545" s="7">
        <f t="shared" si="25"/>
        <v>2024</v>
      </c>
      <c r="T545" s="7" t="str">
        <f t="shared" si="26"/>
        <v>Aug</v>
      </c>
    </row>
    <row r="546" spans="2:20" x14ac:dyDescent="0.3">
      <c r="B546" s="7">
        <v>545</v>
      </c>
      <c r="C546" s="7" t="s">
        <v>1516</v>
      </c>
      <c r="D546" s="7" t="s">
        <v>652</v>
      </c>
      <c r="E546" s="7" t="str">
        <f t="shared" si="24"/>
        <v>Jun</v>
      </c>
      <c r="F546" s="7" t="s">
        <v>482</v>
      </c>
      <c r="G546" s="7" t="s">
        <v>36</v>
      </c>
      <c r="H546" s="7" t="s">
        <v>51</v>
      </c>
      <c r="I546" s="7" t="s">
        <v>20</v>
      </c>
      <c r="J546" s="7" t="s">
        <v>29</v>
      </c>
      <c r="K546" s="7" t="s">
        <v>60</v>
      </c>
      <c r="L546" s="7">
        <v>1170.67</v>
      </c>
      <c r="M546" s="7">
        <v>2</v>
      </c>
      <c r="N546" s="7">
        <v>0.3</v>
      </c>
      <c r="O546" s="7">
        <v>366.2</v>
      </c>
      <c r="P546" s="7" t="s">
        <v>54</v>
      </c>
      <c r="Q546" s="7" t="s">
        <v>86</v>
      </c>
      <c r="R546" s="7">
        <v>6</v>
      </c>
      <c r="S546" s="7">
        <f t="shared" si="25"/>
        <v>2024</v>
      </c>
      <c r="T546" s="7" t="str">
        <f t="shared" si="26"/>
        <v>Jun</v>
      </c>
    </row>
    <row r="547" spans="2:20" x14ac:dyDescent="0.3">
      <c r="B547" s="7">
        <v>546</v>
      </c>
      <c r="C547" s="7" t="s">
        <v>1517</v>
      </c>
      <c r="D547" s="7" t="s">
        <v>450</v>
      </c>
      <c r="E547" s="7" t="str">
        <f t="shared" si="24"/>
        <v>Apr</v>
      </c>
      <c r="F547" s="7" t="s">
        <v>1518</v>
      </c>
      <c r="G547" s="7" t="s">
        <v>18</v>
      </c>
      <c r="H547" s="7" t="s">
        <v>45</v>
      </c>
      <c r="I547" s="7" t="s">
        <v>52</v>
      </c>
      <c r="J547" s="7" t="s">
        <v>21</v>
      </c>
      <c r="K547" s="7" t="s">
        <v>60</v>
      </c>
      <c r="L547" s="7">
        <v>2497.62</v>
      </c>
      <c r="M547" s="7">
        <v>5</v>
      </c>
      <c r="N547" s="7">
        <v>0</v>
      </c>
      <c r="O547" s="7">
        <v>704.92</v>
      </c>
      <c r="P547" s="7" t="s">
        <v>54</v>
      </c>
      <c r="Q547" s="7" t="s">
        <v>32</v>
      </c>
      <c r="R547" s="7">
        <v>10</v>
      </c>
      <c r="S547" s="7">
        <f t="shared" si="25"/>
        <v>2025</v>
      </c>
      <c r="T547" s="7" t="str">
        <f t="shared" si="26"/>
        <v>Apr</v>
      </c>
    </row>
    <row r="548" spans="2:20" x14ac:dyDescent="0.3">
      <c r="B548" s="7">
        <v>547</v>
      </c>
      <c r="C548" s="7" t="s">
        <v>1519</v>
      </c>
      <c r="D548" s="7" t="s">
        <v>1520</v>
      </c>
      <c r="E548" s="7" t="str">
        <f t="shared" si="24"/>
        <v>Dec</v>
      </c>
      <c r="F548" s="7" t="s">
        <v>1521</v>
      </c>
      <c r="G548" s="7" t="s">
        <v>44</v>
      </c>
      <c r="H548" s="7" t="s">
        <v>65</v>
      </c>
      <c r="I548" s="7" t="s">
        <v>59</v>
      </c>
      <c r="J548" s="7" t="s">
        <v>66</v>
      </c>
      <c r="K548" s="7" t="s">
        <v>30</v>
      </c>
      <c r="L548" s="7">
        <v>3311.56</v>
      </c>
      <c r="M548" s="7">
        <v>4</v>
      </c>
      <c r="N548" s="7">
        <v>0.21</v>
      </c>
      <c r="O548" s="7">
        <v>927.1</v>
      </c>
      <c r="P548" s="7" t="s">
        <v>54</v>
      </c>
      <c r="Q548" s="7" t="s">
        <v>24</v>
      </c>
      <c r="R548" s="7">
        <v>6</v>
      </c>
      <c r="S548" s="7">
        <f t="shared" si="25"/>
        <v>2025</v>
      </c>
      <c r="T548" s="7" t="str">
        <f t="shared" si="26"/>
        <v>Dec</v>
      </c>
    </row>
    <row r="549" spans="2:20" x14ac:dyDescent="0.3">
      <c r="B549" s="7">
        <v>548</v>
      </c>
      <c r="C549" s="7" t="s">
        <v>1522</v>
      </c>
      <c r="D549" s="7" t="s">
        <v>418</v>
      </c>
      <c r="E549" s="7" t="str">
        <f t="shared" si="24"/>
        <v>Jun</v>
      </c>
      <c r="F549" s="7" t="s">
        <v>1523</v>
      </c>
      <c r="G549" s="7" t="s">
        <v>102</v>
      </c>
      <c r="H549" s="7" t="s">
        <v>37</v>
      </c>
      <c r="I549" s="7" t="s">
        <v>46</v>
      </c>
      <c r="J549" s="7" t="s">
        <v>21</v>
      </c>
      <c r="K549" s="7" t="s">
        <v>76</v>
      </c>
      <c r="L549" s="7">
        <v>2926.63</v>
      </c>
      <c r="M549" s="7">
        <v>3</v>
      </c>
      <c r="N549" s="7">
        <v>0.11</v>
      </c>
      <c r="O549" s="7">
        <v>412.95</v>
      </c>
      <c r="P549" s="7" t="s">
        <v>54</v>
      </c>
      <c r="Q549" s="7" t="s">
        <v>40</v>
      </c>
      <c r="R549" s="7">
        <v>8</v>
      </c>
      <c r="S549" s="7">
        <f t="shared" si="25"/>
        <v>2024</v>
      </c>
      <c r="T549" s="7" t="str">
        <f t="shared" si="26"/>
        <v>Jun</v>
      </c>
    </row>
    <row r="550" spans="2:20" x14ac:dyDescent="0.3">
      <c r="B550" s="7">
        <v>549</v>
      </c>
      <c r="C550" s="7" t="s">
        <v>1524</v>
      </c>
      <c r="D550" s="7" t="s">
        <v>668</v>
      </c>
      <c r="E550" s="7" t="str">
        <f t="shared" si="24"/>
        <v>Apr</v>
      </c>
      <c r="F550" s="7" t="s">
        <v>1525</v>
      </c>
      <c r="G550" s="7" t="s">
        <v>44</v>
      </c>
      <c r="H550" s="7" t="s">
        <v>51</v>
      </c>
      <c r="I550" s="7" t="s">
        <v>46</v>
      </c>
      <c r="J550" s="7" t="s">
        <v>66</v>
      </c>
      <c r="K550" s="7" t="s">
        <v>76</v>
      </c>
      <c r="L550" s="7">
        <v>2399.69</v>
      </c>
      <c r="M550" s="7">
        <v>4</v>
      </c>
      <c r="N550" s="7">
        <v>0.09</v>
      </c>
      <c r="O550" s="7">
        <v>560.20000000000005</v>
      </c>
      <c r="P550" s="7" t="s">
        <v>23</v>
      </c>
      <c r="Q550" s="7" t="s">
        <v>24</v>
      </c>
      <c r="R550" s="7">
        <v>10</v>
      </c>
      <c r="S550" s="7">
        <f t="shared" si="25"/>
        <v>2025</v>
      </c>
      <c r="T550" s="7" t="str">
        <f t="shared" si="26"/>
        <v>Apr</v>
      </c>
    </row>
    <row r="551" spans="2:20" x14ac:dyDescent="0.3">
      <c r="B551" s="7">
        <v>550</v>
      </c>
      <c r="C551" s="7" t="s">
        <v>1526</v>
      </c>
      <c r="D551" s="7" t="s">
        <v>1527</v>
      </c>
      <c r="E551" s="7" t="str">
        <f t="shared" si="24"/>
        <v>Dec</v>
      </c>
      <c r="F551" s="7" t="s">
        <v>1528</v>
      </c>
      <c r="G551" s="7" t="s">
        <v>64</v>
      </c>
      <c r="H551" s="7" t="s">
        <v>45</v>
      </c>
      <c r="I551" s="7" t="s">
        <v>116</v>
      </c>
      <c r="J551" s="7" t="s">
        <v>21</v>
      </c>
      <c r="K551" s="7" t="s">
        <v>67</v>
      </c>
      <c r="L551" s="7">
        <v>989.26</v>
      </c>
      <c r="M551" s="7">
        <v>3</v>
      </c>
      <c r="N551" s="7">
        <v>0.18</v>
      </c>
      <c r="O551" s="7">
        <v>109.85</v>
      </c>
      <c r="P551" s="7" t="s">
        <v>23</v>
      </c>
      <c r="Q551" s="7" t="s">
        <v>32</v>
      </c>
      <c r="R551" s="7">
        <v>3</v>
      </c>
      <c r="S551" s="7">
        <f t="shared" si="25"/>
        <v>2025</v>
      </c>
      <c r="T551" s="7" t="str">
        <f t="shared" si="26"/>
        <v>Dec</v>
      </c>
    </row>
    <row r="552" spans="2:20" x14ac:dyDescent="0.3">
      <c r="B552" s="7">
        <v>551</v>
      </c>
      <c r="C552" s="7" t="s">
        <v>1529</v>
      </c>
      <c r="D552" s="7" t="s">
        <v>364</v>
      </c>
      <c r="E552" s="7" t="str">
        <f t="shared" si="24"/>
        <v>May</v>
      </c>
      <c r="F552" s="7" t="s">
        <v>1530</v>
      </c>
      <c r="G552" s="7" t="s">
        <v>18</v>
      </c>
      <c r="H552" s="7" t="s">
        <v>51</v>
      </c>
      <c r="I552" s="7" t="s">
        <v>116</v>
      </c>
      <c r="J552" s="7" t="s">
        <v>66</v>
      </c>
      <c r="K552" s="7" t="s">
        <v>82</v>
      </c>
      <c r="L552" s="7">
        <v>827.07</v>
      </c>
      <c r="M552" s="7">
        <v>1</v>
      </c>
      <c r="N552" s="7">
        <v>0.1</v>
      </c>
      <c r="O552" s="7">
        <v>155.88999999999999</v>
      </c>
      <c r="P552" s="7" t="s">
        <v>31</v>
      </c>
      <c r="Q552" s="7" t="s">
        <v>77</v>
      </c>
      <c r="R552" s="7">
        <v>2</v>
      </c>
      <c r="S552" s="7">
        <f t="shared" si="25"/>
        <v>2024</v>
      </c>
      <c r="T552" s="7" t="str">
        <f t="shared" si="26"/>
        <v>May</v>
      </c>
    </row>
    <row r="553" spans="2:20" x14ac:dyDescent="0.3">
      <c r="B553" s="7">
        <v>552</v>
      </c>
      <c r="C553" s="7" t="s">
        <v>1531</v>
      </c>
      <c r="D553" s="7" t="s">
        <v>1532</v>
      </c>
      <c r="E553" s="7" t="str">
        <f t="shared" si="24"/>
        <v>Jul</v>
      </c>
      <c r="F553" s="7" t="s">
        <v>1533</v>
      </c>
      <c r="G553" s="7" t="s">
        <v>64</v>
      </c>
      <c r="H553" s="7" t="s">
        <v>45</v>
      </c>
      <c r="I553" s="7" t="s">
        <v>52</v>
      </c>
      <c r="J553" s="7" t="s">
        <v>47</v>
      </c>
      <c r="K553" s="7" t="s">
        <v>60</v>
      </c>
      <c r="L553" s="7">
        <v>862.12</v>
      </c>
      <c r="M553" s="7">
        <v>2</v>
      </c>
      <c r="N553" s="7">
        <v>0.22</v>
      </c>
      <c r="O553" s="7">
        <v>148.03</v>
      </c>
      <c r="P553" s="7" t="s">
        <v>23</v>
      </c>
      <c r="Q553" s="7" t="s">
        <v>40</v>
      </c>
      <c r="R553" s="7">
        <v>8</v>
      </c>
      <c r="S553" s="7">
        <f t="shared" si="25"/>
        <v>2024</v>
      </c>
      <c r="T553" s="7" t="str">
        <f t="shared" si="26"/>
        <v>Jul</v>
      </c>
    </row>
    <row r="554" spans="2:20" x14ac:dyDescent="0.3">
      <c r="B554" s="7">
        <v>553</v>
      </c>
      <c r="C554" s="7" t="s">
        <v>1534</v>
      </c>
      <c r="D554" s="7" t="s">
        <v>241</v>
      </c>
      <c r="E554" s="7" t="str">
        <f t="shared" si="24"/>
        <v>Dec</v>
      </c>
      <c r="F554" s="7" t="s">
        <v>1535</v>
      </c>
      <c r="G554" s="7" t="s">
        <v>44</v>
      </c>
      <c r="H554" s="7" t="s">
        <v>19</v>
      </c>
      <c r="I554" s="7" t="s">
        <v>28</v>
      </c>
      <c r="J554" s="7" t="s">
        <v>81</v>
      </c>
      <c r="K554" s="7" t="s">
        <v>53</v>
      </c>
      <c r="L554" s="7">
        <v>2275.9499999999998</v>
      </c>
      <c r="M554" s="7">
        <v>5</v>
      </c>
      <c r="N554" s="7">
        <v>0.11</v>
      </c>
      <c r="O554" s="7">
        <v>583.87</v>
      </c>
      <c r="P554" s="7" t="s">
        <v>54</v>
      </c>
      <c r="Q554" s="7" t="s">
        <v>40</v>
      </c>
      <c r="R554" s="7">
        <v>1</v>
      </c>
      <c r="S554" s="7">
        <f t="shared" si="25"/>
        <v>2024</v>
      </c>
      <c r="T554" s="7" t="str">
        <f t="shared" si="26"/>
        <v>Dec</v>
      </c>
    </row>
    <row r="555" spans="2:20" x14ac:dyDescent="0.3">
      <c r="B555" s="7">
        <v>554</v>
      </c>
      <c r="C555" s="7" t="s">
        <v>1536</v>
      </c>
      <c r="D555" s="7" t="s">
        <v>1537</v>
      </c>
      <c r="E555" s="7" t="str">
        <f t="shared" si="24"/>
        <v>Jul</v>
      </c>
      <c r="F555" s="7" t="s">
        <v>1538</v>
      </c>
      <c r="G555" s="7" t="s">
        <v>44</v>
      </c>
      <c r="H555" s="7" t="s">
        <v>37</v>
      </c>
      <c r="I555" s="7" t="s">
        <v>59</v>
      </c>
      <c r="J555" s="7" t="s">
        <v>81</v>
      </c>
      <c r="K555" s="7" t="s">
        <v>67</v>
      </c>
      <c r="L555" s="7">
        <v>1712.79</v>
      </c>
      <c r="M555" s="7">
        <v>3</v>
      </c>
      <c r="N555" s="7">
        <v>0.19</v>
      </c>
      <c r="O555" s="7">
        <v>517.67999999999995</v>
      </c>
      <c r="P555" s="7" t="s">
        <v>23</v>
      </c>
      <c r="Q555" s="7" t="s">
        <v>32</v>
      </c>
      <c r="R555" s="7">
        <v>9</v>
      </c>
      <c r="S555" s="7">
        <f t="shared" si="25"/>
        <v>2024</v>
      </c>
      <c r="T555" s="7" t="str">
        <f t="shared" si="26"/>
        <v>Jul</v>
      </c>
    </row>
    <row r="556" spans="2:20" x14ac:dyDescent="0.3">
      <c r="B556" s="7">
        <v>555</v>
      </c>
      <c r="C556" s="7" t="s">
        <v>1539</v>
      </c>
      <c r="D556" s="7" t="s">
        <v>1540</v>
      </c>
      <c r="E556" s="7" t="str">
        <f t="shared" si="24"/>
        <v>Jan</v>
      </c>
      <c r="F556" s="7" t="s">
        <v>1541</v>
      </c>
      <c r="G556" s="7" t="s">
        <v>102</v>
      </c>
      <c r="H556" s="7" t="s">
        <v>51</v>
      </c>
      <c r="I556" s="7" t="s">
        <v>116</v>
      </c>
      <c r="J556" s="7" t="s">
        <v>47</v>
      </c>
      <c r="K556" s="7" t="s">
        <v>67</v>
      </c>
      <c r="L556" s="7">
        <v>2407.66</v>
      </c>
      <c r="M556" s="7">
        <v>3</v>
      </c>
      <c r="N556" s="7">
        <v>0.01</v>
      </c>
      <c r="O556" s="7">
        <v>530.32000000000005</v>
      </c>
      <c r="P556" s="7" t="s">
        <v>31</v>
      </c>
      <c r="Q556" s="7" t="s">
        <v>86</v>
      </c>
      <c r="R556" s="7">
        <v>1</v>
      </c>
      <c r="S556" s="7">
        <f t="shared" si="25"/>
        <v>2024</v>
      </c>
      <c r="T556" s="7" t="str">
        <f t="shared" si="26"/>
        <v>Jan</v>
      </c>
    </row>
    <row r="557" spans="2:20" x14ac:dyDescent="0.3">
      <c r="B557" s="7">
        <v>556</v>
      </c>
      <c r="C557" s="7" t="s">
        <v>1542</v>
      </c>
      <c r="D557" s="7" t="s">
        <v>1543</v>
      </c>
      <c r="E557" s="7" t="str">
        <f t="shared" si="24"/>
        <v>Jan</v>
      </c>
      <c r="F557" s="7" t="s">
        <v>1544</v>
      </c>
      <c r="G557" s="7" t="s">
        <v>36</v>
      </c>
      <c r="H557" s="7" t="s">
        <v>65</v>
      </c>
      <c r="I557" s="7" t="s">
        <v>59</v>
      </c>
      <c r="J557" s="7" t="s">
        <v>47</v>
      </c>
      <c r="K557" s="7" t="s">
        <v>67</v>
      </c>
      <c r="L557" s="7">
        <v>1249.46</v>
      </c>
      <c r="M557" s="7">
        <v>2</v>
      </c>
      <c r="N557" s="7">
        <v>0.22</v>
      </c>
      <c r="O557" s="7">
        <v>144.33000000000001</v>
      </c>
      <c r="P557" s="7" t="s">
        <v>54</v>
      </c>
      <c r="Q557" s="7" t="s">
        <v>77</v>
      </c>
      <c r="R557" s="7">
        <v>3</v>
      </c>
      <c r="S557" s="7">
        <f t="shared" si="25"/>
        <v>2025</v>
      </c>
      <c r="T557" s="7" t="str">
        <f t="shared" si="26"/>
        <v>Jan</v>
      </c>
    </row>
    <row r="558" spans="2:20" x14ac:dyDescent="0.3">
      <c r="B558" s="7">
        <v>557</v>
      </c>
      <c r="C558" s="7" t="s">
        <v>1545</v>
      </c>
      <c r="D558" s="7" t="s">
        <v>1546</v>
      </c>
      <c r="E558" s="7" t="str">
        <f t="shared" si="24"/>
        <v>Jul</v>
      </c>
      <c r="F558" s="7" t="s">
        <v>1547</v>
      </c>
      <c r="G558" s="7" t="s">
        <v>44</v>
      </c>
      <c r="H558" s="7" t="s">
        <v>37</v>
      </c>
      <c r="I558" s="7" t="s">
        <v>59</v>
      </c>
      <c r="J558" s="7" t="s">
        <v>47</v>
      </c>
      <c r="K558" s="7" t="s">
        <v>39</v>
      </c>
      <c r="L558" s="7">
        <v>1865.26</v>
      </c>
      <c r="M558" s="7">
        <v>4</v>
      </c>
      <c r="N558" s="7">
        <v>0.17</v>
      </c>
      <c r="O558" s="7">
        <v>218.04</v>
      </c>
      <c r="P558" s="7" t="s">
        <v>31</v>
      </c>
      <c r="Q558" s="7" t="s">
        <v>77</v>
      </c>
      <c r="R558" s="7">
        <v>8</v>
      </c>
      <c r="S558" s="7">
        <f t="shared" si="25"/>
        <v>2024</v>
      </c>
      <c r="T558" s="7" t="str">
        <f t="shared" si="26"/>
        <v>Jul</v>
      </c>
    </row>
    <row r="559" spans="2:20" x14ac:dyDescent="0.3">
      <c r="B559" s="7">
        <v>558</v>
      </c>
      <c r="C559" s="7" t="s">
        <v>1548</v>
      </c>
      <c r="D559" s="7" t="s">
        <v>496</v>
      </c>
      <c r="E559" s="7" t="str">
        <f t="shared" si="24"/>
        <v>Jun</v>
      </c>
      <c r="F559" s="7" t="s">
        <v>1549</v>
      </c>
      <c r="G559" s="7" t="s">
        <v>102</v>
      </c>
      <c r="H559" s="7" t="s">
        <v>71</v>
      </c>
      <c r="I559" s="7" t="s">
        <v>106</v>
      </c>
      <c r="J559" s="7" t="s">
        <v>81</v>
      </c>
      <c r="K559" s="7" t="s">
        <v>82</v>
      </c>
      <c r="L559" s="7">
        <v>2880.6</v>
      </c>
      <c r="M559" s="7">
        <v>4</v>
      </c>
      <c r="N559" s="7">
        <v>0.11</v>
      </c>
      <c r="O559" s="7">
        <v>587.54</v>
      </c>
      <c r="P559" s="7" t="s">
        <v>54</v>
      </c>
      <c r="Q559" s="7" t="s">
        <v>77</v>
      </c>
      <c r="R559" s="7">
        <v>3</v>
      </c>
      <c r="S559" s="7">
        <f t="shared" si="25"/>
        <v>2025</v>
      </c>
      <c r="T559" s="7" t="str">
        <f t="shared" si="26"/>
        <v>Jun</v>
      </c>
    </row>
    <row r="560" spans="2:20" x14ac:dyDescent="0.3">
      <c r="B560" s="7">
        <v>559</v>
      </c>
      <c r="C560" s="7" t="s">
        <v>1550</v>
      </c>
      <c r="D560" s="7" t="s">
        <v>1413</v>
      </c>
      <c r="E560" s="7" t="str">
        <f t="shared" si="24"/>
        <v>Aug</v>
      </c>
      <c r="F560" s="7" t="s">
        <v>1551</v>
      </c>
      <c r="G560" s="7" t="s">
        <v>18</v>
      </c>
      <c r="H560" s="7" t="s">
        <v>45</v>
      </c>
      <c r="I560" s="7" t="s">
        <v>59</v>
      </c>
      <c r="J560" s="7" t="s">
        <v>29</v>
      </c>
      <c r="K560" s="7" t="s">
        <v>53</v>
      </c>
      <c r="L560" s="7">
        <v>2937.23</v>
      </c>
      <c r="M560" s="7">
        <v>5</v>
      </c>
      <c r="N560" s="7">
        <v>0.09</v>
      </c>
      <c r="O560" s="7">
        <v>711.2</v>
      </c>
      <c r="P560" s="7" t="s">
        <v>54</v>
      </c>
      <c r="Q560" s="7" t="s">
        <v>77</v>
      </c>
      <c r="R560" s="7">
        <v>3</v>
      </c>
      <c r="S560" s="7">
        <f t="shared" si="25"/>
        <v>2024</v>
      </c>
      <c r="T560" s="7" t="str">
        <f t="shared" si="26"/>
        <v>Aug</v>
      </c>
    </row>
    <row r="561" spans="2:20" x14ac:dyDescent="0.3">
      <c r="B561" s="7">
        <v>560</v>
      </c>
      <c r="C561" s="7" t="s">
        <v>1552</v>
      </c>
      <c r="D561" s="7" t="s">
        <v>841</v>
      </c>
      <c r="E561" s="7" t="str">
        <f t="shared" si="24"/>
        <v>Apr</v>
      </c>
      <c r="F561" s="7" t="s">
        <v>1553</v>
      </c>
      <c r="G561" s="7" t="s">
        <v>18</v>
      </c>
      <c r="H561" s="7" t="s">
        <v>37</v>
      </c>
      <c r="I561" s="7" t="s">
        <v>106</v>
      </c>
      <c r="J561" s="7" t="s">
        <v>29</v>
      </c>
      <c r="K561" s="7" t="s">
        <v>76</v>
      </c>
      <c r="L561" s="7">
        <v>751.64</v>
      </c>
      <c r="M561" s="7">
        <v>1</v>
      </c>
      <c r="N561" s="7">
        <v>0.12</v>
      </c>
      <c r="O561" s="7">
        <v>109.05</v>
      </c>
      <c r="P561" s="7" t="s">
        <v>54</v>
      </c>
      <c r="Q561" s="7" t="s">
        <v>32</v>
      </c>
      <c r="R561" s="7">
        <v>7</v>
      </c>
      <c r="S561" s="7">
        <f t="shared" si="25"/>
        <v>2024</v>
      </c>
      <c r="T561" s="7" t="str">
        <f t="shared" si="26"/>
        <v>Apr</v>
      </c>
    </row>
    <row r="562" spans="2:20" x14ac:dyDescent="0.3">
      <c r="B562" s="7">
        <v>561</v>
      </c>
      <c r="C562" s="7" t="s">
        <v>1554</v>
      </c>
      <c r="D562" s="7" t="s">
        <v>1555</v>
      </c>
      <c r="E562" s="7" t="str">
        <f t="shared" si="24"/>
        <v>Apr</v>
      </c>
      <c r="F562" s="7" t="s">
        <v>1556</v>
      </c>
      <c r="G562" s="7" t="s">
        <v>36</v>
      </c>
      <c r="H562" s="7" t="s">
        <v>37</v>
      </c>
      <c r="I562" s="7" t="s">
        <v>46</v>
      </c>
      <c r="J562" s="7" t="s">
        <v>66</v>
      </c>
      <c r="K562" s="7" t="s">
        <v>22</v>
      </c>
      <c r="L562" s="7">
        <v>3852.32</v>
      </c>
      <c r="M562" s="7">
        <v>5</v>
      </c>
      <c r="N562" s="7">
        <v>0.1</v>
      </c>
      <c r="O562" s="7">
        <v>506.77</v>
      </c>
      <c r="P562" s="7" t="s">
        <v>54</v>
      </c>
      <c r="Q562" s="7" t="s">
        <v>77</v>
      </c>
      <c r="R562" s="7">
        <v>6</v>
      </c>
      <c r="S562" s="7">
        <f t="shared" si="25"/>
        <v>2024</v>
      </c>
      <c r="T562" s="7" t="str">
        <f t="shared" si="26"/>
        <v>Apr</v>
      </c>
    </row>
    <row r="563" spans="2:20" x14ac:dyDescent="0.3">
      <c r="B563" s="7">
        <v>562</v>
      </c>
      <c r="C563" s="7" t="s">
        <v>1557</v>
      </c>
      <c r="D563" s="7" t="s">
        <v>1488</v>
      </c>
      <c r="E563" s="7" t="str">
        <f t="shared" si="24"/>
        <v>Aug</v>
      </c>
      <c r="F563" s="7" t="s">
        <v>1558</v>
      </c>
      <c r="G563" s="7" t="s">
        <v>102</v>
      </c>
      <c r="H563" s="7" t="s">
        <v>51</v>
      </c>
      <c r="I563" s="7" t="s">
        <v>59</v>
      </c>
      <c r="J563" s="7" t="s">
        <v>47</v>
      </c>
      <c r="K563" s="7" t="s">
        <v>72</v>
      </c>
      <c r="L563" s="7">
        <v>1506.42</v>
      </c>
      <c r="M563" s="7">
        <v>4</v>
      </c>
      <c r="N563" s="7">
        <v>7.0000000000000007E-2</v>
      </c>
      <c r="O563" s="7">
        <v>367.39</v>
      </c>
      <c r="P563" s="7" t="s">
        <v>31</v>
      </c>
      <c r="Q563" s="7" t="s">
        <v>77</v>
      </c>
      <c r="R563" s="7">
        <v>2</v>
      </c>
      <c r="S563" s="7">
        <f t="shared" si="25"/>
        <v>2024</v>
      </c>
      <c r="T563" s="7" t="str">
        <f t="shared" si="26"/>
        <v>Aug</v>
      </c>
    </row>
    <row r="564" spans="2:20" x14ac:dyDescent="0.3">
      <c r="B564" s="7">
        <v>563</v>
      </c>
      <c r="C564" s="7" t="s">
        <v>1559</v>
      </c>
      <c r="D564" s="7" t="s">
        <v>1099</v>
      </c>
      <c r="E564" s="7" t="str">
        <f t="shared" si="24"/>
        <v>May</v>
      </c>
      <c r="F564" s="7" t="s">
        <v>1560</v>
      </c>
      <c r="G564" s="7" t="s">
        <v>18</v>
      </c>
      <c r="H564" s="7" t="s">
        <v>19</v>
      </c>
      <c r="I564" s="7" t="s">
        <v>38</v>
      </c>
      <c r="J564" s="7" t="s">
        <v>29</v>
      </c>
      <c r="K564" s="7" t="s">
        <v>22</v>
      </c>
      <c r="L564" s="7">
        <v>393.65</v>
      </c>
      <c r="M564" s="7">
        <v>1</v>
      </c>
      <c r="N564" s="7">
        <v>0.08</v>
      </c>
      <c r="O564" s="7">
        <v>92.17</v>
      </c>
      <c r="P564" s="7" t="s">
        <v>54</v>
      </c>
      <c r="Q564" s="7" t="s">
        <v>40</v>
      </c>
      <c r="R564" s="7">
        <v>7</v>
      </c>
      <c r="S564" s="7">
        <f t="shared" si="25"/>
        <v>2024</v>
      </c>
      <c r="T564" s="7" t="str">
        <f t="shared" si="26"/>
        <v>May</v>
      </c>
    </row>
    <row r="565" spans="2:20" x14ac:dyDescent="0.3">
      <c r="B565" s="7">
        <v>564</v>
      </c>
      <c r="C565" s="7" t="s">
        <v>1561</v>
      </c>
      <c r="D565" s="7" t="s">
        <v>1540</v>
      </c>
      <c r="E565" s="7" t="str">
        <f t="shared" si="24"/>
        <v>Jan</v>
      </c>
      <c r="F565" s="7" t="s">
        <v>1562</v>
      </c>
      <c r="G565" s="7" t="s">
        <v>18</v>
      </c>
      <c r="H565" s="7" t="s">
        <v>71</v>
      </c>
      <c r="I565" s="7" t="s">
        <v>28</v>
      </c>
      <c r="J565" s="7" t="s">
        <v>47</v>
      </c>
      <c r="K565" s="7" t="s">
        <v>53</v>
      </c>
      <c r="L565" s="7">
        <v>2617.2800000000002</v>
      </c>
      <c r="M565" s="7">
        <v>4</v>
      </c>
      <c r="N565" s="7">
        <v>0.2</v>
      </c>
      <c r="O565" s="7">
        <v>306.33</v>
      </c>
      <c r="P565" s="7" t="s">
        <v>54</v>
      </c>
      <c r="Q565" s="7" t="s">
        <v>32</v>
      </c>
      <c r="R565" s="7">
        <v>6</v>
      </c>
      <c r="S565" s="7">
        <f t="shared" si="25"/>
        <v>2024</v>
      </c>
      <c r="T565" s="7" t="str">
        <f t="shared" si="26"/>
        <v>Jan</v>
      </c>
    </row>
    <row r="566" spans="2:20" x14ac:dyDescent="0.3">
      <c r="B566" s="7">
        <v>565</v>
      </c>
      <c r="C566" s="7" t="s">
        <v>1563</v>
      </c>
      <c r="D566" s="7" t="s">
        <v>1564</v>
      </c>
      <c r="E566" s="7" t="str">
        <f t="shared" si="24"/>
        <v>Nov</v>
      </c>
      <c r="F566" s="7" t="s">
        <v>1565</v>
      </c>
      <c r="G566" s="7" t="s">
        <v>64</v>
      </c>
      <c r="H566" s="7" t="s">
        <v>45</v>
      </c>
      <c r="I566" s="7" t="s">
        <v>106</v>
      </c>
      <c r="J566" s="7" t="s">
        <v>66</v>
      </c>
      <c r="K566" s="7" t="s">
        <v>22</v>
      </c>
      <c r="L566" s="7">
        <v>934.71</v>
      </c>
      <c r="M566" s="7">
        <v>2</v>
      </c>
      <c r="N566" s="7">
        <v>0.21</v>
      </c>
      <c r="O566" s="7">
        <v>242.85</v>
      </c>
      <c r="P566" s="7" t="s">
        <v>31</v>
      </c>
      <c r="Q566" s="7" t="s">
        <v>32</v>
      </c>
      <c r="R566" s="7">
        <v>9</v>
      </c>
      <c r="S566" s="7">
        <f t="shared" si="25"/>
        <v>2025</v>
      </c>
      <c r="T566" s="7" t="str">
        <f t="shared" si="26"/>
        <v>Nov</v>
      </c>
    </row>
    <row r="567" spans="2:20" x14ac:dyDescent="0.3">
      <c r="B567" s="7">
        <v>566</v>
      </c>
      <c r="C567" s="7" t="s">
        <v>1566</v>
      </c>
      <c r="D567" s="7" t="s">
        <v>1567</v>
      </c>
      <c r="E567" s="7" t="str">
        <f t="shared" si="24"/>
        <v>Jun</v>
      </c>
      <c r="F567" s="7" t="s">
        <v>1568</v>
      </c>
      <c r="G567" s="7" t="s">
        <v>36</v>
      </c>
      <c r="H567" s="7" t="s">
        <v>45</v>
      </c>
      <c r="I567" s="7" t="s">
        <v>116</v>
      </c>
      <c r="J567" s="7" t="s">
        <v>66</v>
      </c>
      <c r="K567" s="7" t="s">
        <v>22</v>
      </c>
      <c r="L567" s="7">
        <v>1977.4</v>
      </c>
      <c r="M567" s="7">
        <v>5</v>
      </c>
      <c r="N567" s="7">
        <v>0.01</v>
      </c>
      <c r="O567" s="7">
        <v>276.8</v>
      </c>
      <c r="P567" s="7" t="s">
        <v>54</v>
      </c>
      <c r="Q567" s="7" t="s">
        <v>24</v>
      </c>
      <c r="R567" s="7">
        <v>8</v>
      </c>
      <c r="S567" s="7">
        <f t="shared" si="25"/>
        <v>2024</v>
      </c>
      <c r="T567" s="7" t="str">
        <f t="shared" si="26"/>
        <v>Jun</v>
      </c>
    </row>
    <row r="568" spans="2:20" x14ac:dyDescent="0.3">
      <c r="B568" s="7">
        <v>567</v>
      </c>
      <c r="C568" s="7" t="s">
        <v>1569</v>
      </c>
      <c r="D568" s="7" t="s">
        <v>932</v>
      </c>
      <c r="E568" s="7" t="str">
        <f t="shared" si="24"/>
        <v>Jul</v>
      </c>
      <c r="F568" s="7" t="s">
        <v>1570</v>
      </c>
      <c r="G568" s="7" t="s">
        <v>64</v>
      </c>
      <c r="H568" s="7" t="s">
        <v>37</v>
      </c>
      <c r="I568" s="7" t="s">
        <v>106</v>
      </c>
      <c r="J568" s="7" t="s">
        <v>66</v>
      </c>
      <c r="K568" s="7" t="s">
        <v>30</v>
      </c>
      <c r="L568" s="7">
        <v>46.32</v>
      </c>
      <c r="M568" s="7">
        <v>1</v>
      </c>
      <c r="N568" s="7">
        <v>0.28000000000000003</v>
      </c>
      <c r="O568" s="7">
        <v>7.85</v>
      </c>
      <c r="P568" s="7" t="s">
        <v>31</v>
      </c>
      <c r="Q568" s="7" t="s">
        <v>86</v>
      </c>
      <c r="R568" s="7">
        <v>3</v>
      </c>
      <c r="S568" s="7">
        <f t="shared" si="25"/>
        <v>2024</v>
      </c>
      <c r="T568" s="7" t="str">
        <f t="shared" si="26"/>
        <v>Jul</v>
      </c>
    </row>
    <row r="569" spans="2:20" x14ac:dyDescent="0.3">
      <c r="B569" s="7">
        <v>568</v>
      </c>
      <c r="C569" s="7" t="s">
        <v>1571</v>
      </c>
      <c r="D569" s="7" t="s">
        <v>804</v>
      </c>
      <c r="E569" s="7" t="str">
        <f t="shared" si="24"/>
        <v>May</v>
      </c>
      <c r="F569" s="7" t="s">
        <v>1572</v>
      </c>
      <c r="G569" s="7" t="s">
        <v>36</v>
      </c>
      <c r="H569" s="7" t="s">
        <v>19</v>
      </c>
      <c r="I569" s="7" t="s">
        <v>52</v>
      </c>
      <c r="J569" s="7" t="s">
        <v>66</v>
      </c>
      <c r="K569" s="7" t="s">
        <v>53</v>
      </c>
      <c r="L569" s="7">
        <v>1684.48</v>
      </c>
      <c r="M569" s="7">
        <v>3</v>
      </c>
      <c r="N569" s="7">
        <v>0.19</v>
      </c>
      <c r="O569" s="7">
        <v>496.66</v>
      </c>
      <c r="P569" s="7" t="s">
        <v>31</v>
      </c>
      <c r="Q569" s="7" t="s">
        <v>86</v>
      </c>
      <c r="R569" s="7">
        <v>1</v>
      </c>
      <c r="S569" s="7">
        <f t="shared" si="25"/>
        <v>2025</v>
      </c>
      <c r="T569" s="7" t="str">
        <f t="shared" si="26"/>
        <v>May</v>
      </c>
    </row>
    <row r="570" spans="2:20" x14ac:dyDescent="0.3">
      <c r="B570" s="7">
        <v>569</v>
      </c>
      <c r="C570" s="7" t="s">
        <v>1573</v>
      </c>
      <c r="D570" s="7" t="s">
        <v>566</v>
      </c>
      <c r="E570" s="7" t="str">
        <f t="shared" si="24"/>
        <v>Sep</v>
      </c>
      <c r="F570" s="7" t="s">
        <v>1574</v>
      </c>
      <c r="G570" s="7" t="s">
        <v>18</v>
      </c>
      <c r="H570" s="7" t="s">
        <v>58</v>
      </c>
      <c r="I570" s="7" t="s">
        <v>59</v>
      </c>
      <c r="J570" s="7" t="s">
        <v>47</v>
      </c>
      <c r="K570" s="7" t="s">
        <v>82</v>
      </c>
      <c r="L570" s="7">
        <v>523.22</v>
      </c>
      <c r="M570" s="7">
        <v>2</v>
      </c>
      <c r="N570" s="7">
        <v>0.23</v>
      </c>
      <c r="O570" s="7">
        <v>164.76</v>
      </c>
      <c r="P570" s="7" t="s">
        <v>23</v>
      </c>
      <c r="Q570" s="7" t="s">
        <v>24</v>
      </c>
      <c r="R570" s="7">
        <v>4</v>
      </c>
      <c r="S570" s="7">
        <f t="shared" si="25"/>
        <v>2025</v>
      </c>
      <c r="T570" s="7" t="str">
        <f t="shared" si="26"/>
        <v>Sep</v>
      </c>
    </row>
    <row r="571" spans="2:20" x14ac:dyDescent="0.3">
      <c r="B571" s="7">
        <v>570</v>
      </c>
      <c r="C571" s="7" t="s">
        <v>1575</v>
      </c>
      <c r="D571" s="7" t="s">
        <v>590</v>
      </c>
      <c r="E571" s="7" t="str">
        <f t="shared" si="24"/>
        <v>Oct</v>
      </c>
      <c r="F571" s="7" t="s">
        <v>1576</v>
      </c>
      <c r="G571" s="7" t="s">
        <v>36</v>
      </c>
      <c r="H571" s="7" t="s">
        <v>37</v>
      </c>
      <c r="I571" s="7" t="s">
        <v>52</v>
      </c>
      <c r="J571" s="7" t="s">
        <v>66</v>
      </c>
      <c r="K571" s="7" t="s">
        <v>76</v>
      </c>
      <c r="L571" s="7">
        <v>2732.97</v>
      </c>
      <c r="M571" s="7">
        <v>4</v>
      </c>
      <c r="N571" s="7">
        <v>0.11</v>
      </c>
      <c r="O571" s="7">
        <v>599.97</v>
      </c>
      <c r="P571" s="7" t="s">
        <v>54</v>
      </c>
      <c r="Q571" s="7" t="s">
        <v>86</v>
      </c>
      <c r="R571" s="7">
        <v>5</v>
      </c>
      <c r="S571" s="7">
        <f t="shared" si="25"/>
        <v>2025</v>
      </c>
      <c r="T571" s="7" t="str">
        <f t="shared" si="26"/>
        <v>Oct</v>
      </c>
    </row>
    <row r="572" spans="2:20" x14ac:dyDescent="0.3">
      <c r="B572" s="7">
        <v>571</v>
      </c>
      <c r="C572" s="7" t="s">
        <v>1577</v>
      </c>
      <c r="D572" s="7" t="s">
        <v>329</v>
      </c>
      <c r="E572" s="7" t="str">
        <f t="shared" si="24"/>
        <v>Aug</v>
      </c>
      <c r="F572" s="7" t="s">
        <v>1578</v>
      </c>
      <c r="G572" s="7" t="s">
        <v>102</v>
      </c>
      <c r="H572" s="7" t="s">
        <v>37</v>
      </c>
      <c r="I572" s="7" t="s">
        <v>59</v>
      </c>
      <c r="J572" s="7" t="s">
        <v>47</v>
      </c>
      <c r="K572" s="7" t="s">
        <v>53</v>
      </c>
      <c r="L572" s="7">
        <v>961.29</v>
      </c>
      <c r="M572" s="7">
        <v>1</v>
      </c>
      <c r="N572" s="7">
        <v>0.28999999999999998</v>
      </c>
      <c r="O572" s="7">
        <v>320.39</v>
      </c>
      <c r="P572" s="7" t="s">
        <v>23</v>
      </c>
      <c r="Q572" s="7" t="s">
        <v>86</v>
      </c>
      <c r="R572" s="7">
        <v>8</v>
      </c>
      <c r="S572" s="7">
        <f t="shared" si="25"/>
        <v>2024</v>
      </c>
      <c r="T572" s="7" t="str">
        <f t="shared" si="26"/>
        <v>Aug</v>
      </c>
    </row>
    <row r="573" spans="2:20" x14ac:dyDescent="0.3">
      <c r="B573" s="7">
        <v>572</v>
      </c>
      <c r="C573" s="7" t="s">
        <v>1579</v>
      </c>
      <c r="D573" s="7" t="s">
        <v>352</v>
      </c>
      <c r="E573" s="7" t="str">
        <f t="shared" si="24"/>
        <v>Nov</v>
      </c>
      <c r="F573" s="7" t="s">
        <v>1580</v>
      </c>
      <c r="G573" s="7" t="s">
        <v>18</v>
      </c>
      <c r="H573" s="7" t="s">
        <v>51</v>
      </c>
      <c r="I573" s="7" t="s">
        <v>59</v>
      </c>
      <c r="J573" s="7" t="s">
        <v>81</v>
      </c>
      <c r="K573" s="7" t="s">
        <v>72</v>
      </c>
      <c r="L573" s="7">
        <v>228.82</v>
      </c>
      <c r="M573" s="7">
        <v>3</v>
      </c>
      <c r="N573" s="7">
        <v>0.1</v>
      </c>
      <c r="O573" s="7">
        <v>29.89</v>
      </c>
      <c r="P573" s="7" t="s">
        <v>54</v>
      </c>
      <c r="Q573" s="7" t="s">
        <v>77</v>
      </c>
      <c r="R573" s="7">
        <v>1</v>
      </c>
      <c r="S573" s="7">
        <f t="shared" si="25"/>
        <v>2025</v>
      </c>
      <c r="T573" s="7" t="str">
        <f t="shared" si="26"/>
        <v>Nov</v>
      </c>
    </row>
    <row r="574" spans="2:20" x14ac:dyDescent="0.3">
      <c r="B574" s="7">
        <v>573</v>
      </c>
      <c r="C574" s="7" t="s">
        <v>1581</v>
      </c>
      <c r="D574" s="7" t="s">
        <v>891</v>
      </c>
      <c r="E574" s="7" t="str">
        <f t="shared" si="24"/>
        <v>Jan</v>
      </c>
      <c r="F574" s="7" t="s">
        <v>1582</v>
      </c>
      <c r="G574" s="7" t="s">
        <v>18</v>
      </c>
      <c r="H574" s="7" t="s">
        <v>71</v>
      </c>
      <c r="I574" s="7" t="s">
        <v>52</v>
      </c>
      <c r="J574" s="7" t="s">
        <v>47</v>
      </c>
      <c r="K574" s="7" t="s">
        <v>53</v>
      </c>
      <c r="L574" s="7">
        <v>1047.83</v>
      </c>
      <c r="M574" s="7">
        <v>2</v>
      </c>
      <c r="N574" s="7">
        <v>0.12</v>
      </c>
      <c r="O574" s="7">
        <v>182.09</v>
      </c>
      <c r="P574" s="7" t="s">
        <v>23</v>
      </c>
      <c r="Q574" s="7" t="s">
        <v>86</v>
      </c>
      <c r="R574" s="7">
        <v>3</v>
      </c>
      <c r="S574" s="7">
        <f t="shared" si="25"/>
        <v>2025</v>
      </c>
      <c r="T574" s="7" t="str">
        <f t="shared" si="26"/>
        <v>Jan</v>
      </c>
    </row>
    <row r="575" spans="2:20" x14ac:dyDescent="0.3">
      <c r="B575" s="7">
        <v>574</v>
      </c>
      <c r="C575" s="7" t="s">
        <v>1583</v>
      </c>
      <c r="D575" s="7" t="s">
        <v>343</v>
      </c>
      <c r="E575" s="7" t="str">
        <f t="shared" si="24"/>
        <v>Nov</v>
      </c>
      <c r="F575" s="7" t="s">
        <v>1584</v>
      </c>
      <c r="G575" s="7" t="s">
        <v>64</v>
      </c>
      <c r="H575" s="7" t="s">
        <v>45</v>
      </c>
      <c r="I575" s="7" t="s">
        <v>38</v>
      </c>
      <c r="J575" s="7" t="s">
        <v>21</v>
      </c>
      <c r="K575" s="7" t="s">
        <v>53</v>
      </c>
      <c r="L575" s="7">
        <v>2002.59</v>
      </c>
      <c r="M575" s="7">
        <v>4</v>
      </c>
      <c r="N575" s="7">
        <v>0.28999999999999998</v>
      </c>
      <c r="O575" s="7">
        <v>288.08</v>
      </c>
      <c r="P575" s="7" t="s">
        <v>54</v>
      </c>
      <c r="Q575" s="7" t="s">
        <v>40</v>
      </c>
      <c r="R575" s="7">
        <v>7</v>
      </c>
      <c r="S575" s="7">
        <f t="shared" si="25"/>
        <v>2025</v>
      </c>
      <c r="T575" s="7" t="str">
        <f t="shared" si="26"/>
        <v>Nov</v>
      </c>
    </row>
    <row r="576" spans="2:20" x14ac:dyDescent="0.3">
      <c r="B576" s="7">
        <v>575</v>
      </c>
      <c r="C576" s="7" t="s">
        <v>1585</v>
      </c>
      <c r="D576" s="7" t="s">
        <v>1586</v>
      </c>
      <c r="E576" s="7" t="str">
        <f t="shared" si="24"/>
        <v>Feb</v>
      </c>
      <c r="F576" s="7" t="s">
        <v>1587</v>
      </c>
      <c r="G576" s="7" t="s">
        <v>64</v>
      </c>
      <c r="H576" s="7" t="s">
        <v>37</v>
      </c>
      <c r="I576" s="7" t="s">
        <v>46</v>
      </c>
      <c r="J576" s="7" t="s">
        <v>81</v>
      </c>
      <c r="K576" s="7" t="s">
        <v>30</v>
      </c>
      <c r="L576" s="7">
        <v>3580.45</v>
      </c>
      <c r="M576" s="7">
        <v>4</v>
      </c>
      <c r="N576" s="7">
        <v>0.24</v>
      </c>
      <c r="O576" s="7">
        <v>557.74</v>
      </c>
      <c r="P576" s="7" t="s">
        <v>23</v>
      </c>
      <c r="Q576" s="7" t="s">
        <v>32</v>
      </c>
      <c r="R576" s="7">
        <v>5</v>
      </c>
      <c r="S576" s="7">
        <f t="shared" si="25"/>
        <v>2024</v>
      </c>
      <c r="T576" s="7" t="str">
        <f t="shared" si="26"/>
        <v>Feb</v>
      </c>
    </row>
    <row r="577" spans="2:20" x14ac:dyDescent="0.3">
      <c r="B577" s="7">
        <v>576</v>
      </c>
      <c r="C577" s="7" t="s">
        <v>1588</v>
      </c>
      <c r="D577" s="7" t="s">
        <v>1345</v>
      </c>
      <c r="E577" s="7" t="str">
        <f t="shared" si="24"/>
        <v>Sep</v>
      </c>
      <c r="F577" s="7" t="s">
        <v>1589</v>
      </c>
      <c r="G577" s="7" t="s">
        <v>44</v>
      </c>
      <c r="H577" s="7" t="s">
        <v>58</v>
      </c>
      <c r="I577" s="7" t="s">
        <v>106</v>
      </c>
      <c r="J577" s="7" t="s">
        <v>29</v>
      </c>
      <c r="K577" s="7" t="s">
        <v>53</v>
      </c>
      <c r="L577" s="7">
        <v>515.17999999999995</v>
      </c>
      <c r="M577" s="7">
        <v>1</v>
      </c>
      <c r="N577" s="7">
        <v>0.22</v>
      </c>
      <c r="O577" s="7">
        <v>51.86</v>
      </c>
      <c r="P577" s="7" t="s">
        <v>54</v>
      </c>
      <c r="Q577" s="7" t="s">
        <v>32</v>
      </c>
      <c r="R577" s="7">
        <v>3</v>
      </c>
      <c r="S577" s="7">
        <f t="shared" si="25"/>
        <v>2025</v>
      </c>
      <c r="T577" s="7" t="str">
        <f t="shared" si="26"/>
        <v>Sep</v>
      </c>
    </row>
    <row r="578" spans="2:20" x14ac:dyDescent="0.3">
      <c r="B578" s="7">
        <v>577</v>
      </c>
      <c r="C578" s="7" t="s">
        <v>1590</v>
      </c>
      <c r="D578" s="7" t="s">
        <v>1456</v>
      </c>
      <c r="E578" s="7" t="str">
        <f t="shared" si="24"/>
        <v>Nov</v>
      </c>
      <c r="F578" s="7" t="s">
        <v>1591</v>
      </c>
      <c r="G578" s="7" t="s">
        <v>44</v>
      </c>
      <c r="H578" s="7" t="s">
        <v>37</v>
      </c>
      <c r="I578" s="7" t="s">
        <v>28</v>
      </c>
      <c r="J578" s="7" t="s">
        <v>47</v>
      </c>
      <c r="K578" s="7" t="s">
        <v>67</v>
      </c>
      <c r="L578" s="7">
        <v>1496.14</v>
      </c>
      <c r="M578" s="7">
        <v>2</v>
      </c>
      <c r="N578" s="7">
        <v>0.26</v>
      </c>
      <c r="O578" s="7">
        <v>489.92</v>
      </c>
      <c r="P578" s="7" t="s">
        <v>54</v>
      </c>
      <c r="Q578" s="7" t="s">
        <v>86</v>
      </c>
      <c r="R578" s="7">
        <v>5</v>
      </c>
      <c r="S578" s="7">
        <f t="shared" si="25"/>
        <v>2024</v>
      </c>
      <c r="T578" s="7" t="str">
        <f t="shared" si="26"/>
        <v>Nov</v>
      </c>
    </row>
    <row r="579" spans="2:20" x14ac:dyDescent="0.3">
      <c r="B579" s="7">
        <v>578</v>
      </c>
      <c r="C579" s="7" t="s">
        <v>1592</v>
      </c>
      <c r="D579" s="7" t="s">
        <v>323</v>
      </c>
      <c r="E579" s="7" t="str">
        <f t="shared" ref="E579:E642" si="27">TEXT(D579,"mmm")</f>
        <v>Jun</v>
      </c>
      <c r="F579" s="7" t="s">
        <v>1593</v>
      </c>
      <c r="G579" s="7" t="s">
        <v>44</v>
      </c>
      <c r="H579" s="7" t="s">
        <v>19</v>
      </c>
      <c r="I579" s="7" t="s">
        <v>46</v>
      </c>
      <c r="J579" s="7" t="s">
        <v>66</v>
      </c>
      <c r="K579" s="7" t="s">
        <v>22</v>
      </c>
      <c r="L579" s="7">
        <v>270.08999999999997</v>
      </c>
      <c r="M579" s="7">
        <v>2</v>
      </c>
      <c r="N579" s="7">
        <v>0.08</v>
      </c>
      <c r="O579" s="7">
        <v>54.66</v>
      </c>
      <c r="P579" s="7" t="s">
        <v>23</v>
      </c>
      <c r="Q579" s="7" t="s">
        <v>77</v>
      </c>
      <c r="R579" s="7">
        <v>7</v>
      </c>
      <c r="S579" s="7">
        <f t="shared" ref="S579:S642" si="28">YEAR(D579)</f>
        <v>2024</v>
      </c>
      <c r="T579" s="7" t="str">
        <f t="shared" ref="T579:T642" si="29">TEXT(D579,"mmm")</f>
        <v>Jun</v>
      </c>
    </row>
    <row r="580" spans="2:20" x14ac:dyDescent="0.3">
      <c r="B580" s="7">
        <v>579</v>
      </c>
      <c r="C580" s="7" t="s">
        <v>1594</v>
      </c>
      <c r="D580" s="7" t="s">
        <v>1595</v>
      </c>
      <c r="E580" s="7" t="str">
        <f t="shared" si="27"/>
        <v>Jun</v>
      </c>
      <c r="F580" s="7" t="s">
        <v>1596</v>
      </c>
      <c r="G580" s="7" t="s">
        <v>18</v>
      </c>
      <c r="H580" s="7" t="s">
        <v>65</v>
      </c>
      <c r="I580" s="7" t="s">
        <v>20</v>
      </c>
      <c r="J580" s="7" t="s">
        <v>81</v>
      </c>
      <c r="K580" s="7" t="s">
        <v>82</v>
      </c>
      <c r="L580" s="7">
        <v>1700.43</v>
      </c>
      <c r="M580" s="7">
        <v>5</v>
      </c>
      <c r="N580" s="7">
        <v>0.01</v>
      </c>
      <c r="O580" s="7">
        <v>348.22</v>
      </c>
      <c r="P580" s="7" t="s">
        <v>23</v>
      </c>
      <c r="Q580" s="7" t="s">
        <v>32</v>
      </c>
      <c r="R580" s="7">
        <v>1</v>
      </c>
      <c r="S580" s="7">
        <f t="shared" si="28"/>
        <v>2024</v>
      </c>
      <c r="T580" s="7" t="str">
        <f t="shared" si="29"/>
        <v>Jun</v>
      </c>
    </row>
    <row r="581" spans="2:20" x14ac:dyDescent="0.3">
      <c r="B581" s="7">
        <v>580</v>
      </c>
      <c r="C581" s="7" t="s">
        <v>1597</v>
      </c>
      <c r="D581" s="7" t="s">
        <v>478</v>
      </c>
      <c r="E581" s="7" t="str">
        <f t="shared" si="27"/>
        <v>Oct</v>
      </c>
      <c r="F581" s="7" t="s">
        <v>1598</v>
      </c>
      <c r="G581" s="7" t="s">
        <v>64</v>
      </c>
      <c r="H581" s="7" t="s">
        <v>37</v>
      </c>
      <c r="I581" s="7" t="s">
        <v>28</v>
      </c>
      <c r="J581" s="7" t="s">
        <v>81</v>
      </c>
      <c r="K581" s="7" t="s">
        <v>30</v>
      </c>
      <c r="L581" s="7">
        <v>1505.31</v>
      </c>
      <c r="M581" s="7">
        <v>5</v>
      </c>
      <c r="N581" s="7">
        <v>0.23</v>
      </c>
      <c r="O581" s="7">
        <v>444.72</v>
      </c>
      <c r="P581" s="7" t="s">
        <v>23</v>
      </c>
      <c r="Q581" s="7" t="s">
        <v>86</v>
      </c>
      <c r="R581" s="7">
        <v>1</v>
      </c>
      <c r="S581" s="7">
        <f t="shared" si="28"/>
        <v>2024</v>
      </c>
      <c r="T581" s="7" t="str">
        <f t="shared" si="29"/>
        <v>Oct</v>
      </c>
    </row>
    <row r="582" spans="2:20" x14ac:dyDescent="0.3">
      <c r="B582" s="7">
        <v>581</v>
      </c>
      <c r="C582" s="7" t="s">
        <v>1599</v>
      </c>
      <c r="D582" s="7" t="s">
        <v>863</v>
      </c>
      <c r="E582" s="7" t="str">
        <f t="shared" si="27"/>
        <v>Nov</v>
      </c>
      <c r="F582" s="7" t="s">
        <v>1600</v>
      </c>
      <c r="G582" s="7" t="s">
        <v>64</v>
      </c>
      <c r="H582" s="7" t="s">
        <v>65</v>
      </c>
      <c r="I582" s="7" t="s">
        <v>46</v>
      </c>
      <c r="J582" s="7" t="s">
        <v>21</v>
      </c>
      <c r="K582" s="7" t="s">
        <v>53</v>
      </c>
      <c r="L582" s="7">
        <v>511.23</v>
      </c>
      <c r="M582" s="7">
        <v>1</v>
      </c>
      <c r="N582" s="7">
        <v>0.11</v>
      </c>
      <c r="O582" s="7">
        <v>82.42</v>
      </c>
      <c r="P582" s="7" t="s">
        <v>31</v>
      </c>
      <c r="Q582" s="7" t="s">
        <v>77</v>
      </c>
      <c r="R582" s="7">
        <v>9</v>
      </c>
      <c r="S582" s="7">
        <f t="shared" si="28"/>
        <v>2024</v>
      </c>
      <c r="T582" s="7" t="str">
        <f t="shared" si="29"/>
        <v>Nov</v>
      </c>
    </row>
    <row r="583" spans="2:20" x14ac:dyDescent="0.3">
      <c r="B583" s="7">
        <v>582</v>
      </c>
      <c r="C583" s="7" t="s">
        <v>1601</v>
      </c>
      <c r="D583" s="7" t="s">
        <v>1602</v>
      </c>
      <c r="E583" s="7" t="str">
        <f t="shared" si="27"/>
        <v>Jan</v>
      </c>
      <c r="F583" s="7" t="s">
        <v>1603</v>
      </c>
      <c r="G583" s="7" t="s">
        <v>44</v>
      </c>
      <c r="H583" s="7" t="s">
        <v>45</v>
      </c>
      <c r="I583" s="7" t="s">
        <v>46</v>
      </c>
      <c r="J583" s="7" t="s">
        <v>29</v>
      </c>
      <c r="K583" s="7" t="s">
        <v>39</v>
      </c>
      <c r="L583" s="7">
        <v>201.9</v>
      </c>
      <c r="M583" s="7">
        <v>2</v>
      </c>
      <c r="N583" s="7">
        <v>0.02</v>
      </c>
      <c r="O583" s="7">
        <v>67.78</v>
      </c>
      <c r="P583" s="7" t="s">
        <v>23</v>
      </c>
      <c r="Q583" s="7" t="s">
        <v>32</v>
      </c>
      <c r="R583" s="7">
        <v>9</v>
      </c>
      <c r="S583" s="7">
        <f t="shared" si="28"/>
        <v>2025</v>
      </c>
      <c r="T583" s="7" t="str">
        <f t="shared" si="29"/>
        <v>Jan</v>
      </c>
    </row>
    <row r="584" spans="2:20" x14ac:dyDescent="0.3">
      <c r="B584" s="7">
        <v>583</v>
      </c>
      <c r="C584" s="7" t="s">
        <v>1604</v>
      </c>
      <c r="D584" s="7" t="s">
        <v>1605</v>
      </c>
      <c r="E584" s="7" t="str">
        <f t="shared" si="27"/>
        <v>May</v>
      </c>
      <c r="F584" s="7" t="s">
        <v>1606</v>
      </c>
      <c r="G584" s="7" t="s">
        <v>44</v>
      </c>
      <c r="H584" s="7" t="s">
        <v>71</v>
      </c>
      <c r="I584" s="7" t="s">
        <v>116</v>
      </c>
      <c r="J584" s="7" t="s">
        <v>47</v>
      </c>
      <c r="K584" s="7" t="s">
        <v>72</v>
      </c>
      <c r="L584" s="7">
        <v>591.01</v>
      </c>
      <c r="M584" s="7">
        <v>1</v>
      </c>
      <c r="N584" s="7">
        <v>0.01</v>
      </c>
      <c r="O584" s="7">
        <v>115.24</v>
      </c>
      <c r="P584" s="7" t="s">
        <v>23</v>
      </c>
      <c r="Q584" s="7" t="s">
        <v>24</v>
      </c>
      <c r="R584" s="7">
        <v>4</v>
      </c>
      <c r="S584" s="7">
        <f t="shared" si="28"/>
        <v>2025</v>
      </c>
      <c r="T584" s="7" t="str">
        <f t="shared" si="29"/>
        <v>May</v>
      </c>
    </row>
    <row r="585" spans="2:20" x14ac:dyDescent="0.3">
      <c r="B585" s="7">
        <v>584</v>
      </c>
      <c r="C585" s="7" t="s">
        <v>1607</v>
      </c>
      <c r="D585" s="7" t="s">
        <v>1608</v>
      </c>
      <c r="E585" s="7" t="str">
        <f t="shared" si="27"/>
        <v>Apr</v>
      </c>
      <c r="F585" s="7" t="s">
        <v>1609</v>
      </c>
      <c r="G585" s="7" t="s">
        <v>18</v>
      </c>
      <c r="H585" s="7" t="s">
        <v>19</v>
      </c>
      <c r="I585" s="7" t="s">
        <v>52</v>
      </c>
      <c r="J585" s="7" t="s">
        <v>66</v>
      </c>
      <c r="K585" s="7" t="s">
        <v>53</v>
      </c>
      <c r="L585" s="7">
        <v>796.48</v>
      </c>
      <c r="M585" s="7">
        <v>3</v>
      </c>
      <c r="N585" s="7">
        <v>0.25</v>
      </c>
      <c r="O585" s="7">
        <v>263.94</v>
      </c>
      <c r="P585" s="7" t="s">
        <v>23</v>
      </c>
      <c r="Q585" s="7" t="s">
        <v>77</v>
      </c>
      <c r="R585" s="7">
        <v>4</v>
      </c>
      <c r="S585" s="7">
        <f t="shared" si="28"/>
        <v>2024</v>
      </c>
      <c r="T585" s="7" t="str">
        <f t="shared" si="29"/>
        <v>Apr</v>
      </c>
    </row>
    <row r="586" spans="2:20" x14ac:dyDescent="0.3">
      <c r="B586" s="7">
        <v>585</v>
      </c>
      <c r="C586" s="7" t="s">
        <v>1610</v>
      </c>
      <c r="D586" s="7" t="s">
        <v>1257</v>
      </c>
      <c r="E586" s="7" t="str">
        <f t="shared" si="27"/>
        <v>Aug</v>
      </c>
      <c r="F586" s="7" t="s">
        <v>1611</v>
      </c>
      <c r="G586" s="7" t="s">
        <v>64</v>
      </c>
      <c r="H586" s="7" t="s">
        <v>71</v>
      </c>
      <c r="I586" s="7" t="s">
        <v>38</v>
      </c>
      <c r="J586" s="7" t="s">
        <v>81</v>
      </c>
      <c r="K586" s="7" t="s">
        <v>22</v>
      </c>
      <c r="L586" s="7">
        <v>4219.34</v>
      </c>
      <c r="M586" s="7">
        <v>5</v>
      </c>
      <c r="N586" s="7">
        <v>0.11</v>
      </c>
      <c r="O586" s="7">
        <v>1284.08</v>
      </c>
      <c r="P586" s="7" t="s">
        <v>23</v>
      </c>
      <c r="Q586" s="7" t="s">
        <v>24</v>
      </c>
      <c r="R586" s="7">
        <v>2</v>
      </c>
      <c r="S586" s="7">
        <f t="shared" si="28"/>
        <v>2024</v>
      </c>
      <c r="T586" s="7" t="str">
        <f t="shared" si="29"/>
        <v>Aug</v>
      </c>
    </row>
    <row r="587" spans="2:20" x14ac:dyDescent="0.3">
      <c r="B587" s="7">
        <v>586</v>
      </c>
      <c r="C587" s="7" t="s">
        <v>1612</v>
      </c>
      <c r="D587" s="7" t="s">
        <v>1613</v>
      </c>
      <c r="E587" s="7" t="str">
        <f t="shared" si="27"/>
        <v>Oct</v>
      </c>
      <c r="F587" s="7" t="s">
        <v>1614</v>
      </c>
      <c r="G587" s="7" t="s">
        <v>64</v>
      </c>
      <c r="H587" s="7" t="s">
        <v>19</v>
      </c>
      <c r="I587" s="7" t="s">
        <v>116</v>
      </c>
      <c r="J587" s="7" t="s">
        <v>29</v>
      </c>
      <c r="K587" s="7" t="s">
        <v>22</v>
      </c>
      <c r="L587" s="7">
        <v>527.36</v>
      </c>
      <c r="M587" s="7">
        <v>1</v>
      </c>
      <c r="N587" s="7">
        <v>0.04</v>
      </c>
      <c r="O587" s="7">
        <v>138.21</v>
      </c>
      <c r="P587" s="7" t="s">
        <v>31</v>
      </c>
      <c r="Q587" s="7" t="s">
        <v>77</v>
      </c>
      <c r="R587" s="7">
        <v>6</v>
      </c>
      <c r="S587" s="7">
        <f t="shared" si="28"/>
        <v>2024</v>
      </c>
      <c r="T587" s="7" t="str">
        <f t="shared" si="29"/>
        <v>Oct</v>
      </c>
    </row>
    <row r="588" spans="2:20" x14ac:dyDescent="0.3">
      <c r="B588" s="7">
        <v>587</v>
      </c>
      <c r="C588" s="7" t="s">
        <v>1615</v>
      </c>
      <c r="D588" s="7" t="s">
        <v>847</v>
      </c>
      <c r="E588" s="7" t="str">
        <f t="shared" si="27"/>
        <v>Apr</v>
      </c>
      <c r="F588" s="7" t="s">
        <v>1616</v>
      </c>
      <c r="G588" s="7" t="s">
        <v>18</v>
      </c>
      <c r="H588" s="7" t="s">
        <v>37</v>
      </c>
      <c r="I588" s="7" t="s">
        <v>46</v>
      </c>
      <c r="J588" s="7" t="s">
        <v>29</v>
      </c>
      <c r="K588" s="7" t="s">
        <v>30</v>
      </c>
      <c r="L588" s="7">
        <v>73.34</v>
      </c>
      <c r="M588" s="7">
        <v>1</v>
      </c>
      <c r="N588" s="7">
        <v>0.17</v>
      </c>
      <c r="O588" s="7">
        <v>25.21</v>
      </c>
      <c r="P588" s="7" t="s">
        <v>31</v>
      </c>
      <c r="Q588" s="7" t="s">
        <v>77</v>
      </c>
      <c r="R588" s="7">
        <v>2</v>
      </c>
      <c r="S588" s="7">
        <f t="shared" si="28"/>
        <v>2024</v>
      </c>
      <c r="T588" s="7" t="str">
        <f t="shared" si="29"/>
        <v>Apr</v>
      </c>
    </row>
    <row r="589" spans="2:20" x14ac:dyDescent="0.3">
      <c r="B589" s="7">
        <v>588</v>
      </c>
      <c r="C589" s="7" t="s">
        <v>1617</v>
      </c>
      <c r="D589" s="7" t="s">
        <v>937</v>
      </c>
      <c r="E589" s="7" t="str">
        <f t="shared" si="27"/>
        <v>Dec</v>
      </c>
      <c r="F589" s="7" t="s">
        <v>1618</v>
      </c>
      <c r="G589" s="7" t="s">
        <v>44</v>
      </c>
      <c r="H589" s="7" t="s">
        <v>58</v>
      </c>
      <c r="I589" s="7" t="s">
        <v>46</v>
      </c>
      <c r="J589" s="7" t="s">
        <v>66</v>
      </c>
      <c r="K589" s="7" t="s">
        <v>22</v>
      </c>
      <c r="L589" s="7">
        <v>2786.92</v>
      </c>
      <c r="M589" s="7">
        <v>3</v>
      </c>
      <c r="N589" s="7">
        <v>0.05</v>
      </c>
      <c r="O589" s="7">
        <v>551.83000000000004</v>
      </c>
      <c r="P589" s="7" t="s">
        <v>23</v>
      </c>
      <c r="Q589" s="7" t="s">
        <v>24</v>
      </c>
      <c r="R589" s="7">
        <v>8</v>
      </c>
      <c r="S589" s="7">
        <f t="shared" si="28"/>
        <v>2024</v>
      </c>
      <c r="T589" s="7" t="str">
        <f t="shared" si="29"/>
        <v>Dec</v>
      </c>
    </row>
    <row r="590" spans="2:20" x14ac:dyDescent="0.3">
      <c r="B590" s="7">
        <v>589</v>
      </c>
      <c r="C590" s="7" t="s">
        <v>1619</v>
      </c>
      <c r="D590" s="7" t="s">
        <v>1620</v>
      </c>
      <c r="E590" s="7" t="str">
        <f t="shared" si="27"/>
        <v>Jul</v>
      </c>
      <c r="F590" s="7" t="s">
        <v>1621</v>
      </c>
      <c r="G590" s="7" t="s">
        <v>64</v>
      </c>
      <c r="H590" s="7" t="s">
        <v>51</v>
      </c>
      <c r="I590" s="7" t="s">
        <v>46</v>
      </c>
      <c r="J590" s="7" t="s">
        <v>47</v>
      </c>
      <c r="K590" s="7" t="s">
        <v>67</v>
      </c>
      <c r="L590" s="7">
        <v>2457.92</v>
      </c>
      <c r="M590" s="7">
        <v>5</v>
      </c>
      <c r="N590" s="7">
        <v>0.23</v>
      </c>
      <c r="O590" s="7">
        <v>592.96</v>
      </c>
      <c r="P590" s="7" t="s">
        <v>54</v>
      </c>
      <c r="Q590" s="7" t="s">
        <v>77</v>
      </c>
      <c r="R590" s="7">
        <v>2</v>
      </c>
      <c r="S590" s="7">
        <f t="shared" si="28"/>
        <v>2025</v>
      </c>
      <c r="T590" s="7" t="str">
        <f t="shared" si="29"/>
        <v>Jul</v>
      </c>
    </row>
    <row r="591" spans="2:20" x14ac:dyDescent="0.3">
      <c r="B591" s="7">
        <v>590</v>
      </c>
      <c r="C591" s="7" t="s">
        <v>1622</v>
      </c>
      <c r="D591" s="7" t="s">
        <v>438</v>
      </c>
      <c r="E591" s="7" t="str">
        <f t="shared" si="27"/>
        <v>Aug</v>
      </c>
      <c r="F591" s="7" t="s">
        <v>1623</v>
      </c>
      <c r="G591" s="7" t="s">
        <v>18</v>
      </c>
      <c r="H591" s="7" t="s">
        <v>58</v>
      </c>
      <c r="I591" s="7" t="s">
        <v>59</v>
      </c>
      <c r="J591" s="7" t="s">
        <v>21</v>
      </c>
      <c r="K591" s="7" t="s">
        <v>30</v>
      </c>
      <c r="L591" s="7">
        <v>832.27</v>
      </c>
      <c r="M591" s="7">
        <v>1</v>
      </c>
      <c r="N591" s="7">
        <v>0.21</v>
      </c>
      <c r="O591" s="7">
        <v>220.33</v>
      </c>
      <c r="P591" s="7" t="s">
        <v>23</v>
      </c>
      <c r="Q591" s="7" t="s">
        <v>24</v>
      </c>
      <c r="R591" s="7">
        <v>9</v>
      </c>
      <c r="S591" s="7">
        <f t="shared" si="28"/>
        <v>2024</v>
      </c>
      <c r="T591" s="7" t="str">
        <f t="shared" si="29"/>
        <v>Aug</v>
      </c>
    </row>
    <row r="592" spans="2:20" x14ac:dyDescent="0.3">
      <c r="B592" s="7">
        <v>591</v>
      </c>
      <c r="C592" s="7" t="s">
        <v>1624</v>
      </c>
      <c r="D592" s="7" t="s">
        <v>1625</v>
      </c>
      <c r="E592" s="7" t="str">
        <f t="shared" si="27"/>
        <v>Oct</v>
      </c>
      <c r="F592" s="7" t="s">
        <v>1626</v>
      </c>
      <c r="G592" s="7" t="s">
        <v>44</v>
      </c>
      <c r="H592" s="7" t="s">
        <v>65</v>
      </c>
      <c r="I592" s="7" t="s">
        <v>106</v>
      </c>
      <c r="J592" s="7" t="s">
        <v>29</v>
      </c>
      <c r="K592" s="7" t="s">
        <v>22</v>
      </c>
      <c r="L592" s="7">
        <v>1676.11</v>
      </c>
      <c r="M592" s="7">
        <v>2</v>
      </c>
      <c r="N592" s="7">
        <v>0.13</v>
      </c>
      <c r="O592" s="7">
        <v>185.19</v>
      </c>
      <c r="P592" s="7" t="s">
        <v>23</v>
      </c>
      <c r="Q592" s="7" t="s">
        <v>24</v>
      </c>
      <c r="R592" s="7">
        <v>3</v>
      </c>
      <c r="S592" s="7">
        <f t="shared" si="28"/>
        <v>2024</v>
      </c>
      <c r="T592" s="7" t="str">
        <f t="shared" si="29"/>
        <v>Oct</v>
      </c>
    </row>
    <row r="593" spans="2:20" x14ac:dyDescent="0.3">
      <c r="B593" s="7">
        <v>592</v>
      </c>
      <c r="C593" s="7" t="s">
        <v>1627</v>
      </c>
      <c r="D593" s="7" t="s">
        <v>1628</v>
      </c>
      <c r="E593" s="7" t="str">
        <f t="shared" si="27"/>
        <v>Jan</v>
      </c>
      <c r="F593" s="7" t="s">
        <v>1629</v>
      </c>
      <c r="G593" s="7" t="s">
        <v>36</v>
      </c>
      <c r="H593" s="7" t="s">
        <v>65</v>
      </c>
      <c r="I593" s="7" t="s">
        <v>116</v>
      </c>
      <c r="J593" s="7" t="s">
        <v>66</v>
      </c>
      <c r="K593" s="7" t="s">
        <v>22</v>
      </c>
      <c r="L593" s="7">
        <v>4921.1000000000004</v>
      </c>
      <c r="M593" s="7">
        <v>5</v>
      </c>
      <c r="N593" s="7">
        <v>0.19</v>
      </c>
      <c r="O593" s="7">
        <v>1689.47</v>
      </c>
      <c r="P593" s="7" t="s">
        <v>31</v>
      </c>
      <c r="Q593" s="7" t="s">
        <v>77</v>
      </c>
      <c r="R593" s="7">
        <v>6</v>
      </c>
      <c r="S593" s="7">
        <f t="shared" si="28"/>
        <v>2024</v>
      </c>
      <c r="T593" s="7" t="str">
        <f t="shared" si="29"/>
        <v>Jan</v>
      </c>
    </row>
    <row r="594" spans="2:20" x14ac:dyDescent="0.3">
      <c r="B594" s="7">
        <v>593</v>
      </c>
      <c r="C594" s="7" t="s">
        <v>1630</v>
      </c>
      <c r="D594" s="7" t="s">
        <v>1631</v>
      </c>
      <c r="E594" s="7" t="str">
        <f t="shared" si="27"/>
        <v>May</v>
      </c>
      <c r="F594" s="7" t="s">
        <v>1632</v>
      </c>
      <c r="G594" s="7" t="s">
        <v>36</v>
      </c>
      <c r="H594" s="7" t="s">
        <v>65</v>
      </c>
      <c r="I594" s="7" t="s">
        <v>52</v>
      </c>
      <c r="J594" s="7" t="s">
        <v>66</v>
      </c>
      <c r="K594" s="7" t="s">
        <v>60</v>
      </c>
      <c r="L594" s="7">
        <v>619.16</v>
      </c>
      <c r="M594" s="7">
        <v>4</v>
      </c>
      <c r="N594" s="7">
        <v>0.08</v>
      </c>
      <c r="O594" s="7">
        <v>198.36</v>
      </c>
      <c r="P594" s="7" t="s">
        <v>31</v>
      </c>
      <c r="Q594" s="7" t="s">
        <v>86</v>
      </c>
      <c r="R594" s="7">
        <v>10</v>
      </c>
      <c r="S594" s="7">
        <f t="shared" si="28"/>
        <v>2024</v>
      </c>
      <c r="T594" s="7" t="str">
        <f t="shared" si="29"/>
        <v>May</v>
      </c>
    </row>
    <row r="595" spans="2:20" x14ac:dyDescent="0.3">
      <c r="B595" s="7">
        <v>594</v>
      </c>
      <c r="C595" s="7" t="s">
        <v>1633</v>
      </c>
      <c r="D595" s="7" t="s">
        <v>1634</v>
      </c>
      <c r="E595" s="7" t="str">
        <f t="shared" si="27"/>
        <v>Aug</v>
      </c>
      <c r="F595" s="7" t="s">
        <v>1635</v>
      </c>
      <c r="G595" s="7" t="s">
        <v>18</v>
      </c>
      <c r="H595" s="7" t="s">
        <v>71</v>
      </c>
      <c r="I595" s="7" t="s">
        <v>116</v>
      </c>
      <c r="J595" s="7" t="s">
        <v>66</v>
      </c>
      <c r="K595" s="7" t="s">
        <v>72</v>
      </c>
      <c r="L595" s="7">
        <v>3577.25</v>
      </c>
      <c r="M595" s="7">
        <v>5</v>
      </c>
      <c r="N595" s="7">
        <v>0.06</v>
      </c>
      <c r="O595" s="7">
        <v>667.4</v>
      </c>
      <c r="P595" s="7" t="s">
        <v>54</v>
      </c>
      <c r="Q595" s="7" t="s">
        <v>32</v>
      </c>
      <c r="R595" s="7">
        <v>6</v>
      </c>
      <c r="S595" s="7">
        <f t="shared" si="28"/>
        <v>2024</v>
      </c>
      <c r="T595" s="7" t="str">
        <f t="shared" si="29"/>
        <v>Aug</v>
      </c>
    </row>
    <row r="596" spans="2:20" x14ac:dyDescent="0.3">
      <c r="B596" s="7">
        <v>595</v>
      </c>
      <c r="C596" s="7" t="s">
        <v>1636</v>
      </c>
      <c r="D596" s="7" t="s">
        <v>1637</v>
      </c>
      <c r="E596" s="7" t="str">
        <f t="shared" si="27"/>
        <v>Jul</v>
      </c>
      <c r="F596" s="7" t="s">
        <v>1638</v>
      </c>
      <c r="G596" s="7" t="s">
        <v>102</v>
      </c>
      <c r="H596" s="7" t="s">
        <v>65</v>
      </c>
      <c r="I596" s="7" t="s">
        <v>116</v>
      </c>
      <c r="J596" s="7" t="s">
        <v>21</v>
      </c>
      <c r="K596" s="7" t="s">
        <v>60</v>
      </c>
      <c r="L596" s="7">
        <v>807.81</v>
      </c>
      <c r="M596" s="7">
        <v>3</v>
      </c>
      <c r="N596" s="7">
        <v>0.19</v>
      </c>
      <c r="O596" s="7">
        <v>118.15</v>
      </c>
      <c r="P596" s="7" t="s">
        <v>23</v>
      </c>
      <c r="Q596" s="7" t="s">
        <v>32</v>
      </c>
      <c r="R596" s="7">
        <v>4</v>
      </c>
      <c r="S596" s="7">
        <f t="shared" si="28"/>
        <v>2024</v>
      </c>
      <c r="T596" s="7" t="str">
        <f t="shared" si="29"/>
        <v>Jul</v>
      </c>
    </row>
    <row r="597" spans="2:20" x14ac:dyDescent="0.3">
      <c r="B597" s="7">
        <v>596</v>
      </c>
      <c r="C597" s="7" t="s">
        <v>1639</v>
      </c>
      <c r="D597" s="7" t="s">
        <v>1640</v>
      </c>
      <c r="E597" s="7" t="str">
        <f t="shared" si="27"/>
        <v>Jun</v>
      </c>
      <c r="F597" s="7" t="s">
        <v>1641</v>
      </c>
      <c r="G597" s="7" t="s">
        <v>18</v>
      </c>
      <c r="H597" s="7" t="s">
        <v>51</v>
      </c>
      <c r="I597" s="7" t="s">
        <v>38</v>
      </c>
      <c r="J597" s="7" t="s">
        <v>66</v>
      </c>
      <c r="K597" s="7" t="s">
        <v>72</v>
      </c>
      <c r="L597" s="7">
        <v>2119.5</v>
      </c>
      <c r="M597" s="7">
        <v>3</v>
      </c>
      <c r="N597" s="7">
        <v>0.08</v>
      </c>
      <c r="O597" s="7">
        <v>336.69</v>
      </c>
      <c r="P597" s="7" t="s">
        <v>31</v>
      </c>
      <c r="Q597" s="7" t="s">
        <v>32</v>
      </c>
      <c r="R597" s="7">
        <v>9</v>
      </c>
      <c r="S597" s="7">
        <f t="shared" si="28"/>
        <v>2025</v>
      </c>
      <c r="T597" s="7" t="str">
        <f t="shared" si="29"/>
        <v>Jun</v>
      </c>
    </row>
    <row r="598" spans="2:20" x14ac:dyDescent="0.3">
      <c r="B598" s="7">
        <v>597</v>
      </c>
      <c r="C598" s="7" t="s">
        <v>1642</v>
      </c>
      <c r="D598" s="7" t="s">
        <v>1474</v>
      </c>
      <c r="E598" s="7" t="str">
        <f t="shared" si="27"/>
        <v>Sep</v>
      </c>
      <c r="F598" s="7" t="s">
        <v>347</v>
      </c>
      <c r="G598" s="7" t="s">
        <v>102</v>
      </c>
      <c r="H598" s="7" t="s">
        <v>65</v>
      </c>
      <c r="I598" s="7" t="s">
        <v>46</v>
      </c>
      <c r="J598" s="7" t="s">
        <v>29</v>
      </c>
      <c r="K598" s="7" t="s">
        <v>76</v>
      </c>
      <c r="L598" s="7">
        <v>4068.85</v>
      </c>
      <c r="M598" s="7">
        <v>5</v>
      </c>
      <c r="N598" s="7">
        <v>0.1</v>
      </c>
      <c r="O598" s="7">
        <v>694.65</v>
      </c>
      <c r="P598" s="7" t="s">
        <v>23</v>
      </c>
      <c r="Q598" s="7" t="s">
        <v>86</v>
      </c>
      <c r="R598" s="7">
        <v>4</v>
      </c>
      <c r="S598" s="7">
        <f t="shared" si="28"/>
        <v>2024</v>
      </c>
      <c r="T598" s="7" t="str">
        <f t="shared" si="29"/>
        <v>Sep</v>
      </c>
    </row>
    <row r="599" spans="2:20" x14ac:dyDescent="0.3">
      <c r="B599" s="7">
        <v>598</v>
      </c>
      <c r="C599" s="7" t="s">
        <v>1643</v>
      </c>
      <c r="D599" s="7" t="s">
        <v>1131</v>
      </c>
      <c r="E599" s="7" t="str">
        <f t="shared" si="27"/>
        <v>May</v>
      </c>
      <c r="F599" s="7" t="s">
        <v>1644</v>
      </c>
      <c r="G599" s="7" t="s">
        <v>64</v>
      </c>
      <c r="H599" s="7" t="s">
        <v>45</v>
      </c>
      <c r="I599" s="7" t="s">
        <v>59</v>
      </c>
      <c r="J599" s="7" t="s">
        <v>81</v>
      </c>
      <c r="K599" s="7" t="s">
        <v>30</v>
      </c>
      <c r="L599" s="7">
        <v>448.1</v>
      </c>
      <c r="M599" s="7">
        <v>1</v>
      </c>
      <c r="N599" s="7">
        <v>0.06</v>
      </c>
      <c r="O599" s="7">
        <v>79.290000000000006</v>
      </c>
      <c r="P599" s="7" t="s">
        <v>23</v>
      </c>
      <c r="Q599" s="7" t="s">
        <v>77</v>
      </c>
      <c r="R599" s="7">
        <v>8</v>
      </c>
      <c r="S599" s="7">
        <f t="shared" si="28"/>
        <v>2024</v>
      </c>
      <c r="T599" s="7" t="str">
        <f t="shared" si="29"/>
        <v>May</v>
      </c>
    </row>
    <row r="600" spans="2:20" x14ac:dyDescent="0.3">
      <c r="B600" s="7">
        <v>599</v>
      </c>
      <c r="C600" s="7" t="s">
        <v>1645</v>
      </c>
      <c r="D600" s="7" t="s">
        <v>1646</v>
      </c>
      <c r="E600" s="7" t="str">
        <f t="shared" si="27"/>
        <v>Feb</v>
      </c>
      <c r="F600" s="7" t="s">
        <v>1647</v>
      </c>
      <c r="G600" s="7" t="s">
        <v>102</v>
      </c>
      <c r="H600" s="7" t="s">
        <v>37</v>
      </c>
      <c r="I600" s="7" t="s">
        <v>52</v>
      </c>
      <c r="J600" s="7" t="s">
        <v>47</v>
      </c>
      <c r="K600" s="7" t="s">
        <v>82</v>
      </c>
      <c r="L600" s="7">
        <v>1544.88</v>
      </c>
      <c r="M600" s="7">
        <v>5</v>
      </c>
      <c r="N600" s="7">
        <v>0.02</v>
      </c>
      <c r="O600" s="7">
        <v>418.94</v>
      </c>
      <c r="P600" s="7" t="s">
        <v>23</v>
      </c>
      <c r="Q600" s="7" t="s">
        <v>77</v>
      </c>
      <c r="R600" s="7">
        <v>8</v>
      </c>
      <c r="S600" s="7">
        <f t="shared" si="28"/>
        <v>2024</v>
      </c>
      <c r="T600" s="7" t="str">
        <f t="shared" si="29"/>
        <v>Feb</v>
      </c>
    </row>
    <row r="601" spans="2:20" x14ac:dyDescent="0.3">
      <c r="B601" s="7">
        <v>600</v>
      </c>
      <c r="C601" s="7" t="s">
        <v>1648</v>
      </c>
      <c r="D601" s="7" t="s">
        <v>1649</v>
      </c>
      <c r="E601" s="7" t="str">
        <f t="shared" si="27"/>
        <v>May</v>
      </c>
      <c r="F601" s="7" t="s">
        <v>1650</v>
      </c>
      <c r="G601" s="7" t="s">
        <v>64</v>
      </c>
      <c r="H601" s="7" t="s">
        <v>65</v>
      </c>
      <c r="I601" s="7" t="s">
        <v>52</v>
      </c>
      <c r="J601" s="7" t="s">
        <v>29</v>
      </c>
      <c r="K601" s="7" t="s">
        <v>82</v>
      </c>
      <c r="L601" s="7">
        <v>1872.02</v>
      </c>
      <c r="M601" s="7">
        <v>2</v>
      </c>
      <c r="N601" s="7">
        <v>0.02</v>
      </c>
      <c r="O601" s="7">
        <v>463.54</v>
      </c>
      <c r="P601" s="7" t="s">
        <v>31</v>
      </c>
      <c r="Q601" s="7" t="s">
        <v>77</v>
      </c>
      <c r="R601" s="7">
        <v>7</v>
      </c>
      <c r="S601" s="7">
        <f t="shared" si="28"/>
        <v>2025</v>
      </c>
      <c r="T601" s="7" t="str">
        <f t="shared" si="29"/>
        <v>May</v>
      </c>
    </row>
    <row r="602" spans="2:20" x14ac:dyDescent="0.3">
      <c r="B602" s="7">
        <v>601</v>
      </c>
      <c r="C602" s="7" t="s">
        <v>1651</v>
      </c>
      <c r="D602" s="7" t="s">
        <v>1652</v>
      </c>
      <c r="E602" s="7" t="str">
        <f t="shared" si="27"/>
        <v>Jul</v>
      </c>
      <c r="F602" s="7" t="s">
        <v>1653</v>
      </c>
      <c r="G602" s="7" t="s">
        <v>44</v>
      </c>
      <c r="H602" s="7" t="s">
        <v>65</v>
      </c>
      <c r="I602" s="7" t="s">
        <v>46</v>
      </c>
      <c r="J602" s="7" t="s">
        <v>47</v>
      </c>
      <c r="K602" s="7" t="s">
        <v>53</v>
      </c>
      <c r="L602" s="7">
        <v>313.56</v>
      </c>
      <c r="M602" s="7">
        <v>1</v>
      </c>
      <c r="N602" s="7">
        <v>0.14000000000000001</v>
      </c>
      <c r="O602" s="7">
        <v>80.400000000000006</v>
      </c>
      <c r="P602" s="7" t="s">
        <v>54</v>
      </c>
      <c r="Q602" s="7" t="s">
        <v>77</v>
      </c>
      <c r="R602" s="7">
        <v>8</v>
      </c>
      <c r="S602" s="7">
        <f t="shared" si="28"/>
        <v>2025</v>
      </c>
      <c r="T602" s="7" t="str">
        <f t="shared" si="29"/>
        <v>Jul</v>
      </c>
    </row>
    <row r="603" spans="2:20" x14ac:dyDescent="0.3">
      <c r="B603" s="7">
        <v>602</v>
      </c>
      <c r="C603" s="7" t="s">
        <v>1654</v>
      </c>
      <c r="D603" s="7" t="s">
        <v>717</v>
      </c>
      <c r="E603" s="7" t="str">
        <f t="shared" si="27"/>
        <v>Jun</v>
      </c>
      <c r="F603" s="7" t="s">
        <v>1655</v>
      </c>
      <c r="G603" s="7" t="s">
        <v>64</v>
      </c>
      <c r="H603" s="7" t="s">
        <v>51</v>
      </c>
      <c r="I603" s="7" t="s">
        <v>106</v>
      </c>
      <c r="J603" s="7" t="s">
        <v>47</v>
      </c>
      <c r="K603" s="7" t="s">
        <v>22</v>
      </c>
      <c r="L603" s="7">
        <v>4960.53</v>
      </c>
      <c r="M603" s="7">
        <v>5</v>
      </c>
      <c r="N603" s="7">
        <v>0.17</v>
      </c>
      <c r="O603" s="7">
        <v>1405.85</v>
      </c>
      <c r="P603" s="7" t="s">
        <v>54</v>
      </c>
      <c r="Q603" s="7" t="s">
        <v>32</v>
      </c>
      <c r="R603" s="7">
        <v>8</v>
      </c>
      <c r="S603" s="7">
        <f t="shared" si="28"/>
        <v>2025</v>
      </c>
      <c r="T603" s="7" t="str">
        <f t="shared" si="29"/>
        <v>Jun</v>
      </c>
    </row>
    <row r="604" spans="2:20" x14ac:dyDescent="0.3">
      <c r="B604" s="7">
        <v>603</v>
      </c>
      <c r="C604" s="7" t="s">
        <v>1656</v>
      </c>
      <c r="D604" s="7" t="s">
        <v>584</v>
      </c>
      <c r="E604" s="7" t="str">
        <f t="shared" si="27"/>
        <v>Oct</v>
      </c>
      <c r="F604" s="7" t="s">
        <v>1657</v>
      </c>
      <c r="G604" s="7" t="s">
        <v>44</v>
      </c>
      <c r="H604" s="7" t="s">
        <v>58</v>
      </c>
      <c r="I604" s="7" t="s">
        <v>116</v>
      </c>
      <c r="J604" s="7" t="s">
        <v>47</v>
      </c>
      <c r="K604" s="7" t="s">
        <v>76</v>
      </c>
      <c r="L604" s="7">
        <v>2012.97</v>
      </c>
      <c r="M604" s="7">
        <v>4</v>
      </c>
      <c r="N604" s="7">
        <v>0.08</v>
      </c>
      <c r="O604" s="7">
        <v>541.46</v>
      </c>
      <c r="P604" s="7" t="s">
        <v>31</v>
      </c>
      <c r="Q604" s="7" t="s">
        <v>77</v>
      </c>
      <c r="R604" s="7">
        <v>5</v>
      </c>
      <c r="S604" s="7">
        <f t="shared" si="28"/>
        <v>2025</v>
      </c>
      <c r="T604" s="7" t="str">
        <f t="shared" si="29"/>
        <v>Oct</v>
      </c>
    </row>
    <row r="605" spans="2:20" x14ac:dyDescent="0.3">
      <c r="B605" s="7">
        <v>604</v>
      </c>
      <c r="C605" s="7" t="s">
        <v>1658</v>
      </c>
      <c r="D605" s="7" t="s">
        <v>1012</v>
      </c>
      <c r="E605" s="7" t="str">
        <f t="shared" si="27"/>
        <v>Jun</v>
      </c>
      <c r="F605" s="7" t="s">
        <v>1659</v>
      </c>
      <c r="G605" s="7" t="s">
        <v>64</v>
      </c>
      <c r="H605" s="7" t="s">
        <v>65</v>
      </c>
      <c r="I605" s="7" t="s">
        <v>46</v>
      </c>
      <c r="J605" s="7" t="s">
        <v>21</v>
      </c>
      <c r="K605" s="7" t="s">
        <v>82</v>
      </c>
      <c r="L605" s="7">
        <v>1305.9000000000001</v>
      </c>
      <c r="M605" s="7">
        <v>2</v>
      </c>
      <c r="N605" s="7">
        <v>0.03</v>
      </c>
      <c r="O605" s="7">
        <v>291.44</v>
      </c>
      <c r="P605" s="7" t="s">
        <v>23</v>
      </c>
      <c r="Q605" s="7" t="s">
        <v>32</v>
      </c>
      <c r="R605" s="7">
        <v>7</v>
      </c>
      <c r="S605" s="7">
        <f t="shared" si="28"/>
        <v>2025</v>
      </c>
      <c r="T605" s="7" t="str">
        <f t="shared" si="29"/>
        <v>Jun</v>
      </c>
    </row>
    <row r="606" spans="2:20" x14ac:dyDescent="0.3">
      <c r="B606" s="7">
        <v>605</v>
      </c>
      <c r="C606" s="7" t="s">
        <v>1660</v>
      </c>
      <c r="D606" s="7" t="s">
        <v>1661</v>
      </c>
      <c r="E606" s="7" t="str">
        <f t="shared" si="27"/>
        <v>Feb</v>
      </c>
      <c r="F606" s="7" t="s">
        <v>456</v>
      </c>
      <c r="G606" s="7" t="s">
        <v>36</v>
      </c>
      <c r="H606" s="7" t="s">
        <v>45</v>
      </c>
      <c r="I606" s="7" t="s">
        <v>28</v>
      </c>
      <c r="J606" s="7" t="s">
        <v>21</v>
      </c>
      <c r="K606" s="7" t="s">
        <v>76</v>
      </c>
      <c r="L606" s="7">
        <v>3360.21</v>
      </c>
      <c r="M606" s="7">
        <v>5</v>
      </c>
      <c r="N606" s="7">
        <v>0.28000000000000003</v>
      </c>
      <c r="O606" s="7">
        <v>504.02</v>
      </c>
      <c r="P606" s="7" t="s">
        <v>54</v>
      </c>
      <c r="Q606" s="7" t="s">
        <v>40</v>
      </c>
      <c r="R606" s="7">
        <v>7</v>
      </c>
      <c r="S606" s="7">
        <f t="shared" si="28"/>
        <v>2024</v>
      </c>
      <c r="T606" s="7" t="str">
        <f t="shared" si="29"/>
        <v>Feb</v>
      </c>
    </row>
    <row r="607" spans="2:20" x14ac:dyDescent="0.3">
      <c r="B607" s="7">
        <v>606</v>
      </c>
      <c r="C607" s="7" t="s">
        <v>1662</v>
      </c>
      <c r="D607" s="7" t="s">
        <v>290</v>
      </c>
      <c r="E607" s="7" t="str">
        <f t="shared" si="27"/>
        <v>Dec</v>
      </c>
      <c r="F607" s="7" t="s">
        <v>1663</v>
      </c>
      <c r="G607" s="7" t="s">
        <v>18</v>
      </c>
      <c r="H607" s="7" t="s">
        <v>65</v>
      </c>
      <c r="I607" s="7" t="s">
        <v>38</v>
      </c>
      <c r="J607" s="7" t="s">
        <v>47</v>
      </c>
      <c r="K607" s="7" t="s">
        <v>53</v>
      </c>
      <c r="L607" s="7">
        <v>1552.38</v>
      </c>
      <c r="M607" s="7">
        <v>5</v>
      </c>
      <c r="N607" s="7">
        <v>0.24</v>
      </c>
      <c r="O607" s="7">
        <v>193.81</v>
      </c>
      <c r="P607" s="7" t="s">
        <v>23</v>
      </c>
      <c r="Q607" s="7" t="s">
        <v>86</v>
      </c>
      <c r="R607" s="7">
        <v>2</v>
      </c>
      <c r="S607" s="7">
        <f t="shared" si="28"/>
        <v>2025</v>
      </c>
      <c r="T607" s="7" t="str">
        <f t="shared" si="29"/>
        <v>Dec</v>
      </c>
    </row>
    <row r="608" spans="2:20" x14ac:dyDescent="0.3">
      <c r="B608" s="7">
        <v>607</v>
      </c>
      <c r="C608" s="7" t="s">
        <v>1664</v>
      </c>
      <c r="D608" s="7" t="s">
        <v>1665</v>
      </c>
      <c r="E608" s="7" t="str">
        <f t="shared" si="27"/>
        <v>Feb</v>
      </c>
      <c r="F608" s="7" t="s">
        <v>1666</v>
      </c>
      <c r="G608" s="7" t="s">
        <v>18</v>
      </c>
      <c r="H608" s="7" t="s">
        <v>19</v>
      </c>
      <c r="I608" s="7" t="s">
        <v>46</v>
      </c>
      <c r="J608" s="7" t="s">
        <v>47</v>
      </c>
      <c r="K608" s="7" t="s">
        <v>39</v>
      </c>
      <c r="L608" s="7">
        <v>1133.9100000000001</v>
      </c>
      <c r="M608" s="7">
        <v>3</v>
      </c>
      <c r="N608" s="7">
        <v>7.0000000000000007E-2</v>
      </c>
      <c r="O608" s="7">
        <v>300.41000000000003</v>
      </c>
      <c r="P608" s="7" t="s">
        <v>31</v>
      </c>
      <c r="Q608" s="7" t="s">
        <v>24</v>
      </c>
      <c r="R608" s="7">
        <v>4</v>
      </c>
      <c r="S608" s="7">
        <f t="shared" si="28"/>
        <v>2024</v>
      </c>
      <c r="T608" s="7" t="str">
        <f t="shared" si="29"/>
        <v>Feb</v>
      </c>
    </row>
    <row r="609" spans="2:20" x14ac:dyDescent="0.3">
      <c r="B609" s="7">
        <v>608</v>
      </c>
      <c r="C609" s="7" t="s">
        <v>1667</v>
      </c>
      <c r="D609" s="7" t="s">
        <v>750</v>
      </c>
      <c r="E609" s="7" t="str">
        <f t="shared" si="27"/>
        <v>Feb</v>
      </c>
      <c r="F609" s="7" t="s">
        <v>1668</v>
      </c>
      <c r="G609" s="7" t="s">
        <v>102</v>
      </c>
      <c r="H609" s="7" t="s">
        <v>58</v>
      </c>
      <c r="I609" s="7" t="s">
        <v>52</v>
      </c>
      <c r="J609" s="7" t="s">
        <v>21</v>
      </c>
      <c r="K609" s="7" t="s">
        <v>53</v>
      </c>
      <c r="L609" s="7">
        <v>1925.26</v>
      </c>
      <c r="M609" s="7">
        <v>3</v>
      </c>
      <c r="N609" s="7">
        <v>0.25</v>
      </c>
      <c r="O609" s="7">
        <v>436.55</v>
      </c>
      <c r="P609" s="7" t="s">
        <v>31</v>
      </c>
      <c r="Q609" s="7" t="s">
        <v>86</v>
      </c>
      <c r="R609" s="7">
        <v>10</v>
      </c>
      <c r="S609" s="7">
        <f t="shared" si="28"/>
        <v>2024</v>
      </c>
      <c r="T609" s="7" t="str">
        <f t="shared" si="29"/>
        <v>Feb</v>
      </c>
    </row>
    <row r="610" spans="2:20" x14ac:dyDescent="0.3">
      <c r="B610" s="7">
        <v>609</v>
      </c>
      <c r="C610" s="7" t="s">
        <v>1669</v>
      </c>
      <c r="D610" s="7" t="s">
        <v>358</v>
      </c>
      <c r="E610" s="7" t="str">
        <f t="shared" si="27"/>
        <v>Apr</v>
      </c>
      <c r="F610" s="7" t="s">
        <v>1670</v>
      </c>
      <c r="G610" s="7" t="s">
        <v>102</v>
      </c>
      <c r="H610" s="7" t="s">
        <v>45</v>
      </c>
      <c r="I610" s="7" t="s">
        <v>106</v>
      </c>
      <c r="J610" s="7" t="s">
        <v>29</v>
      </c>
      <c r="K610" s="7" t="s">
        <v>60</v>
      </c>
      <c r="L610" s="7">
        <v>2118.4499999999998</v>
      </c>
      <c r="M610" s="7">
        <v>4</v>
      </c>
      <c r="N610" s="7">
        <v>0.24</v>
      </c>
      <c r="O610" s="7">
        <v>412.83</v>
      </c>
      <c r="P610" s="7" t="s">
        <v>23</v>
      </c>
      <c r="Q610" s="7" t="s">
        <v>24</v>
      </c>
      <c r="R610" s="7">
        <v>4</v>
      </c>
      <c r="S610" s="7">
        <f t="shared" si="28"/>
        <v>2025</v>
      </c>
      <c r="T610" s="7" t="str">
        <f t="shared" si="29"/>
        <v>Apr</v>
      </c>
    </row>
    <row r="611" spans="2:20" x14ac:dyDescent="0.3">
      <c r="B611" s="7">
        <v>610</v>
      </c>
      <c r="C611" s="7" t="s">
        <v>1671</v>
      </c>
      <c r="D611" s="7" t="s">
        <v>1672</v>
      </c>
      <c r="E611" s="7" t="str">
        <f t="shared" si="27"/>
        <v>Nov</v>
      </c>
      <c r="F611" s="7" t="s">
        <v>1673</v>
      </c>
      <c r="G611" s="7" t="s">
        <v>102</v>
      </c>
      <c r="H611" s="7" t="s">
        <v>58</v>
      </c>
      <c r="I611" s="7" t="s">
        <v>20</v>
      </c>
      <c r="J611" s="7" t="s">
        <v>29</v>
      </c>
      <c r="K611" s="7" t="s">
        <v>22</v>
      </c>
      <c r="L611" s="7">
        <v>1121.57</v>
      </c>
      <c r="M611" s="7">
        <v>3</v>
      </c>
      <c r="N611" s="7">
        <v>0.23</v>
      </c>
      <c r="O611" s="7">
        <v>150.47</v>
      </c>
      <c r="P611" s="7" t="s">
        <v>23</v>
      </c>
      <c r="Q611" s="7" t="s">
        <v>32</v>
      </c>
      <c r="R611" s="7">
        <v>5</v>
      </c>
      <c r="S611" s="7">
        <f t="shared" si="28"/>
        <v>2025</v>
      </c>
      <c r="T611" s="7" t="str">
        <f t="shared" si="29"/>
        <v>Nov</v>
      </c>
    </row>
    <row r="612" spans="2:20" x14ac:dyDescent="0.3">
      <c r="B612" s="7">
        <v>611</v>
      </c>
      <c r="C612" s="7" t="s">
        <v>1674</v>
      </c>
      <c r="D612" s="7" t="s">
        <v>617</v>
      </c>
      <c r="E612" s="7" t="str">
        <f t="shared" si="27"/>
        <v>Apr</v>
      </c>
      <c r="F612" s="7" t="s">
        <v>1675</v>
      </c>
      <c r="G612" s="7" t="s">
        <v>44</v>
      </c>
      <c r="H612" s="7" t="s">
        <v>45</v>
      </c>
      <c r="I612" s="7" t="s">
        <v>116</v>
      </c>
      <c r="J612" s="7" t="s">
        <v>66</v>
      </c>
      <c r="K612" s="7" t="s">
        <v>53</v>
      </c>
      <c r="L612" s="7">
        <v>2763.97</v>
      </c>
      <c r="M612" s="7">
        <v>5</v>
      </c>
      <c r="N612" s="7">
        <v>0.05</v>
      </c>
      <c r="O612" s="7">
        <v>554.58000000000004</v>
      </c>
      <c r="P612" s="7" t="s">
        <v>23</v>
      </c>
      <c r="Q612" s="7" t="s">
        <v>77</v>
      </c>
      <c r="R612" s="7">
        <v>2</v>
      </c>
      <c r="S612" s="7">
        <f t="shared" si="28"/>
        <v>2024</v>
      </c>
      <c r="T612" s="7" t="str">
        <f t="shared" si="29"/>
        <v>Apr</v>
      </c>
    </row>
    <row r="613" spans="2:20" x14ac:dyDescent="0.3">
      <c r="B613" s="7">
        <v>612</v>
      </c>
      <c r="C613" s="7" t="s">
        <v>1676</v>
      </c>
      <c r="D613" s="7" t="s">
        <v>1677</v>
      </c>
      <c r="E613" s="7" t="str">
        <f t="shared" si="27"/>
        <v>Apr</v>
      </c>
      <c r="F613" s="7" t="s">
        <v>1678</v>
      </c>
      <c r="G613" s="7" t="s">
        <v>18</v>
      </c>
      <c r="H613" s="7" t="s">
        <v>58</v>
      </c>
      <c r="I613" s="7" t="s">
        <v>38</v>
      </c>
      <c r="J613" s="7" t="s">
        <v>29</v>
      </c>
      <c r="K613" s="7" t="s">
        <v>22</v>
      </c>
      <c r="L613" s="7">
        <v>319.10000000000002</v>
      </c>
      <c r="M613" s="7">
        <v>1</v>
      </c>
      <c r="N613" s="7">
        <v>0.17</v>
      </c>
      <c r="O613" s="7">
        <v>96.67</v>
      </c>
      <c r="P613" s="7" t="s">
        <v>31</v>
      </c>
      <c r="Q613" s="7" t="s">
        <v>32</v>
      </c>
      <c r="R613" s="7">
        <v>8</v>
      </c>
      <c r="S613" s="7">
        <f t="shared" si="28"/>
        <v>2024</v>
      </c>
      <c r="T613" s="7" t="str">
        <f t="shared" si="29"/>
        <v>Apr</v>
      </c>
    </row>
    <row r="614" spans="2:20" x14ac:dyDescent="0.3">
      <c r="B614" s="7">
        <v>613</v>
      </c>
      <c r="C614" s="7" t="s">
        <v>1679</v>
      </c>
      <c r="D614" s="7" t="s">
        <v>1680</v>
      </c>
      <c r="E614" s="7" t="str">
        <f t="shared" si="27"/>
        <v>Jun</v>
      </c>
      <c r="F614" s="7" t="s">
        <v>1681</v>
      </c>
      <c r="G614" s="7" t="s">
        <v>102</v>
      </c>
      <c r="H614" s="7" t="s">
        <v>51</v>
      </c>
      <c r="I614" s="7" t="s">
        <v>106</v>
      </c>
      <c r="J614" s="7" t="s">
        <v>66</v>
      </c>
      <c r="K614" s="7" t="s">
        <v>67</v>
      </c>
      <c r="L614" s="7">
        <v>433.11</v>
      </c>
      <c r="M614" s="7">
        <v>1</v>
      </c>
      <c r="N614" s="7">
        <v>0.13</v>
      </c>
      <c r="O614" s="7">
        <v>91.4</v>
      </c>
      <c r="P614" s="7" t="s">
        <v>54</v>
      </c>
      <c r="Q614" s="7" t="s">
        <v>32</v>
      </c>
      <c r="R614" s="7">
        <v>3</v>
      </c>
      <c r="S614" s="7">
        <f t="shared" si="28"/>
        <v>2025</v>
      </c>
      <c r="T614" s="7" t="str">
        <f t="shared" si="29"/>
        <v>Jun</v>
      </c>
    </row>
    <row r="615" spans="2:20" x14ac:dyDescent="0.3">
      <c r="B615" s="7">
        <v>614</v>
      </c>
      <c r="C615" s="7" t="s">
        <v>1682</v>
      </c>
      <c r="D615" s="7" t="s">
        <v>463</v>
      </c>
      <c r="E615" s="7" t="str">
        <f t="shared" si="27"/>
        <v>Nov</v>
      </c>
      <c r="F615" s="7" t="s">
        <v>1683</v>
      </c>
      <c r="G615" s="7" t="s">
        <v>64</v>
      </c>
      <c r="H615" s="7" t="s">
        <v>65</v>
      </c>
      <c r="I615" s="7" t="s">
        <v>20</v>
      </c>
      <c r="J615" s="7" t="s">
        <v>21</v>
      </c>
      <c r="K615" s="7" t="s">
        <v>76</v>
      </c>
      <c r="L615" s="7">
        <v>206.26</v>
      </c>
      <c r="M615" s="7">
        <v>3</v>
      </c>
      <c r="N615" s="7">
        <v>0.15</v>
      </c>
      <c r="O615" s="7">
        <v>63.76</v>
      </c>
      <c r="P615" s="7" t="s">
        <v>54</v>
      </c>
      <c r="Q615" s="7" t="s">
        <v>86</v>
      </c>
      <c r="R615" s="7">
        <v>10</v>
      </c>
      <c r="S615" s="7">
        <f t="shared" si="28"/>
        <v>2024</v>
      </c>
      <c r="T615" s="7" t="str">
        <f t="shared" si="29"/>
        <v>Nov</v>
      </c>
    </row>
    <row r="616" spans="2:20" x14ac:dyDescent="0.3">
      <c r="B616" s="7">
        <v>615</v>
      </c>
      <c r="C616" s="7" t="s">
        <v>1684</v>
      </c>
      <c r="D616" s="7" t="s">
        <v>1685</v>
      </c>
      <c r="E616" s="7" t="str">
        <f t="shared" si="27"/>
        <v>Jan</v>
      </c>
      <c r="F616" s="7" t="s">
        <v>1686</v>
      </c>
      <c r="G616" s="7" t="s">
        <v>102</v>
      </c>
      <c r="H616" s="7" t="s">
        <v>65</v>
      </c>
      <c r="I616" s="7" t="s">
        <v>52</v>
      </c>
      <c r="J616" s="7" t="s">
        <v>21</v>
      </c>
      <c r="K616" s="7" t="s">
        <v>72</v>
      </c>
      <c r="L616" s="7">
        <v>305.25</v>
      </c>
      <c r="M616" s="7">
        <v>4</v>
      </c>
      <c r="N616" s="7">
        <v>0.3</v>
      </c>
      <c r="O616" s="7">
        <v>92.53</v>
      </c>
      <c r="P616" s="7" t="s">
        <v>31</v>
      </c>
      <c r="Q616" s="7" t="s">
        <v>24</v>
      </c>
      <c r="R616" s="7">
        <v>1</v>
      </c>
      <c r="S616" s="7">
        <f t="shared" si="28"/>
        <v>2025</v>
      </c>
      <c r="T616" s="7" t="str">
        <f t="shared" si="29"/>
        <v>Jan</v>
      </c>
    </row>
    <row r="617" spans="2:20" x14ac:dyDescent="0.3">
      <c r="B617" s="7">
        <v>616</v>
      </c>
      <c r="C617" s="7" t="s">
        <v>1687</v>
      </c>
      <c r="D617" s="7" t="s">
        <v>1688</v>
      </c>
      <c r="E617" s="7" t="str">
        <f t="shared" si="27"/>
        <v>Jul</v>
      </c>
      <c r="F617" s="7" t="s">
        <v>1689</v>
      </c>
      <c r="G617" s="7" t="s">
        <v>36</v>
      </c>
      <c r="H617" s="7" t="s">
        <v>58</v>
      </c>
      <c r="I617" s="7" t="s">
        <v>28</v>
      </c>
      <c r="J617" s="7" t="s">
        <v>66</v>
      </c>
      <c r="K617" s="7" t="s">
        <v>22</v>
      </c>
      <c r="L617" s="7">
        <v>897.87</v>
      </c>
      <c r="M617" s="7">
        <v>1</v>
      </c>
      <c r="N617" s="7">
        <v>0.14000000000000001</v>
      </c>
      <c r="O617" s="7">
        <v>285.26</v>
      </c>
      <c r="P617" s="7" t="s">
        <v>23</v>
      </c>
      <c r="Q617" s="7" t="s">
        <v>24</v>
      </c>
      <c r="R617" s="7">
        <v>6</v>
      </c>
      <c r="S617" s="7">
        <f t="shared" si="28"/>
        <v>2024</v>
      </c>
      <c r="T617" s="7" t="str">
        <f t="shared" si="29"/>
        <v>Jul</v>
      </c>
    </row>
    <row r="618" spans="2:20" x14ac:dyDescent="0.3">
      <c r="B618" s="7">
        <v>617</v>
      </c>
      <c r="C618" s="7" t="s">
        <v>1690</v>
      </c>
      <c r="D618" s="7" t="s">
        <v>1691</v>
      </c>
      <c r="E618" s="7" t="str">
        <f t="shared" si="27"/>
        <v>Oct</v>
      </c>
      <c r="F618" s="7" t="s">
        <v>1692</v>
      </c>
      <c r="G618" s="7" t="s">
        <v>18</v>
      </c>
      <c r="H618" s="7" t="s">
        <v>71</v>
      </c>
      <c r="I618" s="7" t="s">
        <v>116</v>
      </c>
      <c r="J618" s="7" t="s">
        <v>21</v>
      </c>
      <c r="K618" s="7" t="s">
        <v>30</v>
      </c>
      <c r="L618" s="7">
        <v>1837.34</v>
      </c>
      <c r="M618" s="7">
        <v>2</v>
      </c>
      <c r="N618" s="7">
        <v>0.06</v>
      </c>
      <c r="O618" s="7">
        <v>320.16000000000003</v>
      </c>
      <c r="P618" s="7" t="s">
        <v>54</v>
      </c>
      <c r="Q618" s="7" t="s">
        <v>77</v>
      </c>
      <c r="R618" s="7">
        <v>7</v>
      </c>
      <c r="S618" s="7">
        <f t="shared" si="28"/>
        <v>2025</v>
      </c>
      <c r="T618" s="7" t="str">
        <f t="shared" si="29"/>
        <v>Oct</v>
      </c>
    </row>
    <row r="619" spans="2:20" x14ac:dyDescent="0.3">
      <c r="B619" s="7">
        <v>618</v>
      </c>
      <c r="C619" s="7" t="s">
        <v>1693</v>
      </c>
      <c r="D619" s="7" t="s">
        <v>1694</v>
      </c>
      <c r="E619" s="7" t="str">
        <f t="shared" si="27"/>
        <v>Nov</v>
      </c>
      <c r="F619" s="7" t="s">
        <v>1695</v>
      </c>
      <c r="G619" s="7" t="s">
        <v>18</v>
      </c>
      <c r="H619" s="7" t="s">
        <v>71</v>
      </c>
      <c r="I619" s="7" t="s">
        <v>52</v>
      </c>
      <c r="J619" s="7" t="s">
        <v>47</v>
      </c>
      <c r="K619" s="7" t="s">
        <v>82</v>
      </c>
      <c r="L619" s="7">
        <v>102.15</v>
      </c>
      <c r="M619" s="7">
        <v>1</v>
      </c>
      <c r="N619" s="7">
        <v>0.15</v>
      </c>
      <c r="O619" s="7">
        <v>16.02</v>
      </c>
      <c r="P619" s="7" t="s">
        <v>31</v>
      </c>
      <c r="Q619" s="7" t="s">
        <v>86</v>
      </c>
      <c r="R619" s="7">
        <v>1</v>
      </c>
      <c r="S619" s="7">
        <f t="shared" si="28"/>
        <v>2025</v>
      </c>
      <c r="T619" s="7" t="str">
        <f t="shared" si="29"/>
        <v>Nov</v>
      </c>
    </row>
    <row r="620" spans="2:20" x14ac:dyDescent="0.3">
      <c r="B620" s="7">
        <v>619</v>
      </c>
      <c r="C620" s="7" t="s">
        <v>1696</v>
      </c>
      <c r="D620" s="7" t="s">
        <v>1453</v>
      </c>
      <c r="E620" s="7" t="str">
        <f t="shared" si="27"/>
        <v>Nov</v>
      </c>
      <c r="F620" s="7" t="s">
        <v>125</v>
      </c>
      <c r="G620" s="7" t="s">
        <v>36</v>
      </c>
      <c r="H620" s="7" t="s">
        <v>58</v>
      </c>
      <c r="I620" s="7" t="s">
        <v>28</v>
      </c>
      <c r="J620" s="7" t="s">
        <v>29</v>
      </c>
      <c r="K620" s="7" t="s">
        <v>76</v>
      </c>
      <c r="L620" s="7">
        <v>2081.63</v>
      </c>
      <c r="M620" s="7">
        <v>4</v>
      </c>
      <c r="N620" s="7">
        <v>0.05</v>
      </c>
      <c r="O620" s="7">
        <v>709.16</v>
      </c>
      <c r="P620" s="7" t="s">
        <v>23</v>
      </c>
      <c r="Q620" s="7" t="s">
        <v>24</v>
      </c>
      <c r="R620" s="7">
        <v>4</v>
      </c>
      <c r="S620" s="7">
        <f t="shared" si="28"/>
        <v>2025</v>
      </c>
      <c r="T620" s="7" t="str">
        <f t="shared" si="29"/>
        <v>Nov</v>
      </c>
    </row>
    <row r="621" spans="2:20" x14ac:dyDescent="0.3">
      <c r="B621" s="7">
        <v>620</v>
      </c>
      <c r="C621" s="7" t="s">
        <v>1697</v>
      </c>
      <c r="D621" s="7" t="s">
        <v>1595</v>
      </c>
      <c r="E621" s="7" t="str">
        <f t="shared" si="27"/>
        <v>Jun</v>
      </c>
      <c r="F621" s="7" t="s">
        <v>1698</v>
      </c>
      <c r="G621" s="7" t="s">
        <v>44</v>
      </c>
      <c r="H621" s="7" t="s">
        <v>45</v>
      </c>
      <c r="I621" s="7" t="s">
        <v>20</v>
      </c>
      <c r="J621" s="7" t="s">
        <v>29</v>
      </c>
      <c r="K621" s="7" t="s">
        <v>72</v>
      </c>
      <c r="L621" s="7">
        <v>1686.89</v>
      </c>
      <c r="M621" s="7">
        <v>5</v>
      </c>
      <c r="N621" s="7">
        <v>0.12</v>
      </c>
      <c r="O621" s="7">
        <v>242.98</v>
      </c>
      <c r="P621" s="7" t="s">
        <v>23</v>
      </c>
      <c r="Q621" s="7" t="s">
        <v>40</v>
      </c>
      <c r="R621" s="7">
        <v>5</v>
      </c>
      <c r="S621" s="7">
        <f t="shared" si="28"/>
        <v>2024</v>
      </c>
      <c r="T621" s="7" t="str">
        <f t="shared" si="29"/>
        <v>Jun</v>
      </c>
    </row>
    <row r="622" spans="2:20" x14ac:dyDescent="0.3">
      <c r="B622" s="7">
        <v>621</v>
      </c>
      <c r="C622" s="7" t="s">
        <v>1699</v>
      </c>
      <c r="D622" s="7" t="s">
        <v>1700</v>
      </c>
      <c r="E622" s="7" t="str">
        <f t="shared" si="27"/>
        <v>Nov</v>
      </c>
      <c r="F622" s="7" t="s">
        <v>1701</v>
      </c>
      <c r="G622" s="7" t="s">
        <v>44</v>
      </c>
      <c r="H622" s="7" t="s">
        <v>58</v>
      </c>
      <c r="I622" s="7" t="s">
        <v>59</v>
      </c>
      <c r="J622" s="7" t="s">
        <v>29</v>
      </c>
      <c r="K622" s="7" t="s">
        <v>72</v>
      </c>
      <c r="L622" s="7">
        <v>2798.82</v>
      </c>
      <c r="M622" s="7">
        <v>3</v>
      </c>
      <c r="N622" s="7">
        <v>0.17</v>
      </c>
      <c r="O622" s="7">
        <v>308.02999999999997</v>
      </c>
      <c r="P622" s="7" t="s">
        <v>54</v>
      </c>
      <c r="Q622" s="7" t="s">
        <v>86</v>
      </c>
      <c r="R622" s="7">
        <v>4</v>
      </c>
      <c r="S622" s="7">
        <f t="shared" si="28"/>
        <v>2025</v>
      </c>
      <c r="T622" s="7" t="str">
        <f t="shared" si="29"/>
        <v>Nov</v>
      </c>
    </row>
    <row r="623" spans="2:20" x14ac:dyDescent="0.3">
      <c r="B623" s="7">
        <v>622</v>
      </c>
      <c r="C623" s="7" t="s">
        <v>1702</v>
      </c>
      <c r="D623" s="7" t="s">
        <v>1703</v>
      </c>
      <c r="E623" s="7" t="str">
        <f t="shared" si="27"/>
        <v>Aug</v>
      </c>
      <c r="F623" s="7" t="s">
        <v>1704</v>
      </c>
      <c r="G623" s="7" t="s">
        <v>102</v>
      </c>
      <c r="H623" s="7" t="s">
        <v>71</v>
      </c>
      <c r="I623" s="7" t="s">
        <v>106</v>
      </c>
      <c r="J623" s="7" t="s">
        <v>29</v>
      </c>
      <c r="K623" s="7" t="s">
        <v>67</v>
      </c>
      <c r="L623" s="7">
        <v>1978.71</v>
      </c>
      <c r="M623" s="7">
        <v>5</v>
      </c>
      <c r="N623" s="7">
        <v>0.12</v>
      </c>
      <c r="O623" s="7">
        <v>606.30999999999995</v>
      </c>
      <c r="P623" s="7" t="s">
        <v>31</v>
      </c>
      <c r="Q623" s="7" t="s">
        <v>40</v>
      </c>
      <c r="R623" s="7">
        <v>5</v>
      </c>
      <c r="S623" s="7">
        <f t="shared" si="28"/>
        <v>2024</v>
      </c>
      <c r="T623" s="7" t="str">
        <f t="shared" si="29"/>
        <v>Aug</v>
      </c>
    </row>
    <row r="624" spans="2:20" x14ac:dyDescent="0.3">
      <c r="B624" s="7">
        <v>623</v>
      </c>
      <c r="C624" s="7" t="s">
        <v>1705</v>
      </c>
      <c r="D624" s="7" t="s">
        <v>668</v>
      </c>
      <c r="E624" s="7" t="str">
        <f t="shared" si="27"/>
        <v>Apr</v>
      </c>
      <c r="F624" s="7" t="s">
        <v>1706</v>
      </c>
      <c r="G624" s="7" t="s">
        <v>44</v>
      </c>
      <c r="H624" s="7" t="s">
        <v>71</v>
      </c>
      <c r="I624" s="7" t="s">
        <v>59</v>
      </c>
      <c r="J624" s="7" t="s">
        <v>29</v>
      </c>
      <c r="K624" s="7" t="s">
        <v>53</v>
      </c>
      <c r="L624" s="7">
        <v>3527.94</v>
      </c>
      <c r="M624" s="7">
        <v>4</v>
      </c>
      <c r="N624" s="7">
        <v>0.24</v>
      </c>
      <c r="O624" s="7">
        <v>1056.17</v>
      </c>
      <c r="P624" s="7" t="s">
        <v>54</v>
      </c>
      <c r="Q624" s="7" t="s">
        <v>32</v>
      </c>
      <c r="R624" s="7">
        <v>9</v>
      </c>
      <c r="S624" s="7">
        <f t="shared" si="28"/>
        <v>2025</v>
      </c>
      <c r="T624" s="7" t="str">
        <f t="shared" si="29"/>
        <v>Apr</v>
      </c>
    </row>
    <row r="625" spans="2:20" x14ac:dyDescent="0.3">
      <c r="B625" s="7">
        <v>624</v>
      </c>
      <c r="C625" s="7" t="s">
        <v>1707</v>
      </c>
      <c r="D625" s="7" t="s">
        <v>1708</v>
      </c>
      <c r="E625" s="7" t="str">
        <f t="shared" si="27"/>
        <v>Aug</v>
      </c>
      <c r="F625" s="7" t="s">
        <v>1709</v>
      </c>
      <c r="G625" s="7" t="s">
        <v>102</v>
      </c>
      <c r="H625" s="7" t="s">
        <v>45</v>
      </c>
      <c r="I625" s="7" t="s">
        <v>46</v>
      </c>
      <c r="J625" s="7" t="s">
        <v>21</v>
      </c>
      <c r="K625" s="7" t="s">
        <v>72</v>
      </c>
      <c r="L625" s="7">
        <v>817.9</v>
      </c>
      <c r="M625" s="7">
        <v>1</v>
      </c>
      <c r="N625" s="7">
        <v>0.25</v>
      </c>
      <c r="O625" s="7">
        <v>119.3</v>
      </c>
      <c r="P625" s="7" t="s">
        <v>23</v>
      </c>
      <c r="Q625" s="7" t="s">
        <v>24</v>
      </c>
      <c r="R625" s="7">
        <v>9</v>
      </c>
      <c r="S625" s="7">
        <f t="shared" si="28"/>
        <v>2025</v>
      </c>
      <c r="T625" s="7" t="str">
        <f t="shared" si="29"/>
        <v>Aug</v>
      </c>
    </row>
    <row r="626" spans="2:20" x14ac:dyDescent="0.3">
      <c r="B626" s="7">
        <v>625</v>
      </c>
      <c r="C626" s="7" t="s">
        <v>1710</v>
      </c>
      <c r="D626" s="7" t="s">
        <v>34</v>
      </c>
      <c r="E626" s="7" t="str">
        <f t="shared" si="27"/>
        <v>Nov</v>
      </c>
      <c r="F626" s="7" t="s">
        <v>1711</v>
      </c>
      <c r="G626" s="7" t="s">
        <v>36</v>
      </c>
      <c r="H626" s="7" t="s">
        <v>45</v>
      </c>
      <c r="I626" s="7" t="s">
        <v>59</v>
      </c>
      <c r="J626" s="7" t="s">
        <v>47</v>
      </c>
      <c r="K626" s="7" t="s">
        <v>76</v>
      </c>
      <c r="L626" s="7">
        <v>2013.13</v>
      </c>
      <c r="M626" s="7">
        <v>5</v>
      </c>
      <c r="N626" s="7">
        <v>0.13</v>
      </c>
      <c r="O626" s="7">
        <v>671.51</v>
      </c>
      <c r="P626" s="7" t="s">
        <v>23</v>
      </c>
      <c r="Q626" s="7" t="s">
        <v>40</v>
      </c>
      <c r="R626" s="7">
        <v>6</v>
      </c>
      <c r="S626" s="7">
        <f t="shared" si="28"/>
        <v>2025</v>
      </c>
      <c r="T626" s="7" t="str">
        <f t="shared" si="29"/>
        <v>Nov</v>
      </c>
    </row>
    <row r="627" spans="2:20" x14ac:dyDescent="0.3">
      <c r="B627" s="7">
        <v>626</v>
      </c>
      <c r="C627" s="7" t="s">
        <v>1712</v>
      </c>
      <c r="D627" s="7" t="s">
        <v>1713</v>
      </c>
      <c r="E627" s="7" t="str">
        <f t="shared" si="27"/>
        <v>Sep</v>
      </c>
      <c r="F627" s="7" t="s">
        <v>1714</v>
      </c>
      <c r="G627" s="7" t="s">
        <v>102</v>
      </c>
      <c r="H627" s="7" t="s">
        <v>51</v>
      </c>
      <c r="I627" s="7" t="s">
        <v>38</v>
      </c>
      <c r="J627" s="7" t="s">
        <v>81</v>
      </c>
      <c r="K627" s="7" t="s">
        <v>82</v>
      </c>
      <c r="L627" s="7">
        <v>4363.8100000000004</v>
      </c>
      <c r="M627" s="7">
        <v>5</v>
      </c>
      <c r="N627" s="7">
        <v>0.13</v>
      </c>
      <c r="O627" s="7">
        <v>671.25</v>
      </c>
      <c r="P627" s="7" t="s">
        <v>23</v>
      </c>
      <c r="Q627" s="7" t="s">
        <v>77</v>
      </c>
      <c r="R627" s="7">
        <v>6</v>
      </c>
      <c r="S627" s="7">
        <f t="shared" si="28"/>
        <v>2024</v>
      </c>
      <c r="T627" s="7" t="str">
        <f t="shared" si="29"/>
        <v>Sep</v>
      </c>
    </row>
    <row r="628" spans="2:20" x14ac:dyDescent="0.3">
      <c r="B628" s="7">
        <v>627</v>
      </c>
      <c r="C628" s="7" t="s">
        <v>1715</v>
      </c>
      <c r="D628" s="7" t="s">
        <v>525</v>
      </c>
      <c r="E628" s="7" t="str">
        <f t="shared" si="27"/>
        <v>Feb</v>
      </c>
      <c r="F628" s="7" t="s">
        <v>1716</v>
      </c>
      <c r="G628" s="7" t="s">
        <v>18</v>
      </c>
      <c r="H628" s="7" t="s">
        <v>37</v>
      </c>
      <c r="I628" s="7" t="s">
        <v>106</v>
      </c>
      <c r="J628" s="7" t="s">
        <v>81</v>
      </c>
      <c r="K628" s="7" t="s">
        <v>82</v>
      </c>
      <c r="L628" s="7">
        <v>110.57</v>
      </c>
      <c r="M628" s="7">
        <v>5</v>
      </c>
      <c r="N628" s="7">
        <v>0.17</v>
      </c>
      <c r="O628" s="7">
        <v>31.28</v>
      </c>
      <c r="P628" s="7" t="s">
        <v>31</v>
      </c>
      <c r="Q628" s="7" t="s">
        <v>86</v>
      </c>
      <c r="R628" s="7">
        <v>2</v>
      </c>
      <c r="S628" s="7">
        <f t="shared" si="28"/>
        <v>2025</v>
      </c>
      <c r="T628" s="7" t="str">
        <f t="shared" si="29"/>
        <v>Feb</v>
      </c>
    </row>
    <row r="629" spans="2:20" x14ac:dyDescent="0.3">
      <c r="B629" s="7">
        <v>628</v>
      </c>
      <c r="C629" s="7" t="s">
        <v>1717</v>
      </c>
      <c r="D629" s="7" t="s">
        <v>932</v>
      </c>
      <c r="E629" s="7" t="str">
        <f t="shared" si="27"/>
        <v>Jul</v>
      </c>
      <c r="F629" s="7" t="s">
        <v>1718</v>
      </c>
      <c r="G629" s="7" t="s">
        <v>64</v>
      </c>
      <c r="H629" s="7" t="s">
        <v>19</v>
      </c>
      <c r="I629" s="7" t="s">
        <v>116</v>
      </c>
      <c r="J629" s="7" t="s">
        <v>66</v>
      </c>
      <c r="K629" s="7" t="s">
        <v>60</v>
      </c>
      <c r="L629" s="7">
        <v>491.29</v>
      </c>
      <c r="M629" s="7">
        <v>1</v>
      </c>
      <c r="N629" s="7">
        <v>0.24</v>
      </c>
      <c r="O629" s="7">
        <v>75.39</v>
      </c>
      <c r="P629" s="7" t="s">
        <v>54</v>
      </c>
      <c r="Q629" s="7" t="s">
        <v>40</v>
      </c>
      <c r="R629" s="7">
        <v>6</v>
      </c>
      <c r="S629" s="7">
        <f t="shared" si="28"/>
        <v>2024</v>
      </c>
      <c r="T629" s="7" t="str">
        <f t="shared" si="29"/>
        <v>Jul</v>
      </c>
    </row>
    <row r="630" spans="2:20" x14ac:dyDescent="0.3">
      <c r="B630" s="7">
        <v>629</v>
      </c>
      <c r="C630" s="7" t="s">
        <v>1719</v>
      </c>
      <c r="D630" s="7" t="s">
        <v>1720</v>
      </c>
      <c r="E630" s="7" t="str">
        <f t="shared" si="27"/>
        <v>Oct</v>
      </c>
      <c r="F630" s="7" t="s">
        <v>1721</v>
      </c>
      <c r="G630" s="7" t="s">
        <v>18</v>
      </c>
      <c r="H630" s="7" t="s">
        <v>65</v>
      </c>
      <c r="I630" s="7" t="s">
        <v>52</v>
      </c>
      <c r="J630" s="7" t="s">
        <v>66</v>
      </c>
      <c r="K630" s="7" t="s">
        <v>76</v>
      </c>
      <c r="L630" s="7">
        <v>3631.11</v>
      </c>
      <c r="M630" s="7">
        <v>4</v>
      </c>
      <c r="N630" s="7">
        <v>0.21</v>
      </c>
      <c r="O630" s="7">
        <v>654.94000000000005</v>
      </c>
      <c r="P630" s="7" t="s">
        <v>54</v>
      </c>
      <c r="Q630" s="7" t="s">
        <v>24</v>
      </c>
      <c r="R630" s="7">
        <v>5</v>
      </c>
      <c r="S630" s="7">
        <f t="shared" si="28"/>
        <v>2024</v>
      </c>
      <c r="T630" s="7" t="str">
        <f t="shared" si="29"/>
        <v>Oct</v>
      </c>
    </row>
    <row r="631" spans="2:20" x14ac:dyDescent="0.3">
      <c r="B631" s="7">
        <v>630</v>
      </c>
      <c r="C631" s="7" t="s">
        <v>1722</v>
      </c>
      <c r="D631" s="7" t="s">
        <v>1646</v>
      </c>
      <c r="E631" s="7" t="str">
        <f t="shared" si="27"/>
        <v>Feb</v>
      </c>
      <c r="F631" s="7" t="s">
        <v>1723</v>
      </c>
      <c r="G631" s="7" t="s">
        <v>36</v>
      </c>
      <c r="H631" s="7" t="s">
        <v>58</v>
      </c>
      <c r="I631" s="7" t="s">
        <v>106</v>
      </c>
      <c r="J631" s="7" t="s">
        <v>21</v>
      </c>
      <c r="K631" s="7" t="s">
        <v>76</v>
      </c>
      <c r="L631" s="7">
        <v>1924.94</v>
      </c>
      <c r="M631" s="7">
        <v>5</v>
      </c>
      <c r="N631" s="7">
        <v>0.3</v>
      </c>
      <c r="O631" s="7">
        <v>406.72</v>
      </c>
      <c r="P631" s="7" t="s">
        <v>23</v>
      </c>
      <c r="Q631" s="7" t="s">
        <v>77</v>
      </c>
      <c r="R631" s="7">
        <v>4</v>
      </c>
      <c r="S631" s="7">
        <f t="shared" si="28"/>
        <v>2024</v>
      </c>
      <c r="T631" s="7" t="str">
        <f t="shared" si="29"/>
        <v>Feb</v>
      </c>
    </row>
    <row r="632" spans="2:20" x14ac:dyDescent="0.3">
      <c r="B632" s="7">
        <v>631</v>
      </c>
      <c r="C632" s="7" t="s">
        <v>1724</v>
      </c>
      <c r="D632" s="7" t="s">
        <v>1725</v>
      </c>
      <c r="E632" s="7" t="str">
        <f t="shared" si="27"/>
        <v>Mar</v>
      </c>
      <c r="F632" s="7" t="s">
        <v>1726</v>
      </c>
      <c r="G632" s="7" t="s">
        <v>18</v>
      </c>
      <c r="H632" s="7" t="s">
        <v>58</v>
      </c>
      <c r="I632" s="7" t="s">
        <v>116</v>
      </c>
      <c r="J632" s="7" t="s">
        <v>21</v>
      </c>
      <c r="K632" s="7" t="s">
        <v>53</v>
      </c>
      <c r="L632" s="7">
        <v>636.42999999999995</v>
      </c>
      <c r="M632" s="7">
        <v>1</v>
      </c>
      <c r="N632" s="7">
        <v>0.13</v>
      </c>
      <c r="O632" s="7">
        <v>120.92</v>
      </c>
      <c r="P632" s="7" t="s">
        <v>23</v>
      </c>
      <c r="Q632" s="7" t="s">
        <v>32</v>
      </c>
      <c r="R632" s="7">
        <v>1</v>
      </c>
      <c r="S632" s="7">
        <f t="shared" si="28"/>
        <v>2025</v>
      </c>
      <c r="T632" s="7" t="str">
        <f t="shared" si="29"/>
        <v>Mar</v>
      </c>
    </row>
    <row r="633" spans="2:20" x14ac:dyDescent="0.3">
      <c r="B633" s="7">
        <v>632</v>
      </c>
      <c r="C633" s="7" t="s">
        <v>1727</v>
      </c>
      <c r="D633" s="7" t="s">
        <v>1728</v>
      </c>
      <c r="E633" s="7" t="str">
        <f t="shared" si="27"/>
        <v>Sep</v>
      </c>
      <c r="F633" s="7" t="s">
        <v>1729</v>
      </c>
      <c r="G633" s="7" t="s">
        <v>64</v>
      </c>
      <c r="H633" s="7" t="s">
        <v>58</v>
      </c>
      <c r="I633" s="7" t="s">
        <v>46</v>
      </c>
      <c r="J633" s="7" t="s">
        <v>81</v>
      </c>
      <c r="K633" s="7" t="s">
        <v>60</v>
      </c>
      <c r="L633" s="7">
        <v>749.44</v>
      </c>
      <c r="M633" s="7">
        <v>1</v>
      </c>
      <c r="N633" s="7">
        <v>0.03</v>
      </c>
      <c r="O633" s="7">
        <v>116.49</v>
      </c>
      <c r="P633" s="7" t="s">
        <v>31</v>
      </c>
      <c r="Q633" s="7" t="s">
        <v>40</v>
      </c>
      <c r="R633" s="7">
        <v>9</v>
      </c>
      <c r="S633" s="7">
        <f t="shared" si="28"/>
        <v>2024</v>
      </c>
      <c r="T633" s="7" t="str">
        <f t="shared" si="29"/>
        <v>Sep</v>
      </c>
    </row>
    <row r="634" spans="2:20" x14ac:dyDescent="0.3">
      <c r="B634" s="7">
        <v>633</v>
      </c>
      <c r="C634" s="7" t="s">
        <v>1730</v>
      </c>
      <c r="D634" s="7" t="s">
        <v>818</v>
      </c>
      <c r="E634" s="7" t="str">
        <f t="shared" si="27"/>
        <v>Nov</v>
      </c>
      <c r="F634" s="7" t="s">
        <v>1731</v>
      </c>
      <c r="G634" s="7" t="s">
        <v>44</v>
      </c>
      <c r="H634" s="7" t="s">
        <v>58</v>
      </c>
      <c r="I634" s="7" t="s">
        <v>38</v>
      </c>
      <c r="J634" s="7" t="s">
        <v>81</v>
      </c>
      <c r="K634" s="7" t="s">
        <v>60</v>
      </c>
      <c r="L634" s="7">
        <v>1145.77</v>
      </c>
      <c r="M634" s="7">
        <v>2</v>
      </c>
      <c r="N634" s="7">
        <v>0.24</v>
      </c>
      <c r="O634" s="7">
        <v>164.79</v>
      </c>
      <c r="P634" s="7" t="s">
        <v>31</v>
      </c>
      <c r="Q634" s="7" t="s">
        <v>24</v>
      </c>
      <c r="R634" s="7">
        <v>9</v>
      </c>
      <c r="S634" s="7">
        <f t="shared" si="28"/>
        <v>2024</v>
      </c>
      <c r="T634" s="7" t="str">
        <f t="shared" si="29"/>
        <v>Nov</v>
      </c>
    </row>
    <row r="635" spans="2:20" x14ac:dyDescent="0.3">
      <c r="B635" s="7">
        <v>634</v>
      </c>
      <c r="C635" s="7" t="s">
        <v>1732</v>
      </c>
      <c r="D635" s="7" t="s">
        <v>1733</v>
      </c>
      <c r="E635" s="7" t="str">
        <f t="shared" si="27"/>
        <v>Aug</v>
      </c>
      <c r="F635" s="7" t="s">
        <v>1734</v>
      </c>
      <c r="G635" s="7" t="s">
        <v>44</v>
      </c>
      <c r="H635" s="7" t="s">
        <v>45</v>
      </c>
      <c r="I635" s="7" t="s">
        <v>59</v>
      </c>
      <c r="J635" s="7" t="s">
        <v>21</v>
      </c>
      <c r="K635" s="7" t="s">
        <v>39</v>
      </c>
      <c r="L635" s="7">
        <v>940.87</v>
      </c>
      <c r="M635" s="7">
        <v>4</v>
      </c>
      <c r="N635" s="7">
        <v>0.11</v>
      </c>
      <c r="O635" s="7">
        <v>116.39</v>
      </c>
      <c r="P635" s="7" t="s">
        <v>54</v>
      </c>
      <c r="Q635" s="7" t="s">
        <v>77</v>
      </c>
      <c r="R635" s="7">
        <v>10</v>
      </c>
      <c r="S635" s="7">
        <f t="shared" si="28"/>
        <v>2024</v>
      </c>
      <c r="T635" s="7" t="str">
        <f t="shared" si="29"/>
        <v>Aug</v>
      </c>
    </row>
    <row r="636" spans="2:20" x14ac:dyDescent="0.3">
      <c r="B636" s="7">
        <v>635</v>
      </c>
      <c r="C636" s="7" t="s">
        <v>1735</v>
      </c>
      <c r="D636" s="7" t="s">
        <v>1733</v>
      </c>
      <c r="E636" s="7" t="str">
        <f t="shared" si="27"/>
        <v>Aug</v>
      </c>
      <c r="F636" s="7" t="s">
        <v>1736</v>
      </c>
      <c r="G636" s="7" t="s">
        <v>102</v>
      </c>
      <c r="H636" s="7" t="s">
        <v>51</v>
      </c>
      <c r="I636" s="7" t="s">
        <v>106</v>
      </c>
      <c r="J636" s="7" t="s">
        <v>29</v>
      </c>
      <c r="K636" s="7" t="s">
        <v>39</v>
      </c>
      <c r="L636" s="7">
        <v>834.81</v>
      </c>
      <c r="M636" s="7">
        <v>1</v>
      </c>
      <c r="N636" s="7">
        <v>0.06</v>
      </c>
      <c r="O636" s="7">
        <v>159.05000000000001</v>
      </c>
      <c r="P636" s="7" t="s">
        <v>54</v>
      </c>
      <c r="Q636" s="7" t="s">
        <v>32</v>
      </c>
      <c r="R636" s="7">
        <v>6</v>
      </c>
      <c r="S636" s="7">
        <f t="shared" si="28"/>
        <v>2024</v>
      </c>
      <c r="T636" s="7" t="str">
        <f t="shared" si="29"/>
        <v>Aug</v>
      </c>
    </row>
    <row r="637" spans="2:20" x14ac:dyDescent="0.3">
      <c r="B637" s="7">
        <v>636</v>
      </c>
      <c r="C637" s="7" t="s">
        <v>1737</v>
      </c>
      <c r="D637" s="7" t="s">
        <v>1738</v>
      </c>
      <c r="E637" s="7" t="str">
        <f t="shared" si="27"/>
        <v>Jan</v>
      </c>
      <c r="F637" s="7" t="s">
        <v>1739</v>
      </c>
      <c r="G637" s="7" t="s">
        <v>44</v>
      </c>
      <c r="H637" s="7" t="s">
        <v>19</v>
      </c>
      <c r="I637" s="7" t="s">
        <v>52</v>
      </c>
      <c r="J637" s="7" t="s">
        <v>29</v>
      </c>
      <c r="K637" s="7" t="s">
        <v>60</v>
      </c>
      <c r="L637" s="7">
        <v>928.06</v>
      </c>
      <c r="M637" s="7">
        <v>2</v>
      </c>
      <c r="N637" s="7">
        <v>0.05</v>
      </c>
      <c r="O637" s="7">
        <v>215</v>
      </c>
      <c r="P637" s="7" t="s">
        <v>23</v>
      </c>
      <c r="Q637" s="7" t="s">
        <v>77</v>
      </c>
      <c r="R637" s="7">
        <v>3</v>
      </c>
      <c r="S637" s="7">
        <f t="shared" si="28"/>
        <v>2025</v>
      </c>
      <c r="T637" s="7" t="str">
        <f t="shared" si="29"/>
        <v>Jan</v>
      </c>
    </row>
    <row r="638" spans="2:20" x14ac:dyDescent="0.3">
      <c r="B638" s="7">
        <v>637</v>
      </c>
      <c r="C638" s="7" t="s">
        <v>1740</v>
      </c>
      <c r="D638" s="7" t="s">
        <v>438</v>
      </c>
      <c r="E638" s="7" t="str">
        <f t="shared" si="27"/>
        <v>Aug</v>
      </c>
      <c r="F638" s="7" t="s">
        <v>1741</v>
      </c>
      <c r="G638" s="7" t="s">
        <v>18</v>
      </c>
      <c r="H638" s="7" t="s">
        <v>37</v>
      </c>
      <c r="I638" s="7" t="s">
        <v>59</v>
      </c>
      <c r="J638" s="7" t="s">
        <v>21</v>
      </c>
      <c r="K638" s="7" t="s">
        <v>39</v>
      </c>
      <c r="L638" s="7">
        <v>801.79</v>
      </c>
      <c r="M638" s="7">
        <v>1</v>
      </c>
      <c r="N638" s="7">
        <v>0.16</v>
      </c>
      <c r="O638" s="7">
        <v>97.51</v>
      </c>
      <c r="P638" s="7" t="s">
        <v>31</v>
      </c>
      <c r="Q638" s="7" t="s">
        <v>40</v>
      </c>
      <c r="R638" s="7">
        <v>6</v>
      </c>
      <c r="S638" s="7">
        <f t="shared" si="28"/>
        <v>2024</v>
      </c>
      <c r="T638" s="7" t="str">
        <f t="shared" si="29"/>
        <v>Aug</v>
      </c>
    </row>
    <row r="639" spans="2:20" x14ac:dyDescent="0.3">
      <c r="B639" s="7">
        <v>638</v>
      </c>
      <c r="C639" s="7" t="s">
        <v>1742</v>
      </c>
      <c r="D639" s="7" t="s">
        <v>1743</v>
      </c>
      <c r="E639" s="7" t="str">
        <f t="shared" si="27"/>
        <v>Apr</v>
      </c>
      <c r="F639" s="7" t="s">
        <v>1744</v>
      </c>
      <c r="G639" s="7" t="s">
        <v>36</v>
      </c>
      <c r="H639" s="7" t="s">
        <v>71</v>
      </c>
      <c r="I639" s="7" t="s">
        <v>46</v>
      </c>
      <c r="J639" s="7" t="s">
        <v>81</v>
      </c>
      <c r="K639" s="7" t="s">
        <v>22</v>
      </c>
      <c r="L639" s="7">
        <v>2881.47</v>
      </c>
      <c r="M639" s="7">
        <v>5</v>
      </c>
      <c r="N639" s="7">
        <v>0.14000000000000001</v>
      </c>
      <c r="O639" s="7">
        <v>487.77</v>
      </c>
      <c r="P639" s="7" t="s">
        <v>23</v>
      </c>
      <c r="Q639" s="7" t="s">
        <v>40</v>
      </c>
      <c r="R639" s="7">
        <v>3</v>
      </c>
      <c r="S639" s="7">
        <f t="shared" si="28"/>
        <v>2024</v>
      </c>
      <c r="T639" s="7" t="str">
        <f t="shared" si="29"/>
        <v>Apr</v>
      </c>
    </row>
    <row r="640" spans="2:20" x14ac:dyDescent="0.3">
      <c r="B640" s="7">
        <v>639</v>
      </c>
      <c r="C640" s="7" t="s">
        <v>1745</v>
      </c>
      <c r="D640" s="7" t="s">
        <v>942</v>
      </c>
      <c r="E640" s="7" t="str">
        <f t="shared" si="27"/>
        <v>Apr</v>
      </c>
      <c r="F640" s="7" t="s">
        <v>1746</v>
      </c>
      <c r="G640" s="7" t="s">
        <v>36</v>
      </c>
      <c r="H640" s="7" t="s">
        <v>71</v>
      </c>
      <c r="I640" s="7" t="s">
        <v>28</v>
      </c>
      <c r="J640" s="7" t="s">
        <v>47</v>
      </c>
      <c r="K640" s="7" t="s">
        <v>60</v>
      </c>
      <c r="L640" s="7">
        <v>177.78</v>
      </c>
      <c r="M640" s="7">
        <v>4</v>
      </c>
      <c r="N640" s="7">
        <v>0.22</v>
      </c>
      <c r="O640" s="7">
        <v>42.12</v>
      </c>
      <c r="P640" s="7" t="s">
        <v>54</v>
      </c>
      <c r="Q640" s="7" t="s">
        <v>32</v>
      </c>
      <c r="R640" s="7">
        <v>8</v>
      </c>
      <c r="S640" s="7">
        <f t="shared" si="28"/>
        <v>2025</v>
      </c>
      <c r="T640" s="7" t="str">
        <f t="shared" si="29"/>
        <v>Apr</v>
      </c>
    </row>
    <row r="641" spans="2:20" x14ac:dyDescent="0.3">
      <c r="B641" s="7">
        <v>640</v>
      </c>
      <c r="C641" s="7" t="s">
        <v>1747</v>
      </c>
      <c r="D641" s="7" t="s">
        <v>1748</v>
      </c>
      <c r="E641" s="7" t="str">
        <f t="shared" si="27"/>
        <v>Dec</v>
      </c>
      <c r="F641" s="7" t="s">
        <v>1749</v>
      </c>
      <c r="G641" s="7" t="s">
        <v>36</v>
      </c>
      <c r="H641" s="7" t="s">
        <v>51</v>
      </c>
      <c r="I641" s="7" t="s">
        <v>52</v>
      </c>
      <c r="J641" s="7" t="s">
        <v>21</v>
      </c>
      <c r="K641" s="7" t="s">
        <v>82</v>
      </c>
      <c r="L641" s="7">
        <v>2934.63</v>
      </c>
      <c r="M641" s="7">
        <v>5</v>
      </c>
      <c r="N641" s="7">
        <v>0.25</v>
      </c>
      <c r="O641" s="7">
        <v>698.5</v>
      </c>
      <c r="P641" s="7" t="s">
        <v>23</v>
      </c>
      <c r="Q641" s="7" t="s">
        <v>24</v>
      </c>
      <c r="R641" s="7">
        <v>6</v>
      </c>
      <c r="S641" s="7">
        <f t="shared" si="28"/>
        <v>2025</v>
      </c>
      <c r="T641" s="7" t="str">
        <f t="shared" si="29"/>
        <v>Dec</v>
      </c>
    </row>
    <row r="642" spans="2:20" x14ac:dyDescent="0.3">
      <c r="B642" s="7">
        <v>641</v>
      </c>
      <c r="C642" s="7" t="s">
        <v>1750</v>
      </c>
      <c r="D642" s="7" t="s">
        <v>1751</v>
      </c>
      <c r="E642" s="7" t="str">
        <f t="shared" si="27"/>
        <v>Oct</v>
      </c>
      <c r="F642" s="7" t="s">
        <v>1752</v>
      </c>
      <c r="G642" s="7" t="s">
        <v>36</v>
      </c>
      <c r="H642" s="7" t="s">
        <v>45</v>
      </c>
      <c r="I642" s="7" t="s">
        <v>20</v>
      </c>
      <c r="J642" s="7" t="s">
        <v>47</v>
      </c>
      <c r="K642" s="7" t="s">
        <v>72</v>
      </c>
      <c r="L642" s="7">
        <v>1013.06</v>
      </c>
      <c r="M642" s="7">
        <v>3</v>
      </c>
      <c r="N642" s="7">
        <v>0.16</v>
      </c>
      <c r="O642" s="7">
        <v>221.95</v>
      </c>
      <c r="P642" s="7" t="s">
        <v>54</v>
      </c>
      <c r="Q642" s="7" t="s">
        <v>24</v>
      </c>
      <c r="R642" s="7">
        <v>8</v>
      </c>
      <c r="S642" s="7">
        <f t="shared" si="28"/>
        <v>2025</v>
      </c>
      <c r="T642" s="7" t="str">
        <f t="shared" si="29"/>
        <v>Oct</v>
      </c>
    </row>
    <row r="643" spans="2:20" x14ac:dyDescent="0.3">
      <c r="B643" s="7">
        <v>642</v>
      </c>
      <c r="C643" s="7" t="s">
        <v>1753</v>
      </c>
      <c r="D643" s="7" t="s">
        <v>634</v>
      </c>
      <c r="E643" s="7" t="str">
        <f t="shared" ref="E643:E706" si="30">TEXT(D643,"mmm")</f>
        <v>Feb</v>
      </c>
      <c r="F643" s="7" t="s">
        <v>1754</v>
      </c>
      <c r="G643" s="7" t="s">
        <v>18</v>
      </c>
      <c r="H643" s="7" t="s">
        <v>37</v>
      </c>
      <c r="I643" s="7" t="s">
        <v>52</v>
      </c>
      <c r="J643" s="7" t="s">
        <v>47</v>
      </c>
      <c r="K643" s="7" t="s">
        <v>39</v>
      </c>
      <c r="L643" s="7">
        <v>943.23</v>
      </c>
      <c r="M643" s="7">
        <v>2</v>
      </c>
      <c r="N643" s="7">
        <v>0.15</v>
      </c>
      <c r="O643" s="7">
        <v>298.63</v>
      </c>
      <c r="P643" s="7" t="s">
        <v>23</v>
      </c>
      <c r="Q643" s="7" t="s">
        <v>40</v>
      </c>
      <c r="R643" s="7">
        <v>5</v>
      </c>
      <c r="S643" s="7">
        <f t="shared" ref="S643:S706" si="31">YEAR(D643)</f>
        <v>2024</v>
      </c>
      <c r="T643" s="7" t="str">
        <f t="shared" ref="T643:T706" si="32">TEXT(D643,"mmm")</f>
        <v>Feb</v>
      </c>
    </row>
    <row r="644" spans="2:20" x14ac:dyDescent="0.3">
      <c r="B644" s="7">
        <v>643</v>
      </c>
      <c r="C644" s="7" t="s">
        <v>1755</v>
      </c>
      <c r="D644" s="7" t="s">
        <v>1137</v>
      </c>
      <c r="E644" s="7" t="str">
        <f t="shared" si="30"/>
        <v>Dec</v>
      </c>
      <c r="F644" s="7" t="s">
        <v>1756</v>
      </c>
      <c r="G644" s="7" t="s">
        <v>36</v>
      </c>
      <c r="H644" s="7" t="s">
        <v>37</v>
      </c>
      <c r="I644" s="7" t="s">
        <v>46</v>
      </c>
      <c r="J644" s="7" t="s">
        <v>21</v>
      </c>
      <c r="K644" s="7" t="s">
        <v>22</v>
      </c>
      <c r="L644" s="7">
        <v>2044.45</v>
      </c>
      <c r="M644" s="7">
        <v>4</v>
      </c>
      <c r="N644" s="7">
        <v>0.04</v>
      </c>
      <c r="O644" s="7">
        <v>238.01</v>
      </c>
      <c r="P644" s="7" t="s">
        <v>23</v>
      </c>
      <c r="Q644" s="7" t="s">
        <v>32</v>
      </c>
      <c r="R644" s="7">
        <v>7</v>
      </c>
      <c r="S644" s="7">
        <f t="shared" si="31"/>
        <v>2024</v>
      </c>
      <c r="T644" s="7" t="str">
        <f t="shared" si="32"/>
        <v>Dec</v>
      </c>
    </row>
    <row r="645" spans="2:20" x14ac:dyDescent="0.3">
      <c r="B645" s="7">
        <v>644</v>
      </c>
      <c r="C645" s="7" t="s">
        <v>1757</v>
      </c>
      <c r="D645" s="7" t="s">
        <v>1025</v>
      </c>
      <c r="E645" s="7" t="str">
        <f t="shared" si="30"/>
        <v>Feb</v>
      </c>
      <c r="F645" s="7" t="s">
        <v>1758</v>
      </c>
      <c r="G645" s="7" t="s">
        <v>36</v>
      </c>
      <c r="H645" s="7" t="s">
        <v>58</v>
      </c>
      <c r="I645" s="7" t="s">
        <v>46</v>
      </c>
      <c r="J645" s="7" t="s">
        <v>81</v>
      </c>
      <c r="K645" s="7" t="s">
        <v>22</v>
      </c>
      <c r="L645" s="7">
        <v>1843.53</v>
      </c>
      <c r="M645" s="7">
        <v>3</v>
      </c>
      <c r="N645" s="7">
        <v>0.09</v>
      </c>
      <c r="O645" s="7">
        <v>373.02</v>
      </c>
      <c r="P645" s="7" t="s">
        <v>54</v>
      </c>
      <c r="Q645" s="7" t="s">
        <v>32</v>
      </c>
      <c r="R645" s="7">
        <v>7</v>
      </c>
      <c r="S645" s="7">
        <f t="shared" si="31"/>
        <v>2024</v>
      </c>
      <c r="T645" s="7" t="str">
        <f t="shared" si="32"/>
        <v>Feb</v>
      </c>
    </row>
    <row r="646" spans="2:20" x14ac:dyDescent="0.3">
      <c r="B646" s="7">
        <v>645</v>
      </c>
      <c r="C646" s="7" t="s">
        <v>1759</v>
      </c>
      <c r="D646" s="7" t="s">
        <v>145</v>
      </c>
      <c r="E646" s="7" t="str">
        <f t="shared" si="30"/>
        <v>Mar</v>
      </c>
      <c r="F646" s="7" t="s">
        <v>1760</v>
      </c>
      <c r="G646" s="7" t="s">
        <v>64</v>
      </c>
      <c r="H646" s="7" t="s">
        <v>37</v>
      </c>
      <c r="I646" s="7" t="s">
        <v>38</v>
      </c>
      <c r="J646" s="7" t="s">
        <v>21</v>
      </c>
      <c r="K646" s="7" t="s">
        <v>30</v>
      </c>
      <c r="L646" s="7">
        <v>832.55</v>
      </c>
      <c r="M646" s="7">
        <v>1</v>
      </c>
      <c r="N646" s="7">
        <v>0.18</v>
      </c>
      <c r="O646" s="7">
        <v>182.77</v>
      </c>
      <c r="P646" s="7" t="s">
        <v>54</v>
      </c>
      <c r="Q646" s="7" t="s">
        <v>32</v>
      </c>
      <c r="R646" s="7">
        <v>3</v>
      </c>
      <c r="S646" s="7">
        <f t="shared" si="31"/>
        <v>2025</v>
      </c>
      <c r="T646" s="7" t="str">
        <f t="shared" si="32"/>
        <v>Mar</v>
      </c>
    </row>
    <row r="647" spans="2:20" x14ac:dyDescent="0.3">
      <c r="B647" s="7">
        <v>646</v>
      </c>
      <c r="C647" s="7" t="s">
        <v>1761</v>
      </c>
      <c r="D647" s="7" t="s">
        <v>1762</v>
      </c>
      <c r="E647" s="7" t="str">
        <f t="shared" si="30"/>
        <v>Jan</v>
      </c>
      <c r="F647" s="7" t="s">
        <v>734</v>
      </c>
      <c r="G647" s="7" t="s">
        <v>102</v>
      </c>
      <c r="H647" s="7" t="s">
        <v>19</v>
      </c>
      <c r="I647" s="7" t="s">
        <v>20</v>
      </c>
      <c r="J647" s="7" t="s">
        <v>29</v>
      </c>
      <c r="K647" s="7" t="s">
        <v>72</v>
      </c>
      <c r="L647" s="7">
        <v>1264.1199999999999</v>
      </c>
      <c r="M647" s="7">
        <v>3</v>
      </c>
      <c r="N647" s="7">
        <v>0.12</v>
      </c>
      <c r="O647" s="7">
        <v>175.68</v>
      </c>
      <c r="P647" s="7" t="s">
        <v>54</v>
      </c>
      <c r="Q647" s="7" t="s">
        <v>40</v>
      </c>
      <c r="R647" s="7">
        <v>6</v>
      </c>
      <c r="S647" s="7">
        <f t="shared" si="31"/>
        <v>2025</v>
      </c>
      <c r="T647" s="7" t="str">
        <f t="shared" si="32"/>
        <v>Jan</v>
      </c>
    </row>
    <row r="648" spans="2:20" x14ac:dyDescent="0.3">
      <c r="B648" s="7">
        <v>647</v>
      </c>
      <c r="C648" s="7" t="s">
        <v>1763</v>
      </c>
      <c r="D648" s="7" t="s">
        <v>1486</v>
      </c>
      <c r="E648" s="7" t="str">
        <f t="shared" si="30"/>
        <v>May</v>
      </c>
      <c r="F648" s="7" t="s">
        <v>1764</v>
      </c>
      <c r="G648" s="7" t="s">
        <v>102</v>
      </c>
      <c r="H648" s="7" t="s">
        <v>37</v>
      </c>
      <c r="I648" s="7" t="s">
        <v>106</v>
      </c>
      <c r="J648" s="7" t="s">
        <v>81</v>
      </c>
      <c r="K648" s="7" t="s">
        <v>67</v>
      </c>
      <c r="L648" s="7">
        <v>1947.54</v>
      </c>
      <c r="M648" s="7">
        <v>2</v>
      </c>
      <c r="N648" s="7">
        <v>0.17</v>
      </c>
      <c r="O648" s="7">
        <v>540.73</v>
      </c>
      <c r="P648" s="7" t="s">
        <v>31</v>
      </c>
      <c r="Q648" s="7" t="s">
        <v>86</v>
      </c>
      <c r="R648" s="7">
        <v>1</v>
      </c>
      <c r="S648" s="7">
        <f t="shared" si="31"/>
        <v>2024</v>
      </c>
      <c r="T648" s="7" t="str">
        <f t="shared" si="32"/>
        <v>May</v>
      </c>
    </row>
    <row r="649" spans="2:20" x14ac:dyDescent="0.3">
      <c r="B649" s="7">
        <v>648</v>
      </c>
      <c r="C649" s="7" t="s">
        <v>1765</v>
      </c>
      <c r="D649" s="7" t="s">
        <v>1691</v>
      </c>
      <c r="E649" s="7" t="str">
        <f t="shared" si="30"/>
        <v>Oct</v>
      </c>
      <c r="F649" s="7" t="s">
        <v>1766</v>
      </c>
      <c r="G649" s="7" t="s">
        <v>44</v>
      </c>
      <c r="H649" s="7" t="s">
        <v>58</v>
      </c>
      <c r="I649" s="7" t="s">
        <v>20</v>
      </c>
      <c r="J649" s="7" t="s">
        <v>81</v>
      </c>
      <c r="K649" s="7" t="s">
        <v>72</v>
      </c>
      <c r="L649" s="7">
        <v>252.26</v>
      </c>
      <c r="M649" s="7">
        <v>3</v>
      </c>
      <c r="N649" s="7">
        <v>0.2</v>
      </c>
      <c r="O649" s="7">
        <v>30.81</v>
      </c>
      <c r="P649" s="7" t="s">
        <v>23</v>
      </c>
      <c r="Q649" s="7" t="s">
        <v>32</v>
      </c>
      <c r="R649" s="7">
        <v>5</v>
      </c>
      <c r="S649" s="7">
        <f t="shared" si="31"/>
        <v>2025</v>
      </c>
      <c r="T649" s="7" t="str">
        <f t="shared" si="32"/>
        <v>Oct</v>
      </c>
    </row>
    <row r="650" spans="2:20" x14ac:dyDescent="0.3">
      <c r="B650" s="7">
        <v>649</v>
      </c>
      <c r="C650" s="7" t="s">
        <v>1767</v>
      </c>
      <c r="D650" s="7" t="s">
        <v>1107</v>
      </c>
      <c r="E650" s="7" t="str">
        <f t="shared" si="30"/>
        <v>Oct</v>
      </c>
      <c r="F650" s="7" t="s">
        <v>1768</v>
      </c>
      <c r="G650" s="7" t="s">
        <v>64</v>
      </c>
      <c r="H650" s="7" t="s">
        <v>65</v>
      </c>
      <c r="I650" s="7" t="s">
        <v>106</v>
      </c>
      <c r="J650" s="7" t="s">
        <v>47</v>
      </c>
      <c r="K650" s="7" t="s">
        <v>30</v>
      </c>
      <c r="L650" s="7">
        <v>426.03</v>
      </c>
      <c r="M650" s="7">
        <v>1</v>
      </c>
      <c r="N650" s="7">
        <v>0.19</v>
      </c>
      <c r="O650" s="7">
        <v>62.03</v>
      </c>
      <c r="P650" s="7" t="s">
        <v>54</v>
      </c>
      <c r="Q650" s="7" t="s">
        <v>86</v>
      </c>
      <c r="R650" s="7">
        <v>10</v>
      </c>
      <c r="S650" s="7">
        <f t="shared" si="31"/>
        <v>2024</v>
      </c>
      <c r="T650" s="7" t="str">
        <f t="shared" si="32"/>
        <v>Oct</v>
      </c>
    </row>
    <row r="651" spans="2:20" x14ac:dyDescent="0.3">
      <c r="B651" s="7">
        <v>650</v>
      </c>
      <c r="C651" s="7" t="s">
        <v>1769</v>
      </c>
      <c r="D651" s="7" t="s">
        <v>1770</v>
      </c>
      <c r="E651" s="7" t="str">
        <f t="shared" si="30"/>
        <v>Feb</v>
      </c>
      <c r="F651" s="7" t="s">
        <v>1771</v>
      </c>
      <c r="G651" s="7" t="s">
        <v>18</v>
      </c>
      <c r="H651" s="7" t="s">
        <v>37</v>
      </c>
      <c r="I651" s="7" t="s">
        <v>59</v>
      </c>
      <c r="J651" s="7" t="s">
        <v>29</v>
      </c>
      <c r="K651" s="7" t="s">
        <v>72</v>
      </c>
      <c r="L651" s="7">
        <v>168.04</v>
      </c>
      <c r="M651" s="7">
        <v>1</v>
      </c>
      <c r="N651" s="7">
        <v>0.21</v>
      </c>
      <c r="O651" s="7">
        <v>21.47</v>
      </c>
      <c r="P651" s="7" t="s">
        <v>54</v>
      </c>
      <c r="Q651" s="7" t="s">
        <v>86</v>
      </c>
      <c r="R651" s="7">
        <v>7</v>
      </c>
      <c r="S651" s="7">
        <f t="shared" si="31"/>
        <v>2024</v>
      </c>
      <c r="T651" s="7" t="str">
        <f t="shared" si="32"/>
        <v>Feb</v>
      </c>
    </row>
    <row r="652" spans="2:20" x14ac:dyDescent="0.3">
      <c r="B652" s="7">
        <v>651</v>
      </c>
      <c r="C652" s="7" t="s">
        <v>1772</v>
      </c>
      <c r="D652" s="7" t="s">
        <v>1773</v>
      </c>
      <c r="E652" s="7" t="str">
        <f t="shared" si="30"/>
        <v>Jul</v>
      </c>
      <c r="F652" s="7" t="s">
        <v>1774</v>
      </c>
      <c r="G652" s="7" t="s">
        <v>102</v>
      </c>
      <c r="H652" s="7" t="s">
        <v>51</v>
      </c>
      <c r="I652" s="7" t="s">
        <v>46</v>
      </c>
      <c r="J652" s="7" t="s">
        <v>29</v>
      </c>
      <c r="K652" s="7" t="s">
        <v>72</v>
      </c>
      <c r="L652" s="7">
        <v>302.02999999999997</v>
      </c>
      <c r="M652" s="7">
        <v>1</v>
      </c>
      <c r="N652" s="7">
        <v>7.0000000000000007E-2</v>
      </c>
      <c r="O652" s="7">
        <v>35.020000000000003</v>
      </c>
      <c r="P652" s="7" t="s">
        <v>23</v>
      </c>
      <c r="Q652" s="7" t="s">
        <v>86</v>
      </c>
      <c r="R652" s="7">
        <v>5</v>
      </c>
      <c r="S652" s="7">
        <f t="shared" si="31"/>
        <v>2024</v>
      </c>
      <c r="T652" s="7" t="str">
        <f t="shared" si="32"/>
        <v>Jul</v>
      </c>
    </row>
    <row r="653" spans="2:20" x14ac:dyDescent="0.3">
      <c r="B653" s="7">
        <v>652</v>
      </c>
      <c r="C653" s="7" t="s">
        <v>1775</v>
      </c>
      <c r="D653" s="7" t="s">
        <v>1776</v>
      </c>
      <c r="E653" s="7" t="str">
        <f t="shared" si="30"/>
        <v>Sep</v>
      </c>
      <c r="F653" s="7" t="s">
        <v>1777</v>
      </c>
      <c r="G653" s="7" t="s">
        <v>44</v>
      </c>
      <c r="H653" s="7" t="s">
        <v>37</v>
      </c>
      <c r="I653" s="7" t="s">
        <v>106</v>
      </c>
      <c r="J653" s="7" t="s">
        <v>81</v>
      </c>
      <c r="K653" s="7" t="s">
        <v>30</v>
      </c>
      <c r="L653" s="7">
        <v>1111.3399999999999</v>
      </c>
      <c r="M653" s="7">
        <v>3</v>
      </c>
      <c r="N653" s="7">
        <v>0.25</v>
      </c>
      <c r="O653" s="7">
        <v>251.29</v>
      </c>
      <c r="P653" s="7" t="s">
        <v>31</v>
      </c>
      <c r="Q653" s="7" t="s">
        <v>86</v>
      </c>
      <c r="R653" s="7">
        <v>1</v>
      </c>
      <c r="S653" s="7">
        <f t="shared" si="31"/>
        <v>2024</v>
      </c>
      <c r="T653" s="7" t="str">
        <f t="shared" si="32"/>
        <v>Sep</v>
      </c>
    </row>
    <row r="654" spans="2:20" x14ac:dyDescent="0.3">
      <c r="B654" s="7">
        <v>653</v>
      </c>
      <c r="C654" s="7" t="s">
        <v>1778</v>
      </c>
      <c r="D654" s="7" t="s">
        <v>708</v>
      </c>
      <c r="E654" s="7" t="str">
        <f t="shared" si="30"/>
        <v>Jul</v>
      </c>
      <c r="F654" s="7" t="s">
        <v>1779</v>
      </c>
      <c r="G654" s="7" t="s">
        <v>36</v>
      </c>
      <c r="H654" s="7" t="s">
        <v>58</v>
      </c>
      <c r="I654" s="7" t="s">
        <v>46</v>
      </c>
      <c r="J654" s="7" t="s">
        <v>81</v>
      </c>
      <c r="K654" s="7" t="s">
        <v>60</v>
      </c>
      <c r="L654" s="7">
        <v>4180.76</v>
      </c>
      <c r="M654" s="7">
        <v>5</v>
      </c>
      <c r="N654" s="7">
        <v>0.02</v>
      </c>
      <c r="O654" s="7">
        <v>1189.93</v>
      </c>
      <c r="P654" s="7" t="s">
        <v>23</v>
      </c>
      <c r="Q654" s="7" t="s">
        <v>40</v>
      </c>
      <c r="R654" s="7">
        <v>3</v>
      </c>
      <c r="S654" s="7">
        <f t="shared" si="31"/>
        <v>2025</v>
      </c>
      <c r="T654" s="7" t="str">
        <f t="shared" si="32"/>
        <v>Jul</v>
      </c>
    </row>
    <row r="655" spans="2:20" x14ac:dyDescent="0.3">
      <c r="B655" s="7">
        <v>654</v>
      </c>
      <c r="C655" s="7" t="s">
        <v>1780</v>
      </c>
      <c r="D655" s="7" t="s">
        <v>1781</v>
      </c>
      <c r="E655" s="7" t="str">
        <f t="shared" si="30"/>
        <v>Oct</v>
      </c>
      <c r="F655" s="7" t="s">
        <v>1782</v>
      </c>
      <c r="G655" s="7" t="s">
        <v>102</v>
      </c>
      <c r="H655" s="7" t="s">
        <v>71</v>
      </c>
      <c r="I655" s="7" t="s">
        <v>106</v>
      </c>
      <c r="J655" s="7" t="s">
        <v>66</v>
      </c>
      <c r="K655" s="7" t="s">
        <v>76</v>
      </c>
      <c r="L655" s="7">
        <v>1498.6</v>
      </c>
      <c r="M655" s="7">
        <v>4</v>
      </c>
      <c r="N655" s="7">
        <v>0.16</v>
      </c>
      <c r="O655" s="7">
        <v>254.67</v>
      </c>
      <c r="P655" s="7" t="s">
        <v>54</v>
      </c>
      <c r="Q655" s="7" t="s">
        <v>32</v>
      </c>
      <c r="R655" s="7">
        <v>6</v>
      </c>
      <c r="S655" s="7">
        <f t="shared" si="31"/>
        <v>2025</v>
      </c>
      <c r="T655" s="7" t="str">
        <f t="shared" si="32"/>
        <v>Oct</v>
      </c>
    </row>
    <row r="656" spans="2:20" x14ac:dyDescent="0.3">
      <c r="B656" s="7">
        <v>655</v>
      </c>
      <c r="C656" s="7" t="s">
        <v>1783</v>
      </c>
      <c r="D656" s="7" t="s">
        <v>1784</v>
      </c>
      <c r="E656" s="7" t="str">
        <f t="shared" si="30"/>
        <v>Aug</v>
      </c>
      <c r="F656" s="7" t="s">
        <v>1785</v>
      </c>
      <c r="G656" s="7" t="s">
        <v>18</v>
      </c>
      <c r="H656" s="7" t="s">
        <v>51</v>
      </c>
      <c r="I656" s="7" t="s">
        <v>59</v>
      </c>
      <c r="J656" s="7" t="s">
        <v>81</v>
      </c>
      <c r="K656" s="7" t="s">
        <v>72</v>
      </c>
      <c r="L656" s="7">
        <v>375.6</v>
      </c>
      <c r="M656" s="7">
        <v>1</v>
      </c>
      <c r="N656" s="7">
        <v>7.0000000000000007E-2</v>
      </c>
      <c r="O656" s="7">
        <v>95.28</v>
      </c>
      <c r="P656" s="7" t="s">
        <v>54</v>
      </c>
      <c r="Q656" s="7" t="s">
        <v>32</v>
      </c>
      <c r="R656" s="7">
        <v>5</v>
      </c>
      <c r="S656" s="7">
        <f t="shared" si="31"/>
        <v>2025</v>
      </c>
      <c r="T656" s="7" t="str">
        <f t="shared" si="32"/>
        <v>Aug</v>
      </c>
    </row>
    <row r="657" spans="2:20" x14ac:dyDescent="0.3">
      <c r="B657" s="7">
        <v>656</v>
      </c>
      <c r="C657" s="7" t="s">
        <v>1786</v>
      </c>
      <c r="D657" s="7" t="s">
        <v>100</v>
      </c>
      <c r="E657" s="7" t="str">
        <f t="shared" si="30"/>
        <v>Nov</v>
      </c>
      <c r="F657" s="7" t="s">
        <v>1787</v>
      </c>
      <c r="G657" s="7" t="s">
        <v>18</v>
      </c>
      <c r="H657" s="7" t="s">
        <v>65</v>
      </c>
      <c r="I657" s="7" t="s">
        <v>59</v>
      </c>
      <c r="J657" s="7" t="s">
        <v>66</v>
      </c>
      <c r="K657" s="7" t="s">
        <v>76</v>
      </c>
      <c r="L657" s="7">
        <v>365.71</v>
      </c>
      <c r="M657" s="7">
        <v>1</v>
      </c>
      <c r="N657" s="7">
        <v>0.28000000000000003</v>
      </c>
      <c r="O657" s="7">
        <v>63.15</v>
      </c>
      <c r="P657" s="7" t="s">
        <v>31</v>
      </c>
      <c r="Q657" s="7" t="s">
        <v>40</v>
      </c>
      <c r="R657" s="7">
        <v>6</v>
      </c>
      <c r="S657" s="7">
        <f t="shared" si="31"/>
        <v>2024</v>
      </c>
      <c r="T657" s="7" t="str">
        <f t="shared" si="32"/>
        <v>Nov</v>
      </c>
    </row>
    <row r="658" spans="2:20" x14ac:dyDescent="0.3">
      <c r="B658" s="7">
        <v>657</v>
      </c>
      <c r="C658" s="7" t="s">
        <v>1788</v>
      </c>
      <c r="D658" s="7" t="s">
        <v>919</v>
      </c>
      <c r="E658" s="7" t="str">
        <f t="shared" si="30"/>
        <v>Dec</v>
      </c>
      <c r="F658" s="7" t="s">
        <v>1789</v>
      </c>
      <c r="G658" s="7" t="s">
        <v>36</v>
      </c>
      <c r="H658" s="7" t="s">
        <v>71</v>
      </c>
      <c r="I658" s="7" t="s">
        <v>59</v>
      </c>
      <c r="J658" s="7" t="s">
        <v>29</v>
      </c>
      <c r="K658" s="7" t="s">
        <v>82</v>
      </c>
      <c r="L658" s="7">
        <v>2416.29</v>
      </c>
      <c r="M658" s="7">
        <v>5</v>
      </c>
      <c r="N658" s="7">
        <v>0.09</v>
      </c>
      <c r="O658" s="7">
        <v>356.02</v>
      </c>
      <c r="P658" s="7" t="s">
        <v>31</v>
      </c>
      <c r="Q658" s="7" t="s">
        <v>32</v>
      </c>
      <c r="R658" s="7">
        <v>3</v>
      </c>
      <c r="S658" s="7">
        <f t="shared" si="31"/>
        <v>2025</v>
      </c>
      <c r="T658" s="7" t="str">
        <f t="shared" si="32"/>
        <v>Dec</v>
      </c>
    </row>
    <row r="659" spans="2:20" x14ac:dyDescent="0.3">
      <c r="B659" s="7">
        <v>658</v>
      </c>
      <c r="C659" s="7" t="s">
        <v>1790</v>
      </c>
      <c r="D659" s="7" t="s">
        <v>1051</v>
      </c>
      <c r="E659" s="7" t="str">
        <f t="shared" si="30"/>
        <v>May</v>
      </c>
      <c r="F659" s="7" t="s">
        <v>1791</v>
      </c>
      <c r="G659" s="7" t="s">
        <v>44</v>
      </c>
      <c r="H659" s="7" t="s">
        <v>71</v>
      </c>
      <c r="I659" s="7" t="s">
        <v>116</v>
      </c>
      <c r="J659" s="7" t="s">
        <v>29</v>
      </c>
      <c r="K659" s="7" t="s">
        <v>30</v>
      </c>
      <c r="L659" s="7">
        <v>789.53</v>
      </c>
      <c r="M659" s="7">
        <v>2</v>
      </c>
      <c r="N659" s="7">
        <v>0.15</v>
      </c>
      <c r="O659" s="7">
        <v>170.22</v>
      </c>
      <c r="P659" s="7" t="s">
        <v>23</v>
      </c>
      <c r="Q659" s="7" t="s">
        <v>32</v>
      </c>
      <c r="R659" s="7">
        <v>7</v>
      </c>
      <c r="S659" s="7">
        <f t="shared" si="31"/>
        <v>2025</v>
      </c>
      <c r="T659" s="7" t="str">
        <f t="shared" si="32"/>
        <v>May</v>
      </c>
    </row>
    <row r="660" spans="2:20" x14ac:dyDescent="0.3">
      <c r="B660" s="7">
        <v>659</v>
      </c>
      <c r="C660" s="7" t="s">
        <v>1792</v>
      </c>
      <c r="D660" s="7" t="s">
        <v>1793</v>
      </c>
      <c r="E660" s="7" t="str">
        <f t="shared" si="30"/>
        <v>Jun</v>
      </c>
      <c r="F660" s="7" t="s">
        <v>1794</v>
      </c>
      <c r="G660" s="7" t="s">
        <v>36</v>
      </c>
      <c r="H660" s="7" t="s">
        <v>37</v>
      </c>
      <c r="I660" s="7" t="s">
        <v>106</v>
      </c>
      <c r="J660" s="7" t="s">
        <v>29</v>
      </c>
      <c r="K660" s="7" t="s">
        <v>60</v>
      </c>
      <c r="L660" s="7">
        <v>2062.29</v>
      </c>
      <c r="M660" s="7">
        <v>3</v>
      </c>
      <c r="N660" s="7">
        <v>0.03</v>
      </c>
      <c r="O660" s="7">
        <v>327.42</v>
      </c>
      <c r="P660" s="7" t="s">
        <v>31</v>
      </c>
      <c r="Q660" s="7" t="s">
        <v>77</v>
      </c>
      <c r="R660" s="7">
        <v>8</v>
      </c>
      <c r="S660" s="7">
        <f t="shared" si="31"/>
        <v>2025</v>
      </c>
      <c r="T660" s="7" t="str">
        <f t="shared" si="32"/>
        <v>Jun</v>
      </c>
    </row>
    <row r="661" spans="2:20" x14ac:dyDescent="0.3">
      <c r="B661" s="7">
        <v>660</v>
      </c>
      <c r="C661" s="7" t="s">
        <v>1795</v>
      </c>
      <c r="D661" s="7" t="s">
        <v>1796</v>
      </c>
      <c r="E661" s="7" t="str">
        <f t="shared" si="30"/>
        <v>Apr</v>
      </c>
      <c r="F661" s="7" t="s">
        <v>1797</v>
      </c>
      <c r="G661" s="7" t="s">
        <v>102</v>
      </c>
      <c r="H661" s="7" t="s">
        <v>19</v>
      </c>
      <c r="I661" s="7" t="s">
        <v>28</v>
      </c>
      <c r="J661" s="7" t="s">
        <v>66</v>
      </c>
      <c r="K661" s="7" t="s">
        <v>53</v>
      </c>
      <c r="L661" s="7">
        <v>1784.94</v>
      </c>
      <c r="M661" s="7">
        <v>5</v>
      </c>
      <c r="N661" s="7">
        <v>0.04</v>
      </c>
      <c r="O661" s="7">
        <v>190.99</v>
      </c>
      <c r="P661" s="7" t="s">
        <v>23</v>
      </c>
      <c r="Q661" s="7" t="s">
        <v>86</v>
      </c>
      <c r="R661" s="7">
        <v>4</v>
      </c>
      <c r="S661" s="7">
        <f t="shared" si="31"/>
        <v>2024</v>
      </c>
      <c r="T661" s="7" t="str">
        <f t="shared" si="32"/>
        <v>Apr</v>
      </c>
    </row>
    <row r="662" spans="2:20" x14ac:dyDescent="0.3">
      <c r="B662" s="7">
        <v>661</v>
      </c>
      <c r="C662" s="7" t="s">
        <v>1798</v>
      </c>
      <c r="D662" s="7" t="s">
        <v>1799</v>
      </c>
      <c r="E662" s="7" t="str">
        <f t="shared" si="30"/>
        <v>May</v>
      </c>
      <c r="F662" s="7" t="s">
        <v>1800</v>
      </c>
      <c r="G662" s="7" t="s">
        <v>18</v>
      </c>
      <c r="H662" s="7" t="s">
        <v>45</v>
      </c>
      <c r="I662" s="7" t="s">
        <v>46</v>
      </c>
      <c r="J662" s="7" t="s">
        <v>47</v>
      </c>
      <c r="K662" s="7" t="s">
        <v>67</v>
      </c>
      <c r="L662" s="7">
        <v>870.67</v>
      </c>
      <c r="M662" s="7">
        <v>1</v>
      </c>
      <c r="N662" s="7">
        <v>0.23</v>
      </c>
      <c r="O662" s="7">
        <v>141.59</v>
      </c>
      <c r="P662" s="7" t="s">
        <v>54</v>
      </c>
      <c r="Q662" s="7" t="s">
        <v>77</v>
      </c>
      <c r="R662" s="7">
        <v>2</v>
      </c>
      <c r="S662" s="7">
        <f t="shared" si="31"/>
        <v>2025</v>
      </c>
      <c r="T662" s="7" t="str">
        <f t="shared" si="32"/>
        <v>May</v>
      </c>
    </row>
    <row r="663" spans="2:20" x14ac:dyDescent="0.3">
      <c r="B663" s="7">
        <v>662</v>
      </c>
      <c r="C663" s="7" t="s">
        <v>1801</v>
      </c>
      <c r="D663" s="7" t="s">
        <v>1802</v>
      </c>
      <c r="E663" s="7" t="str">
        <f t="shared" si="30"/>
        <v>Aug</v>
      </c>
      <c r="F663" s="7" t="s">
        <v>1803</v>
      </c>
      <c r="G663" s="7" t="s">
        <v>44</v>
      </c>
      <c r="H663" s="7" t="s">
        <v>37</v>
      </c>
      <c r="I663" s="7" t="s">
        <v>20</v>
      </c>
      <c r="J663" s="7" t="s">
        <v>81</v>
      </c>
      <c r="K663" s="7" t="s">
        <v>82</v>
      </c>
      <c r="L663" s="7">
        <v>1475.96</v>
      </c>
      <c r="M663" s="7">
        <v>4</v>
      </c>
      <c r="N663" s="7">
        <v>0.05</v>
      </c>
      <c r="O663" s="7">
        <v>309.33</v>
      </c>
      <c r="P663" s="7" t="s">
        <v>31</v>
      </c>
      <c r="Q663" s="7" t="s">
        <v>86</v>
      </c>
      <c r="R663" s="7">
        <v>10</v>
      </c>
      <c r="S663" s="7">
        <f t="shared" si="31"/>
        <v>2025</v>
      </c>
      <c r="T663" s="7" t="str">
        <f t="shared" si="32"/>
        <v>Aug</v>
      </c>
    </row>
    <row r="664" spans="2:20" x14ac:dyDescent="0.3">
      <c r="B664" s="7">
        <v>663</v>
      </c>
      <c r="C664" s="7" t="s">
        <v>1804</v>
      </c>
      <c r="D664" s="7" t="s">
        <v>1805</v>
      </c>
      <c r="E664" s="7" t="str">
        <f t="shared" si="30"/>
        <v>May</v>
      </c>
      <c r="F664" s="7" t="s">
        <v>1806</v>
      </c>
      <c r="G664" s="7" t="s">
        <v>18</v>
      </c>
      <c r="H664" s="7" t="s">
        <v>19</v>
      </c>
      <c r="I664" s="7" t="s">
        <v>38</v>
      </c>
      <c r="J664" s="7" t="s">
        <v>29</v>
      </c>
      <c r="K664" s="7" t="s">
        <v>67</v>
      </c>
      <c r="L664" s="7">
        <v>542.24</v>
      </c>
      <c r="M664" s="7">
        <v>5</v>
      </c>
      <c r="N664" s="7">
        <v>0.18</v>
      </c>
      <c r="O664" s="7">
        <v>102.12</v>
      </c>
      <c r="P664" s="7" t="s">
        <v>31</v>
      </c>
      <c r="Q664" s="7" t="s">
        <v>77</v>
      </c>
      <c r="R664" s="7">
        <v>7</v>
      </c>
      <c r="S664" s="7">
        <f t="shared" si="31"/>
        <v>2025</v>
      </c>
      <c r="T664" s="7" t="str">
        <f t="shared" si="32"/>
        <v>May</v>
      </c>
    </row>
    <row r="665" spans="2:20" x14ac:dyDescent="0.3">
      <c r="B665" s="7">
        <v>664</v>
      </c>
      <c r="C665" s="7" t="s">
        <v>1807</v>
      </c>
      <c r="D665" s="7" t="s">
        <v>1808</v>
      </c>
      <c r="E665" s="7" t="str">
        <f t="shared" si="30"/>
        <v>Jul</v>
      </c>
      <c r="F665" s="7" t="s">
        <v>1809</v>
      </c>
      <c r="G665" s="7" t="s">
        <v>64</v>
      </c>
      <c r="H665" s="7" t="s">
        <v>58</v>
      </c>
      <c r="I665" s="7" t="s">
        <v>106</v>
      </c>
      <c r="J665" s="7" t="s">
        <v>29</v>
      </c>
      <c r="K665" s="7" t="s">
        <v>22</v>
      </c>
      <c r="L665" s="7">
        <v>842.86</v>
      </c>
      <c r="M665" s="7">
        <v>1</v>
      </c>
      <c r="N665" s="7">
        <v>0.05</v>
      </c>
      <c r="O665" s="7">
        <v>244.45</v>
      </c>
      <c r="P665" s="7" t="s">
        <v>23</v>
      </c>
      <c r="Q665" s="7" t="s">
        <v>24</v>
      </c>
      <c r="R665" s="7">
        <v>1</v>
      </c>
      <c r="S665" s="7">
        <f t="shared" si="31"/>
        <v>2025</v>
      </c>
      <c r="T665" s="7" t="str">
        <f t="shared" si="32"/>
        <v>Jul</v>
      </c>
    </row>
    <row r="666" spans="2:20" x14ac:dyDescent="0.3">
      <c r="B666" s="7">
        <v>665</v>
      </c>
      <c r="C666" s="7" t="s">
        <v>1810</v>
      </c>
      <c r="D666" s="7" t="s">
        <v>1725</v>
      </c>
      <c r="E666" s="7" t="str">
        <f t="shared" si="30"/>
        <v>Mar</v>
      </c>
      <c r="F666" s="7" t="s">
        <v>1811</v>
      </c>
      <c r="G666" s="7" t="s">
        <v>44</v>
      </c>
      <c r="H666" s="7" t="s">
        <v>58</v>
      </c>
      <c r="I666" s="7" t="s">
        <v>28</v>
      </c>
      <c r="J666" s="7" t="s">
        <v>66</v>
      </c>
      <c r="K666" s="7" t="s">
        <v>82</v>
      </c>
      <c r="L666" s="7">
        <v>733.98</v>
      </c>
      <c r="M666" s="7">
        <v>1</v>
      </c>
      <c r="N666" s="7">
        <v>0.2</v>
      </c>
      <c r="O666" s="7">
        <v>131.05000000000001</v>
      </c>
      <c r="P666" s="7" t="s">
        <v>31</v>
      </c>
      <c r="Q666" s="7" t="s">
        <v>32</v>
      </c>
      <c r="R666" s="7">
        <v>2</v>
      </c>
      <c r="S666" s="7">
        <f t="shared" si="31"/>
        <v>2025</v>
      </c>
      <c r="T666" s="7" t="str">
        <f t="shared" si="32"/>
        <v>Mar</v>
      </c>
    </row>
    <row r="667" spans="2:20" x14ac:dyDescent="0.3">
      <c r="B667" s="7">
        <v>666</v>
      </c>
      <c r="C667" s="7" t="s">
        <v>1812</v>
      </c>
      <c r="D667" s="7" t="s">
        <v>261</v>
      </c>
      <c r="E667" s="7" t="str">
        <f t="shared" si="30"/>
        <v>Dec</v>
      </c>
      <c r="F667" s="7" t="s">
        <v>1813</v>
      </c>
      <c r="G667" s="7" t="s">
        <v>36</v>
      </c>
      <c r="H667" s="7" t="s">
        <v>51</v>
      </c>
      <c r="I667" s="7" t="s">
        <v>52</v>
      </c>
      <c r="J667" s="7" t="s">
        <v>29</v>
      </c>
      <c r="K667" s="7" t="s">
        <v>72</v>
      </c>
      <c r="L667" s="7">
        <v>1292.33</v>
      </c>
      <c r="M667" s="7">
        <v>5</v>
      </c>
      <c r="N667" s="7">
        <v>0.04</v>
      </c>
      <c r="O667" s="7">
        <v>420.57</v>
      </c>
      <c r="P667" s="7" t="s">
        <v>31</v>
      </c>
      <c r="Q667" s="7" t="s">
        <v>86</v>
      </c>
      <c r="R667" s="7">
        <v>5</v>
      </c>
      <c r="S667" s="7">
        <f t="shared" si="31"/>
        <v>2024</v>
      </c>
      <c r="T667" s="7" t="str">
        <f t="shared" si="32"/>
        <v>Dec</v>
      </c>
    </row>
    <row r="668" spans="2:20" x14ac:dyDescent="0.3">
      <c r="B668" s="7">
        <v>667</v>
      </c>
      <c r="C668" s="7" t="s">
        <v>1814</v>
      </c>
      <c r="D668" s="7" t="s">
        <v>299</v>
      </c>
      <c r="E668" s="7" t="str">
        <f t="shared" si="30"/>
        <v>Aug</v>
      </c>
      <c r="F668" s="7" t="s">
        <v>1815</v>
      </c>
      <c r="G668" s="7" t="s">
        <v>102</v>
      </c>
      <c r="H668" s="7" t="s">
        <v>58</v>
      </c>
      <c r="I668" s="7" t="s">
        <v>106</v>
      </c>
      <c r="J668" s="7" t="s">
        <v>21</v>
      </c>
      <c r="K668" s="7" t="s">
        <v>67</v>
      </c>
      <c r="L668" s="7">
        <v>1214.3399999999999</v>
      </c>
      <c r="M668" s="7">
        <v>5</v>
      </c>
      <c r="N668" s="7">
        <v>0.15</v>
      </c>
      <c r="O668" s="7">
        <v>251.19</v>
      </c>
      <c r="P668" s="7" t="s">
        <v>23</v>
      </c>
      <c r="Q668" s="7" t="s">
        <v>24</v>
      </c>
      <c r="R668" s="7">
        <v>9</v>
      </c>
      <c r="S668" s="7">
        <f t="shared" si="31"/>
        <v>2024</v>
      </c>
      <c r="T668" s="7" t="str">
        <f t="shared" si="32"/>
        <v>Aug</v>
      </c>
    </row>
    <row r="669" spans="2:20" x14ac:dyDescent="0.3">
      <c r="B669" s="7">
        <v>668</v>
      </c>
      <c r="C669" s="7" t="s">
        <v>1816</v>
      </c>
      <c r="D669" s="7" t="s">
        <v>1817</v>
      </c>
      <c r="E669" s="7" t="str">
        <f t="shared" si="30"/>
        <v>Jul</v>
      </c>
      <c r="F669" s="7" t="s">
        <v>1818</v>
      </c>
      <c r="G669" s="7" t="s">
        <v>36</v>
      </c>
      <c r="H669" s="7" t="s">
        <v>37</v>
      </c>
      <c r="I669" s="7" t="s">
        <v>46</v>
      </c>
      <c r="J669" s="7" t="s">
        <v>21</v>
      </c>
      <c r="K669" s="7" t="s">
        <v>82</v>
      </c>
      <c r="L669" s="7">
        <v>1764.39</v>
      </c>
      <c r="M669" s="7">
        <v>4</v>
      </c>
      <c r="N669" s="7">
        <v>0.27</v>
      </c>
      <c r="O669" s="7">
        <v>563.79999999999995</v>
      </c>
      <c r="P669" s="7" t="s">
        <v>23</v>
      </c>
      <c r="Q669" s="7" t="s">
        <v>40</v>
      </c>
      <c r="R669" s="7">
        <v>9</v>
      </c>
      <c r="S669" s="7">
        <f t="shared" si="31"/>
        <v>2024</v>
      </c>
      <c r="T669" s="7" t="str">
        <f t="shared" si="32"/>
        <v>Jul</v>
      </c>
    </row>
    <row r="670" spans="2:20" x14ac:dyDescent="0.3">
      <c r="B670" s="7">
        <v>669</v>
      </c>
      <c r="C670" s="7" t="s">
        <v>1819</v>
      </c>
      <c r="D670" s="7" t="s">
        <v>1820</v>
      </c>
      <c r="E670" s="7" t="str">
        <f t="shared" si="30"/>
        <v>Sep</v>
      </c>
      <c r="F670" s="7" t="s">
        <v>1821</v>
      </c>
      <c r="G670" s="7" t="s">
        <v>18</v>
      </c>
      <c r="H670" s="7" t="s">
        <v>19</v>
      </c>
      <c r="I670" s="7" t="s">
        <v>52</v>
      </c>
      <c r="J670" s="7" t="s">
        <v>81</v>
      </c>
      <c r="K670" s="7" t="s">
        <v>22</v>
      </c>
      <c r="L670" s="7">
        <v>3407.78</v>
      </c>
      <c r="M670" s="7">
        <v>4</v>
      </c>
      <c r="N670" s="7">
        <v>0.11</v>
      </c>
      <c r="O670" s="7">
        <v>960.56</v>
      </c>
      <c r="P670" s="7" t="s">
        <v>54</v>
      </c>
      <c r="Q670" s="7" t="s">
        <v>77</v>
      </c>
      <c r="R670" s="7">
        <v>8</v>
      </c>
      <c r="S670" s="7">
        <f t="shared" si="31"/>
        <v>2024</v>
      </c>
      <c r="T670" s="7" t="str">
        <f t="shared" si="32"/>
        <v>Sep</v>
      </c>
    </row>
    <row r="671" spans="2:20" x14ac:dyDescent="0.3">
      <c r="B671" s="7">
        <v>670</v>
      </c>
      <c r="C671" s="7" t="s">
        <v>1822</v>
      </c>
      <c r="D671" s="7" t="s">
        <v>390</v>
      </c>
      <c r="E671" s="7" t="str">
        <f t="shared" si="30"/>
        <v>Aug</v>
      </c>
      <c r="F671" s="7" t="s">
        <v>1823</v>
      </c>
      <c r="G671" s="7" t="s">
        <v>64</v>
      </c>
      <c r="H671" s="7" t="s">
        <v>65</v>
      </c>
      <c r="I671" s="7" t="s">
        <v>28</v>
      </c>
      <c r="J671" s="7" t="s">
        <v>21</v>
      </c>
      <c r="K671" s="7" t="s">
        <v>22</v>
      </c>
      <c r="L671" s="7">
        <v>4014.45</v>
      </c>
      <c r="M671" s="7">
        <v>5</v>
      </c>
      <c r="N671" s="7">
        <v>0.12</v>
      </c>
      <c r="O671" s="7">
        <v>1094.1500000000001</v>
      </c>
      <c r="P671" s="7" t="s">
        <v>31</v>
      </c>
      <c r="Q671" s="7" t="s">
        <v>32</v>
      </c>
      <c r="R671" s="7">
        <v>7</v>
      </c>
      <c r="S671" s="7">
        <f t="shared" si="31"/>
        <v>2025</v>
      </c>
      <c r="T671" s="7" t="str">
        <f t="shared" si="32"/>
        <v>Aug</v>
      </c>
    </row>
    <row r="672" spans="2:20" x14ac:dyDescent="0.3">
      <c r="B672" s="7">
        <v>671</v>
      </c>
      <c r="C672" s="7" t="s">
        <v>1824</v>
      </c>
      <c r="D672" s="7" t="s">
        <v>966</v>
      </c>
      <c r="E672" s="7" t="str">
        <f t="shared" si="30"/>
        <v>Sep</v>
      </c>
      <c r="F672" s="7" t="s">
        <v>1825</v>
      </c>
      <c r="G672" s="7" t="s">
        <v>102</v>
      </c>
      <c r="H672" s="7" t="s">
        <v>65</v>
      </c>
      <c r="I672" s="7" t="s">
        <v>116</v>
      </c>
      <c r="J672" s="7" t="s">
        <v>81</v>
      </c>
      <c r="K672" s="7" t="s">
        <v>72</v>
      </c>
      <c r="L672" s="7">
        <v>1111.77</v>
      </c>
      <c r="M672" s="7">
        <v>2</v>
      </c>
      <c r="N672" s="7">
        <v>0.13</v>
      </c>
      <c r="O672" s="7">
        <v>317.62</v>
      </c>
      <c r="P672" s="7" t="s">
        <v>31</v>
      </c>
      <c r="Q672" s="7" t="s">
        <v>86</v>
      </c>
      <c r="R672" s="7">
        <v>7</v>
      </c>
      <c r="S672" s="7">
        <f t="shared" si="31"/>
        <v>2024</v>
      </c>
      <c r="T672" s="7" t="str">
        <f t="shared" si="32"/>
        <v>Sep</v>
      </c>
    </row>
    <row r="673" spans="2:20" x14ac:dyDescent="0.3">
      <c r="B673" s="7">
        <v>672</v>
      </c>
      <c r="C673" s="7" t="s">
        <v>1826</v>
      </c>
      <c r="D673" s="7" t="s">
        <v>1827</v>
      </c>
      <c r="E673" s="7" t="str">
        <f t="shared" si="30"/>
        <v>Dec</v>
      </c>
      <c r="F673" s="7" t="s">
        <v>1828</v>
      </c>
      <c r="G673" s="7" t="s">
        <v>102</v>
      </c>
      <c r="H673" s="7" t="s">
        <v>51</v>
      </c>
      <c r="I673" s="7" t="s">
        <v>20</v>
      </c>
      <c r="J673" s="7" t="s">
        <v>81</v>
      </c>
      <c r="K673" s="7" t="s">
        <v>67</v>
      </c>
      <c r="L673" s="7">
        <v>561.47</v>
      </c>
      <c r="M673" s="7">
        <v>1</v>
      </c>
      <c r="N673" s="7">
        <v>0.2</v>
      </c>
      <c r="O673" s="7">
        <v>157.49</v>
      </c>
      <c r="P673" s="7" t="s">
        <v>23</v>
      </c>
      <c r="Q673" s="7" t="s">
        <v>24</v>
      </c>
      <c r="R673" s="7">
        <v>3</v>
      </c>
      <c r="S673" s="7">
        <f t="shared" si="31"/>
        <v>2025</v>
      </c>
      <c r="T673" s="7" t="str">
        <f t="shared" si="32"/>
        <v>Dec</v>
      </c>
    </row>
    <row r="674" spans="2:20" x14ac:dyDescent="0.3">
      <c r="B674" s="7">
        <v>673</v>
      </c>
      <c r="C674" s="7" t="s">
        <v>1829</v>
      </c>
      <c r="D674" s="7" t="s">
        <v>1271</v>
      </c>
      <c r="E674" s="7" t="str">
        <f t="shared" si="30"/>
        <v>Dec</v>
      </c>
      <c r="F674" s="7" t="s">
        <v>1830</v>
      </c>
      <c r="G674" s="7" t="s">
        <v>44</v>
      </c>
      <c r="H674" s="7" t="s">
        <v>19</v>
      </c>
      <c r="I674" s="7" t="s">
        <v>28</v>
      </c>
      <c r="J674" s="7" t="s">
        <v>21</v>
      </c>
      <c r="K674" s="7" t="s">
        <v>39</v>
      </c>
      <c r="L674" s="7">
        <v>1926.61</v>
      </c>
      <c r="M674" s="7">
        <v>2</v>
      </c>
      <c r="N674" s="7">
        <v>0.16</v>
      </c>
      <c r="O674" s="7">
        <v>621.07000000000005</v>
      </c>
      <c r="P674" s="7" t="s">
        <v>31</v>
      </c>
      <c r="Q674" s="7" t="s">
        <v>40</v>
      </c>
      <c r="R674" s="7">
        <v>10</v>
      </c>
      <c r="S674" s="7">
        <f t="shared" si="31"/>
        <v>2025</v>
      </c>
      <c r="T674" s="7" t="str">
        <f t="shared" si="32"/>
        <v>Dec</v>
      </c>
    </row>
    <row r="675" spans="2:20" x14ac:dyDescent="0.3">
      <c r="B675" s="7">
        <v>674</v>
      </c>
      <c r="C675" s="7" t="s">
        <v>1831</v>
      </c>
      <c r="D675" s="7" t="s">
        <v>1832</v>
      </c>
      <c r="E675" s="7" t="str">
        <f t="shared" si="30"/>
        <v>Feb</v>
      </c>
      <c r="F675" s="7" t="s">
        <v>1833</v>
      </c>
      <c r="G675" s="7" t="s">
        <v>36</v>
      </c>
      <c r="H675" s="7" t="s">
        <v>51</v>
      </c>
      <c r="I675" s="7" t="s">
        <v>52</v>
      </c>
      <c r="J675" s="7" t="s">
        <v>81</v>
      </c>
      <c r="K675" s="7" t="s">
        <v>82</v>
      </c>
      <c r="L675" s="7">
        <v>1016.39</v>
      </c>
      <c r="M675" s="7">
        <v>2</v>
      </c>
      <c r="N675" s="7">
        <v>0.16</v>
      </c>
      <c r="O675" s="7">
        <v>160.24</v>
      </c>
      <c r="P675" s="7" t="s">
        <v>31</v>
      </c>
      <c r="Q675" s="7" t="s">
        <v>86</v>
      </c>
      <c r="R675" s="7">
        <v>10</v>
      </c>
      <c r="S675" s="7">
        <f t="shared" si="31"/>
        <v>2024</v>
      </c>
      <c r="T675" s="7" t="str">
        <f t="shared" si="32"/>
        <v>Feb</v>
      </c>
    </row>
    <row r="676" spans="2:20" x14ac:dyDescent="0.3">
      <c r="B676" s="7">
        <v>675</v>
      </c>
      <c r="C676" s="7" t="s">
        <v>1834</v>
      </c>
      <c r="D676" s="7" t="s">
        <v>1738</v>
      </c>
      <c r="E676" s="7" t="str">
        <f t="shared" si="30"/>
        <v>Jan</v>
      </c>
      <c r="F676" s="7" t="s">
        <v>1835</v>
      </c>
      <c r="G676" s="7" t="s">
        <v>44</v>
      </c>
      <c r="H676" s="7" t="s">
        <v>65</v>
      </c>
      <c r="I676" s="7" t="s">
        <v>20</v>
      </c>
      <c r="J676" s="7" t="s">
        <v>81</v>
      </c>
      <c r="K676" s="7" t="s">
        <v>39</v>
      </c>
      <c r="L676" s="7">
        <v>937.53</v>
      </c>
      <c r="M676" s="7">
        <v>1</v>
      </c>
      <c r="N676" s="7">
        <v>0.01</v>
      </c>
      <c r="O676" s="7">
        <v>156.93</v>
      </c>
      <c r="P676" s="7" t="s">
        <v>31</v>
      </c>
      <c r="Q676" s="7" t="s">
        <v>77</v>
      </c>
      <c r="R676" s="7">
        <v>8</v>
      </c>
      <c r="S676" s="7">
        <f t="shared" si="31"/>
        <v>2025</v>
      </c>
      <c r="T676" s="7" t="str">
        <f t="shared" si="32"/>
        <v>Jan</v>
      </c>
    </row>
    <row r="677" spans="2:20" x14ac:dyDescent="0.3">
      <c r="B677" s="7">
        <v>676</v>
      </c>
      <c r="C677" s="7" t="s">
        <v>1836</v>
      </c>
      <c r="D677" s="7" t="s">
        <v>450</v>
      </c>
      <c r="E677" s="7" t="str">
        <f t="shared" si="30"/>
        <v>Apr</v>
      </c>
      <c r="F677" s="7" t="s">
        <v>1837</v>
      </c>
      <c r="G677" s="7" t="s">
        <v>102</v>
      </c>
      <c r="H677" s="7" t="s">
        <v>45</v>
      </c>
      <c r="I677" s="7" t="s">
        <v>20</v>
      </c>
      <c r="J677" s="7" t="s">
        <v>81</v>
      </c>
      <c r="K677" s="7" t="s">
        <v>67</v>
      </c>
      <c r="L677" s="7">
        <v>3350.96</v>
      </c>
      <c r="M677" s="7">
        <v>4</v>
      </c>
      <c r="N677" s="7">
        <v>0.25</v>
      </c>
      <c r="O677" s="7">
        <v>1020.49</v>
      </c>
      <c r="P677" s="7" t="s">
        <v>31</v>
      </c>
      <c r="Q677" s="7" t="s">
        <v>24</v>
      </c>
      <c r="R677" s="7">
        <v>1</v>
      </c>
      <c r="S677" s="7">
        <f t="shared" si="31"/>
        <v>2025</v>
      </c>
      <c r="T677" s="7" t="str">
        <f t="shared" si="32"/>
        <v>Apr</v>
      </c>
    </row>
    <row r="678" spans="2:20" x14ac:dyDescent="0.3">
      <c r="B678" s="7">
        <v>677</v>
      </c>
      <c r="C678" s="7" t="s">
        <v>1838</v>
      </c>
      <c r="D678" s="7" t="s">
        <v>323</v>
      </c>
      <c r="E678" s="7" t="str">
        <f t="shared" si="30"/>
        <v>Jun</v>
      </c>
      <c r="F678" s="7" t="s">
        <v>1839</v>
      </c>
      <c r="G678" s="7" t="s">
        <v>102</v>
      </c>
      <c r="H678" s="7" t="s">
        <v>45</v>
      </c>
      <c r="I678" s="7" t="s">
        <v>59</v>
      </c>
      <c r="J678" s="7" t="s">
        <v>47</v>
      </c>
      <c r="K678" s="7" t="s">
        <v>22</v>
      </c>
      <c r="L678" s="7">
        <v>1460.53</v>
      </c>
      <c r="M678" s="7">
        <v>2</v>
      </c>
      <c r="N678" s="7">
        <v>0</v>
      </c>
      <c r="O678" s="7">
        <v>361.9</v>
      </c>
      <c r="P678" s="7" t="s">
        <v>23</v>
      </c>
      <c r="Q678" s="7" t="s">
        <v>24</v>
      </c>
      <c r="R678" s="7">
        <v>4</v>
      </c>
      <c r="S678" s="7">
        <f t="shared" si="31"/>
        <v>2024</v>
      </c>
      <c r="T678" s="7" t="str">
        <f t="shared" si="32"/>
        <v>Jun</v>
      </c>
    </row>
    <row r="679" spans="2:20" x14ac:dyDescent="0.3">
      <c r="B679" s="7">
        <v>678</v>
      </c>
      <c r="C679" s="7" t="s">
        <v>1840</v>
      </c>
      <c r="D679" s="7" t="s">
        <v>1841</v>
      </c>
      <c r="E679" s="7" t="str">
        <f t="shared" si="30"/>
        <v>Nov</v>
      </c>
      <c r="F679" s="7" t="s">
        <v>1842</v>
      </c>
      <c r="G679" s="7" t="s">
        <v>36</v>
      </c>
      <c r="H679" s="7" t="s">
        <v>51</v>
      </c>
      <c r="I679" s="7" t="s">
        <v>106</v>
      </c>
      <c r="J679" s="7" t="s">
        <v>21</v>
      </c>
      <c r="K679" s="7" t="s">
        <v>67</v>
      </c>
      <c r="L679" s="7">
        <v>2476.38</v>
      </c>
      <c r="M679" s="7">
        <v>3</v>
      </c>
      <c r="N679" s="7">
        <v>0.04</v>
      </c>
      <c r="O679" s="7">
        <v>410.07</v>
      </c>
      <c r="P679" s="7" t="s">
        <v>23</v>
      </c>
      <c r="Q679" s="7" t="s">
        <v>86</v>
      </c>
      <c r="R679" s="7">
        <v>4</v>
      </c>
      <c r="S679" s="7">
        <f t="shared" si="31"/>
        <v>2025</v>
      </c>
      <c r="T679" s="7" t="str">
        <f t="shared" si="32"/>
        <v>Nov</v>
      </c>
    </row>
    <row r="680" spans="2:20" x14ac:dyDescent="0.3">
      <c r="B680" s="7">
        <v>679</v>
      </c>
      <c r="C680" s="7" t="s">
        <v>1843</v>
      </c>
      <c r="D680" s="7" t="s">
        <v>1477</v>
      </c>
      <c r="E680" s="7" t="str">
        <f t="shared" si="30"/>
        <v>May</v>
      </c>
      <c r="F680" s="7" t="s">
        <v>1844</v>
      </c>
      <c r="G680" s="7" t="s">
        <v>44</v>
      </c>
      <c r="H680" s="7" t="s">
        <v>45</v>
      </c>
      <c r="I680" s="7" t="s">
        <v>52</v>
      </c>
      <c r="J680" s="7" t="s">
        <v>47</v>
      </c>
      <c r="K680" s="7" t="s">
        <v>60</v>
      </c>
      <c r="L680" s="7">
        <v>2881.53</v>
      </c>
      <c r="M680" s="7">
        <v>3</v>
      </c>
      <c r="N680" s="7">
        <v>7.0000000000000007E-2</v>
      </c>
      <c r="O680" s="7">
        <v>646.79999999999995</v>
      </c>
      <c r="P680" s="7" t="s">
        <v>31</v>
      </c>
      <c r="Q680" s="7" t="s">
        <v>86</v>
      </c>
      <c r="R680" s="7">
        <v>3</v>
      </c>
      <c r="S680" s="7">
        <f t="shared" si="31"/>
        <v>2024</v>
      </c>
      <c r="T680" s="7" t="str">
        <f t="shared" si="32"/>
        <v>May</v>
      </c>
    </row>
    <row r="681" spans="2:20" x14ac:dyDescent="0.3">
      <c r="B681" s="7">
        <v>680</v>
      </c>
      <c r="C681" s="7" t="s">
        <v>1845</v>
      </c>
      <c r="D681" s="7" t="s">
        <v>1846</v>
      </c>
      <c r="E681" s="7" t="str">
        <f t="shared" si="30"/>
        <v>Jan</v>
      </c>
      <c r="F681" s="7" t="s">
        <v>1847</v>
      </c>
      <c r="G681" s="7" t="s">
        <v>64</v>
      </c>
      <c r="H681" s="7" t="s">
        <v>65</v>
      </c>
      <c r="I681" s="7" t="s">
        <v>52</v>
      </c>
      <c r="J681" s="7" t="s">
        <v>81</v>
      </c>
      <c r="K681" s="7" t="s">
        <v>67</v>
      </c>
      <c r="L681" s="7">
        <v>3817.93</v>
      </c>
      <c r="M681" s="7">
        <v>4</v>
      </c>
      <c r="N681" s="7">
        <v>0.03</v>
      </c>
      <c r="O681" s="7">
        <v>495.62</v>
      </c>
      <c r="P681" s="7" t="s">
        <v>31</v>
      </c>
      <c r="Q681" s="7" t="s">
        <v>77</v>
      </c>
      <c r="R681" s="7">
        <v>10</v>
      </c>
      <c r="S681" s="7">
        <f t="shared" si="31"/>
        <v>2025</v>
      </c>
      <c r="T681" s="7" t="str">
        <f t="shared" si="32"/>
        <v>Jan</v>
      </c>
    </row>
    <row r="682" spans="2:20" x14ac:dyDescent="0.3">
      <c r="B682" s="7">
        <v>681</v>
      </c>
      <c r="C682" s="7" t="s">
        <v>1848</v>
      </c>
      <c r="D682" s="7" t="s">
        <v>1849</v>
      </c>
      <c r="E682" s="7" t="str">
        <f t="shared" si="30"/>
        <v>Jan</v>
      </c>
      <c r="F682" s="7" t="s">
        <v>1850</v>
      </c>
      <c r="G682" s="7" t="s">
        <v>64</v>
      </c>
      <c r="H682" s="7" t="s">
        <v>45</v>
      </c>
      <c r="I682" s="7" t="s">
        <v>116</v>
      </c>
      <c r="J682" s="7" t="s">
        <v>21</v>
      </c>
      <c r="K682" s="7" t="s">
        <v>39</v>
      </c>
      <c r="L682" s="7">
        <v>1451.13</v>
      </c>
      <c r="M682" s="7">
        <v>3</v>
      </c>
      <c r="N682" s="7">
        <v>0.13</v>
      </c>
      <c r="O682" s="7">
        <v>313.11</v>
      </c>
      <c r="P682" s="7" t="s">
        <v>31</v>
      </c>
      <c r="Q682" s="7" t="s">
        <v>77</v>
      </c>
      <c r="R682" s="7">
        <v>7</v>
      </c>
      <c r="S682" s="7">
        <f t="shared" si="31"/>
        <v>2024</v>
      </c>
      <c r="T682" s="7" t="str">
        <f t="shared" si="32"/>
        <v>Jan</v>
      </c>
    </row>
    <row r="683" spans="2:20" x14ac:dyDescent="0.3">
      <c r="B683" s="7">
        <v>682</v>
      </c>
      <c r="C683" s="7" t="s">
        <v>1851</v>
      </c>
      <c r="D683" s="7" t="s">
        <v>1852</v>
      </c>
      <c r="E683" s="7" t="str">
        <f t="shared" si="30"/>
        <v>Mar</v>
      </c>
      <c r="F683" s="7" t="s">
        <v>1853</v>
      </c>
      <c r="G683" s="7" t="s">
        <v>18</v>
      </c>
      <c r="H683" s="7" t="s">
        <v>37</v>
      </c>
      <c r="I683" s="7" t="s">
        <v>20</v>
      </c>
      <c r="J683" s="7" t="s">
        <v>47</v>
      </c>
      <c r="K683" s="7" t="s">
        <v>22</v>
      </c>
      <c r="L683" s="7">
        <v>104.11</v>
      </c>
      <c r="M683" s="7">
        <v>1</v>
      </c>
      <c r="N683" s="7">
        <v>0.01</v>
      </c>
      <c r="O683" s="7">
        <v>24.65</v>
      </c>
      <c r="P683" s="7" t="s">
        <v>54</v>
      </c>
      <c r="Q683" s="7" t="s">
        <v>77</v>
      </c>
      <c r="R683" s="7">
        <v>9</v>
      </c>
      <c r="S683" s="7">
        <f t="shared" si="31"/>
        <v>2025</v>
      </c>
      <c r="T683" s="7" t="str">
        <f t="shared" si="32"/>
        <v>Mar</v>
      </c>
    </row>
    <row r="684" spans="2:20" x14ac:dyDescent="0.3">
      <c r="B684" s="7">
        <v>683</v>
      </c>
      <c r="C684" s="7" t="s">
        <v>1854</v>
      </c>
      <c r="D684" s="7" t="s">
        <v>788</v>
      </c>
      <c r="E684" s="7" t="str">
        <f t="shared" si="30"/>
        <v>Dec</v>
      </c>
      <c r="F684" s="7" t="s">
        <v>1855</v>
      </c>
      <c r="G684" s="7" t="s">
        <v>64</v>
      </c>
      <c r="H684" s="7" t="s">
        <v>71</v>
      </c>
      <c r="I684" s="7" t="s">
        <v>20</v>
      </c>
      <c r="J684" s="7" t="s">
        <v>81</v>
      </c>
      <c r="K684" s="7" t="s">
        <v>82</v>
      </c>
      <c r="L684" s="7">
        <v>3814.28</v>
      </c>
      <c r="M684" s="7">
        <v>5</v>
      </c>
      <c r="N684" s="7">
        <v>0.16</v>
      </c>
      <c r="O684" s="7">
        <v>1332.56</v>
      </c>
      <c r="P684" s="7" t="s">
        <v>23</v>
      </c>
      <c r="Q684" s="7" t="s">
        <v>40</v>
      </c>
      <c r="R684" s="7">
        <v>9</v>
      </c>
      <c r="S684" s="7">
        <f t="shared" si="31"/>
        <v>2024</v>
      </c>
      <c r="T684" s="7" t="str">
        <f t="shared" si="32"/>
        <v>Dec</v>
      </c>
    </row>
    <row r="685" spans="2:20" x14ac:dyDescent="0.3">
      <c r="B685" s="7">
        <v>684</v>
      </c>
      <c r="C685" s="7" t="s">
        <v>1856</v>
      </c>
      <c r="D685" s="7" t="s">
        <v>1857</v>
      </c>
      <c r="E685" s="7" t="str">
        <f t="shared" si="30"/>
        <v>May</v>
      </c>
      <c r="F685" s="7" t="s">
        <v>1858</v>
      </c>
      <c r="G685" s="7" t="s">
        <v>64</v>
      </c>
      <c r="H685" s="7" t="s">
        <v>65</v>
      </c>
      <c r="I685" s="7" t="s">
        <v>28</v>
      </c>
      <c r="J685" s="7" t="s">
        <v>81</v>
      </c>
      <c r="K685" s="7" t="s">
        <v>76</v>
      </c>
      <c r="L685" s="7">
        <v>972.7</v>
      </c>
      <c r="M685" s="7">
        <v>4</v>
      </c>
      <c r="N685" s="7">
        <v>0.17</v>
      </c>
      <c r="O685" s="7">
        <v>293.57</v>
      </c>
      <c r="P685" s="7" t="s">
        <v>54</v>
      </c>
      <c r="Q685" s="7" t="s">
        <v>24</v>
      </c>
      <c r="R685" s="7">
        <v>4</v>
      </c>
      <c r="S685" s="7">
        <f t="shared" si="31"/>
        <v>2025</v>
      </c>
      <c r="T685" s="7" t="str">
        <f t="shared" si="32"/>
        <v>May</v>
      </c>
    </row>
    <row r="686" spans="2:20" x14ac:dyDescent="0.3">
      <c r="B686" s="7">
        <v>685</v>
      </c>
      <c r="C686" s="7" t="s">
        <v>1859</v>
      </c>
      <c r="D686" s="7" t="s">
        <v>236</v>
      </c>
      <c r="E686" s="7" t="str">
        <f t="shared" si="30"/>
        <v>Oct</v>
      </c>
      <c r="F686" s="7" t="s">
        <v>1860</v>
      </c>
      <c r="G686" s="7" t="s">
        <v>36</v>
      </c>
      <c r="H686" s="7" t="s">
        <v>58</v>
      </c>
      <c r="I686" s="7" t="s">
        <v>28</v>
      </c>
      <c r="J686" s="7" t="s">
        <v>21</v>
      </c>
      <c r="K686" s="7" t="s">
        <v>22</v>
      </c>
      <c r="L686" s="7">
        <v>339.87</v>
      </c>
      <c r="M686" s="7">
        <v>1</v>
      </c>
      <c r="N686" s="7">
        <v>0.11</v>
      </c>
      <c r="O686" s="7">
        <v>98.35</v>
      </c>
      <c r="P686" s="7" t="s">
        <v>54</v>
      </c>
      <c r="Q686" s="7" t="s">
        <v>40</v>
      </c>
      <c r="R686" s="7">
        <v>3</v>
      </c>
      <c r="S686" s="7">
        <f t="shared" si="31"/>
        <v>2024</v>
      </c>
      <c r="T686" s="7" t="str">
        <f t="shared" si="32"/>
        <v>Oct</v>
      </c>
    </row>
    <row r="687" spans="2:20" x14ac:dyDescent="0.3">
      <c r="B687" s="7">
        <v>686</v>
      </c>
      <c r="C687" s="7" t="s">
        <v>1861</v>
      </c>
      <c r="D687" s="7" t="s">
        <v>1586</v>
      </c>
      <c r="E687" s="7" t="str">
        <f t="shared" si="30"/>
        <v>Feb</v>
      </c>
      <c r="F687" s="7" t="s">
        <v>1862</v>
      </c>
      <c r="G687" s="7" t="s">
        <v>36</v>
      </c>
      <c r="H687" s="7" t="s">
        <v>58</v>
      </c>
      <c r="I687" s="7" t="s">
        <v>38</v>
      </c>
      <c r="J687" s="7" t="s">
        <v>66</v>
      </c>
      <c r="K687" s="7" t="s">
        <v>82</v>
      </c>
      <c r="L687" s="7">
        <v>1977.33</v>
      </c>
      <c r="M687" s="7">
        <v>3</v>
      </c>
      <c r="N687" s="7">
        <v>0.1</v>
      </c>
      <c r="O687" s="7">
        <v>259.39</v>
      </c>
      <c r="P687" s="7" t="s">
        <v>54</v>
      </c>
      <c r="Q687" s="7" t="s">
        <v>86</v>
      </c>
      <c r="R687" s="7">
        <v>6</v>
      </c>
      <c r="S687" s="7">
        <f t="shared" si="31"/>
        <v>2024</v>
      </c>
      <c r="T687" s="7" t="str">
        <f t="shared" si="32"/>
        <v>Feb</v>
      </c>
    </row>
    <row r="688" spans="2:20" x14ac:dyDescent="0.3">
      <c r="B688" s="7">
        <v>687</v>
      </c>
      <c r="C688" s="7" t="s">
        <v>1863</v>
      </c>
      <c r="D688" s="7" t="s">
        <v>1087</v>
      </c>
      <c r="E688" s="7" t="str">
        <f t="shared" si="30"/>
        <v>Mar</v>
      </c>
      <c r="F688" s="7" t="s">
        <v>1864</v>
      </c>
      <c r="G688" s="7" t="s">
        <v>44</v>
      </c>
      <c r="H688" s="7" t="s">
        <v>19</v>
      </c>
      <c r="I688" s="7" t="s">
        <v>46</v>
      </c>
      <c r="J688" s="7" t="s">
        <v>66</v>
      </c>
      <c r="K688" s="7" t="s">
        <v>39</v>
      </c>
      <c r="L688" s="7">
        <v>1609.53</v>
      </c>
      <c r="M688" s="7">
        <v>3</v>
      </c>
      <c r="N688" s="7">
        <v>0.15</v>
      </c>
      <c r="O688" s="7">
        <v>163.80000000000001</v>
      </c>
      <c r="P688" s="7" t="s">
        <v>31</v>
      </c>
      <c r="Q688" s="7" t="s">
        <v>86</v>
      </c>
      <c r="R688" s="7">
        <v>5</v>
      </c>
      <c r="S688" s="7">
        <f t="shared" si="31"/>
        <v>2024</v>
      </c>
      <c r="T688" s="7" t="str">
        <f t="shared" si="32"/>
        <v>Mar</v>
      </c>
    </row>
    <row r="689" spans="2:20" x14ac:dyDescent="0.3">
      <c r="B689" s="7">
        <v>688</v>
      </c>
      <c r="C689" s="7" t="s">
        <v>1865</v>
      </c>
      <c r="D689" s="7" t="s">
        <v>1866</v>
      </c>
      <c r="E689" s="7" t="str">
        <f t="shared" si="30"/>
        <v>Jun</v>
      </c>
      <c r="F689" s="7" t="s">
        <v>1867</v>
      </c>
      <c r="G689" s="7" t="s">
        <v>44</v>
      </c>
      <c r="H689" s="7" t="s">
        <v>19</v>
      </c>
      <c r="I689" s="7" t="s">
        <v>59</v>
      </c>
      <c r="J689" s="7" t="s">
        <v>29</v>
      </c>
      <c r="K689" s="7" t="s">
        <v>72</v>
      </c>
      <c r="L689" s="7">
        <v>1932.77</v>
      </c>
      <c r="M689" s="7">
        <v>4</v>
      </c>
      <c r="N689" s="7">
        <v>0.16</v>
      </c>
      <c r="O689" s="7">
        <v>487.09</v>
      </c>
      <c r="P689" s="7" t="s">
        <v>23</v>
      </c>
      <c r="Q689" s="7" t="s">
        <v>86</v>
      </c>
      <c r="R689" s="7">
        <v>1</v>
      </c>
      <c r="S689" s="7">
        <f t="shared" si="31"/>
        <v>2025</v>
      </c>
      <c r="T689" s="7" t="str">
        <f t="shared" si="32"/>
        <v>Jun</v>
      </c>
    </row>
    <row r="690" spans="2:20" x14ac:dyDescent="0.3">
      <c r="B690" s="7">
        <v>689</v>
      </c>
      <c r="C690" s="7" t="s">
        <v>1868</v>
      </c>
      <c r="D690" s="7" t="s">
        <v>1348</v>
      </c>
      <c r="E690" s="7" t="str">
        <f t="shared" si="30"/>
        <v>Sep</v>
      </c>
      <c r="F690" s="7" t="s">
        <v>1869</v>
      </c>
      <c r="G690" s="7" t="s">
        <v>64</v>
      </c>
      <c r="H690" s="7" t="s">
        <v>58</v>
      </c>
      <c r="I690" s="7" t="s">
        <v>28</v>
      </c>
      <c r="J690" s="7" t="s">
        <v>66</v>
      </c>
      <c r="K690" s="7" t="s">
        <v>67</v>
      </c>
      <c r="L690" s="7">
        <v>563.44000000000005</v>
      </c>
      <c r="M690" s="7">
        <v>2</v>
      </c>
      <c r="N690" s="7">
        <v>0.14000000000000001</v>
      </c>
      <c r="O690" s="7">
        <v>92.94</v>
      </c>
      <c r="P690" s="7" t="s">
        <v>54</v>
      </c>
      <c r="Q690" s="7" t="s">
        <v>40</v>
      </c>
      <c r="R690" s="7">
        <v>4</v>
      </c>
      <c r="S690" s="7">
        <f t="shared" si="31"/>
        <v>2024</v>
      </c>
      <c r="T690" s="7" t="str">
        <f t="shared" si="32"/>
        <v>Sep</v>
      </c>
    </row>
    <row r="691" spans="2:20" x14ac:dyDescent="0.3">
      <c r="B691" s="7">
        <v>690</v>
      </c>
      <c r="C691" s="7" t="s">
        <v>1870</v>
      </c>
      <c r="D691" s="7" t="s">
        <v>334</v>
      </c>
      <c r="E691" s="7" t="str">
        <f t="shared" si="30"/>
        <v>Dec</v>
      </c>
      <c r="F691" s="7" t="s">
        <v>1871</v>
      </c>
      <c r="G691" s="7" t="s">
        <v>36</v>
      </c>
      <c r="H691" s="7" t="s">
        <v>71</v>
      </c>
      <c r="I691" s="7" t="s">
        <v>20</v>
      </c>
      <c r="J691" s="7" t="s">
        <v>81</v>
      </c>
      <c r="K691" s="7" t="s">
        <v>39</v>
      </c>
      <c r="L691" s="7">
        <v>616.66</v>
      </c>
      <c r="M691" s="7">
        <v>3</v>
      </c>
      <c r="N691" s="7">
        <v>0.28000000000000003</v>
      </c>
      <c r="O691" s="7">
        <v>124.08</v>
      </c>
      <c r="P691" s="7" t="s">
        <v>23</v>
      </c>
      <c r="Q691" s="7" t="s">
        <v>40</v>
      </c>
      <c r="R691" s="7">
        <v>6</v>
      </c>
      <c r="S691" s="7">
        <f t="shared" si="31"/>
        <v>2025</v>
      </c>
      <c r="T691" s="7" t="str">
        <f t="shared" si="32"/>
        <v>Dec</v>
      </c>
    </row>
    <row r="692" spans="2:20" x14ac:dyDescent="0.3">
      <c r="B692" s="7">
        <v>691</v>
      </c>
      <c r="C692" s="7" t="s">
        <v>1872</v>
      </c>
      <c r="D692" s="7" t="s">
        <v>1849</v>
      </c>
      <c r="E692" s="7" t="str">
        <f t="shared" si="30"/>
        <v>Jan</v>
      </c>
      <c r="F692" s="7" t="s">
        <v>1873</v>
      </c>
      <c r="G692" s="7" t="s">
        <v>36</v>
      </c>
      <c r="H692" s="7" t="s">
        <v>71</v>
      </c>
      <c r="I692" s="7" t="s">
        <v>20</v>
      </c>
      <c r="J692" s="7" t="s">
        <v>29</v>
      </c>
      <c r="K692" s="7" t="s">
        <v>53</v>
      </c>
      <c r="L692" s="7">
        <v>521.51</v>
      </c>
      <c r="M692" s="7">
        <v>1</v>
      </c>
      <c r="N692" s="7">
        <v>0.15</v>
      </c>
      <c r="O692" s="7">
        <v>179.18</v>
      </c>
      <c r="P692" s="7" t="s">
        <v>23</v>
      </c>
      <c r="Q692" s="7" t="s">
        <v>24</v>
      </c>
      <c r="R692" s="7">
        <v>7</v>
      </c>
      <c r="S692" s="7">
        <f t="shared" si="31"/>
        <v>2024</v>
      </c>
      <c r="T692" s="7" t="str">
        <f t="shared" si="32"/>
        <v>Jan</v>
      </c>
    </row>
    <row r="693" spans="2:20" x14ac:dyDescent="0.3">
      <c r="B693" s="7">
        <v>692</v>
      </c>
      <c r="C693" s="7" t="s">
        <v>1874</v>
      </c>
      <c r="D693" s="7" t="s">
        <v>1546</v>
      </c>
      <c r="E693" s="7" t="str">
        <f t="shared" si="30"/>
        <v>Jul</v>
      </c>
      <c r="F693" s="7" t="s">
        <v>1875</v>
      </c>
      <c r="G693" s="7" t="s">
        <v>18</v>
      </c>
      <c r="H693" s="7" t="s">
        <v>58</v>
      </c>
      <c r="I693" s="7" t="s">
        <v>28</v>
      </c>
      <c r="J693" s="7" t="s">
        <v>66</v>
      </c>
      <c r="K693" s="7" t="s">
        <v>67</v>
      </c>
      <c r="L693" s="7">
        <v>651.1</v>
      </c>
      <c r="M693" s="7">
        <v>4</v>
      </c>
      <c r="N693" s="7">
        <v>0.18</v>
      </c>
      <c r="O693" s="7">
        <v>69.400000000000006</v>
      </c>
      <c r="P693" s="7" t="s">
        <v>54</v>
      </c>
      <c r="Q693" s="7" t="s">
        <v>32</v>
      </c>
      <c r="R693" s="7">
        <v>2</v>
      </c>
      <c r="S693" s="7">
        <f t="shared" si="31"/>
        <v>2024</v>
      </c>
      <c r="T693" s="7" t="str">
        <f t="shared" si="32"/>
        <v>Jul</v>
      </c>
    </row>
    <row r="694" spans="2:20" x14ac:dyDescent="0.3">
      <c r="B694" s="7">
        <v>693</v>
      </c>
      <c r="C694" s="7" t="s">
        <v>1876</v>
      </c>
      <c r="D694" s="7" t="s">
        <v>602</v>
      </c>
      <c r="E694" s="7" t="str">
        <f t="shared" si="30"/>
        <v>Sep</v>
      </c>
      <c r="F694" s="7" t="s">
        <v>1877</v>
      </c>
      <c r="G694" s="7" t="s">
        <v>102</v>
      </c>
      <c r="H694" s="7" t="s">
        <v>51</v>
      </c>
      <c r="I694" s="7" t="s">
        <v>106</v>
      </c>
      <c r="J694" s="7" t="s">
        <v>29</v>
      </c>
      <c r="K694" s="7" t="s">
        <v>82</v>
      </c>
      <c r="L694" s="7">
        <v>1517.86</v>
      </c>
      <c r="M694" s="7">
        <v>2</v>
      </c>
      <c r="N694" s="7">
        <v>0.04</v>
      </c>
      <c r="O694" s="7">
        <v>172.05</v>
      </c>
      <c r="P694" s="7" t="s">
        <v>23</v>
      </c>
      <c r="Q694" s="7" t="s">
        <v>40</v>
      </c>
      <c r="R694" s="7">
        <v>1</v>
      </c>
      <c r="S694" s="7">
        <f t="shared" si="31"/>
        <v>2024</v>
      </c>
      <c r="T694" s="7" t="str">
        <f t="shared" si="32"/>
        <v>Sep</v>
      </c>
    </row>
    <row r="695" spans="2:20" x14ac:dyDescent="0.3">
      <c r="B695" s="7">
        <v>694</v>
      </c>
      <c r="C695" s="7" t="s">
        <v>1878</v>
      </c>
      <c r="D695" s="7" t="s">
        <v>376</v>
      </c>
      <c r="E695" s="7" t="str">
        <f t="shared" si="30"/>
        <v>Aug</v>
      </c>
      <c r="F695" s="7" t="s">
        <v>1879</v>
      </c>
      <c r="G695" s="7" t="s">
        <v>18</v>
      </c>
      <c r="H695" s="7" t="s">
        <v>37</v>
      </c>
      <c r="I695" s="7" t="s">
        <v>52</v>
      </c>
      <c r="J695" s="7" t="s">
        <v>47</v>
      </c>
      <c r="K695" s="7" t="s">
        <v>22</v>
      </c>
      <c r="L695" s="7">
        <v>2636.41</v>
      </c>
      <c r="M695" s="7">
        <v>3</v>
      </c>
      <c r="N695" s="7">
        <v>0.15</v>
      </c>
      <c r="O695" s="7">
        <v>909.9</v>
      </c>
      <c r="P695" s="7" t="s">
        <v>54</v>
      </c>
      <c r="Q695" s="7" t="s">
        <v>86</v>
      </c>
      <c r="R695" s="7">
        <v>9</v>
      </c>
      <c r="S695" s="7">
        <f t="shared" si="31"/>
        <v>2024</v>
      </c>
      <c r="T695" s="7" t="str">
        <f t="shared" si="32"/>
        <v>Aug</v>
      </c>
    </row>
    <row r="696" spans="2:20" x14ac:dyDescent="0.3">
      <c r="B696" s="7">
        <v>695</v>
      </c>
      <c r="C696" s="7" t="s">
        <v>1880</v>
      </c>
      <c r="D696" s="7" t="s">
        <v>637</v>
      </c>
      <c r="E696" s="7" t="str">
        <f t="shared" si="30"/>
        <v>Mar</v>
      </c>
      <c r="F696" s="7" t="s">
        <v>1881</v>
      </c>
      <c r="G696" s="7" t="s">
        <v>102</v>
      </c>
      <c r="H696" s="7" t="s">
        <v>51</v>
      </c>
      <c r="I696" s="7" t="s">
        <v>106</v>
      </c>
      <c r="J696" s="7" t="s">
        <v>21</v>
      </c>
      <c r="K696" s="7" t="s">
        <v>72</v>
      </c>
      <c r="L696" s="7">
        <v>1410.18</v>
      </c>
      <c r="M696" s="7">
        <v>2</v>
      </c>
      <c r="N696" s="7">
        <v>0.18</v>
      </c>
      <c r="O696" s="7">
        <v>441.85</v>
      </c>
      <c r="P696" s="7" t="s">
        <v>23</v>
      </c>
      <c r="Q696" s="7" t="s">
        <v>32</v>
      </c>
      <c r="R696" s="7">
        <v>3</v>
      </c>
      <c r="S696" s="7">
        <f t="shared" si="31"/>
        <v>2024</v>
      </c>
      <c r="T696" s="7" t="str">
        <f t="shared" si="32"/>
        <v>Mar</v>
      </c>
    </row>
    <row r="697" spans="2:20" x14ac:dyDescent="0.3">
      <c r="B697" s="7">
        <v>696</v>
      </c>
      <c r="C697" s="7" t="s">
        <v>1882</v>
      </c>
      <c r="D697" s="7" t="s">
        <v>572</v>
      </c>
      <c r="E697" s="7" t="str">
        <f t="shared" si="30"/>
        <v>Sep</v>
      </c>
      <c r="F697" s="7" t="s">
        <v>1883</v>
      </c>
      <c r="G697" s="7" t="s">
        <v>64</v>
      </c>
      <c r="H697" s="7" t="s">
        <v>45</v>
      </c>
      <c r="I697" s="7" t="s">
        <v>38</v>
      </c>
      <c r="J697" s="7" t="s">
        <v>66</v>
      </c>
      <c r="K697" s="7" t="s">
        <v>72</v>
      </c>
      <c r="L697" s="7">
        <v>2618.09</v>
      </c>
      <c r="M697" s="7">
        <v>3</v>
      </c>
      <c r="N697" s="7">
        <v>0.04</v>
      </c>
      <c r="O697" s="7">
        <v>791.79</v>
      </c>
      <c r="P697" s="7" t="s">
        <v>31</v>
      </c>
      <c r="Q697" s="7" t="s">
        <v>24</v>
      </c>
      <c r="R697" s="7">
        <v>3</v>
      </c>
      <c r="S697" s="7">
        <f t="shared" si="31"/>
        <v>2024</v>
      </c>
      <c r="T697" s="7" t="str">
        <f t="shared" si="32"/>
        <v>Sep</v>
      </c>
    </row>
    <row r="698" spans="2:20" x14ac:dyDescent="0.3">
      <c r="B698" s="7">
        <v>697</v>
      </c>
      <c r="C698" s="7" t="s">
        <v>1884</v>
      </c>
      <c r="D698" s="7" t="s">
        <v>1885</v>
      </c>
      <c r="E698" s="7" t="str">
        <f t="shared" si="30"/>
        <v>Feb</v>
      </c>
      <c r="F698" s="7" t="s">
        <v>1222</v>
      </c>
      <c r="G698" s="7" t="s">
        <v>36</v>
      </c>
      <c r="H698" s="7" t="s">
        <v>45</v>
      </c>
      <c r="I698" s="7" t="s">
        <v>28</v>
      </c>
      <c r="J698" s="7" t="s">
        <v>21</v>
      </c>
      <c r="K698" s="7" t="s">
        <v>76</v>
      </c>
      <c r="L698" s="7">
        <v>70.23</v>
      </c>
      <c r="M698" s="7">
        <v>2</v>
      </c>
      <c r="N698" s="7">
        <v>0.28000000000000003</v>
      </c>
      <c r="O698" s="7">
        <v>24.48</v>
      </c>
      <c r="P698" s="7" t="s">
        <v>31</v>
      </c>
      <c r="Q698" s="7" t="s">
        <v>40</v>
      </c>
      <c r="R698" s="7">
        <v>8</v>
      </c>
      <c r="S698" s="7">
        <f t="shared" si="31"/>
        <v>2024</v>
      </c>
      <c r="T698" s="7" t="str">
        <f t="shared" si="32"/>
        <v>Feb</v>
      </c>
    </row>
    <row r="699" spans="2:20" x14ac:dyDescent="0.3">
      <c r="B699" s="7">
        <v>698</v>
      </c>
      <c r="C699" s="7" t="s">
        <v>1886</v>
      </c>
      <c r="D699" s="7" t="s">
        <v>640</v>
      </c>
      <c r="E699" s="7" t="str">
        <f t="shared" si="30"/>
        <v>Nov</v>
      </c>
      <c r="F699" s="7" t="s">
        <v>1887</v>
      </c>
      <c r="G699" s="7" t="s">
        <v>64</v>
      </c>
      <c r="H699" s="7" t="s">
        <v>51</v>
      </c>
      <c r="I699" s="7" t="s">
        <v>38</v>
      </c>
      <c r="J699" s="7" t="s">
        <v>29</v>
      </c>
      <c r="K699" s="7" t="s">
        <v>53</v>
      </c>
      <c r="L699" s="7">
        <v>1645.79</v>
      </c>
      <c r="M699" s="7">
        <v>3</v>
      </c>
      <c r="N699" s="7">
        <v>0.06</v>
      </c>
      <c r="O699" s="7">
        <v>236.93</v>
      </c>
      <c r="P699" s="7" t="s">
        <v>23</v>
      </c>
      <c r="Q699" s="7" t="s">
        <v>77</v>
      </c>
      <c r="R699" s="7">
        <v>10</v>
      </c>
      <c r="S699" s="7">
        <f t="shared" si="31"/>
        <v>2024</v>
      </c>
      <c r="T699" s="7" t="str">
        <f t="shared" si="32"/>
        <v>Nov</v>
      </c>
    </row>
    <row r="700" spans="2:20" x14ac:dyDescent="0.3">
      <c r="B700" s="7">
        <v>699</v>
      </c>
      <c r="C700" s="7" t="s">
        <v>1888</v>
      </c>
      <c r="D700" s="7" t="s">
        <v>1022</v>
      </c>
      <c r="E700" s="7" t="str">
        <f t="shared" si="30"/>
        <v>Jan</v>
      </c>
      <c r="F700" s="7" t="s">
        <v>1889</v>
      </c>
      <c r="G700" s="7" t="s">
        <v>64</v>
      </c>
      <c r="H700" s="7" t="s">
        <v>58</v>
      </c>
      <c r="I700" s="7" t="s">
        <v>38</v>
      </c>
      <c r="J700" s="7" t="s">
        <v>66</v>
      </c>
      <c r="K700" s="7" t="s">
        <v>76</v>
      </c>
      <c r="L700" s="7">
        <v>619.54</v>
      </c>
      <c r="M700" s="7">
        <v>1</v>
      </c>
      <c r="N700" s="7">
        <v>0.24</v>
      </c>
      <c r="O700" s="7">
        <v>141</v>
      </c>
      <c r="P700" s="7" t="s">
        <v>31</v>
      </c>
      <c r="Q700" s="7" t="s">
        <v>24</v>
      </c>
      <c r="R700" s="7">
        <v>4</v>
      </c>
      <c r="S700" s="7">
        <f t="shared" si="31"/>
        <v>2024</v>
      </c>
      <c r="T700" s="7" t="str">
        <f t="shared" si="32"/>
        <v>Jan</v>
      </c>
    </row>
    <row r="701" spans="2:20" x14ac:dyDescent="0.3">
      <c r="B701" s="7">
        <v>700</v>
      </c>
      <c r="C701" s="7" t="s">
        <v>1890</v>
      </c>
      <c r="D701" s="7" t="s">
        <v>1891</v>
      </c>
      <c r="E701" s="7" t="str">
        <f t="shared" si="30"/>
        <v>Feb</v>
      </c>
      <c r="F701" s="7" t="s">
        <v>1892</v>
      </c>
      <c r="G701" s="7" t="s">
        <v>18</v>
      </c>
      <c r="H701" s="7" t="s">
        <v>37</v>
      </c>
      <c r="I701" s="7" t="s">
        <v>46</v>
      </c>
      <c r="J701" s="7" t="s">
        <v>81</v>
      </c>
      <c r="K701" s="7" t="s">
        <v>53</v>
      </c>
      <c r="L701" s="7">
        <v>2904.76</v>
      </c>
      <c r="M701" s="7">
        <v>5</v>
      </c>
      <c r="N701" s="7">
        <v>0.3</v>
      </c>
      <c r="O701" s="7">
        <v>1006.36</v>
      </c>
      <c r="P701" s="7" t="s">
        <v>31</v>
      </c>
      <c r="Q701" s="7" t="s">
        <v>32</v>
      </c>
      <c r="R701" s="7">
        <v>1</v>
      </c>
      <c r="S701" s="7">
        <f t="shared" si="31"/>
        <v>2025</v>
      </c>
      <c r="T701" s="7" t="str">
        <f t="shared" si="32"/>
        <v>Feb</v>
      </c>
    </row>
    <row r="702" spans="2:20" x14ac:dyDescent="0.3">
      <c r="B702" s="7">
        <v>701</v>
      </c>
      <c r="C702" s="7" t="s">
        <v>1893</v>
      </c>
      <c r="D702" s="7" t="s">
        <v>1894</v>
      </c>
      <c r="E702" s="7" t="str">
        <f t="shared" si="30"/>
        <v>Mar</v>
      </c>
      <c r="F702" s="7" t="s">
        <v>1895</v>
      </c>
      <c r="G702" s="7" t="s">
        <v>64</v>
      </c>
      <c r="H702" s="7" t="s">
        <v>71</v>
      </c>
      <c r="I702" s="7" t="s">
        <v>59</v>
      </c>
      <c r="J702" s="7" t="s">
        <v>47</v>
      </c>
      <c r="K702" s="7" t="s">
        <v>72</v>
      </c>
      <c r="L702" s="7">
        <v>822.3</v>
      </c>
      <c r="M702" s="7">
        <v>1</v>
      </c>
      <c r="N702" s="7">
        <v>0.05</v>
      </c>
      <c r="O702" s="7">
        <v>212.27</v>
      </c>
      <c r="P702" s="7" t="s">
        <v>23</v>
      </c>
      <c r="Q702" s="7" t="s">
        <v>32</v>
      </c>
      <c r="R702" s="7">
        <v>6</v>
      </c>
      <c r="S702" s="7">
        <f t="shared" si="31"/>
        <v>2024</v>
      </c>
      <c r="T702" s="7" t="str">
        <f t="shared" si="32"/>
        <v>Mar</v>
      </c>
    </row>
    <row r="703" spans="2:20" x14ac:dyDescent="0.3">
      <c r="B703" s="7">
        <v>702</v>
      </c>
      <c r="C703" s="7" t="s">
        <v>1896</v>
      </c>
      <c r="D703" s="7" t="s">
        <v>1796</v>
      </c>
      <c r="E703" s="7" t="str">
        <f t="shared" si="30"/>
        <v>Apr</v>
      </c>
      <c r="F703" s="7" t="s">
        <v>1897</v>
      </c>
      <c r="G703" s="7" t="s">
        <v>36</v>
      </c>
      <c r="H703" s="7" t="s">
        <v>65</v>
      </c>
      <c r="I703" s="7" t="s">
        <v>28</v>
      </c>
      <c r="J703" s="7" t="s">
        <v>81</v>
      </c>
      <c r="K703" s="7" t="s">
        <v>39</v>
      </c>
      <c r="L703" s="7">
        <v>4608.51</v>
      </c>
      <c r="M703" s="7">
        <v>5</v>
      </c>
      <c r="N703" s="7">
        <v>0.01</v>
      </c>
      <c r="O703" s="7">
        <v>1435.34</v>
      </c>
      <c r="P703" s="7" t="s">
        <v>31</v>
      </c>
      <c r="Q703" s="7" t="s">
        <v>86</v>
      </c>
      <c r="R703" s="7">
        <v>3</v>
      </c>
      <c r="S703" s="7">
        <f t="shared" si="31"/>
        <v>2024</v>
      </c>
      <c r="T703" s="7" t="str">
        <f t="shared" si="32"/>
        <v>Apr</v>
      </c>
    </row>
    <row r="704" spans="2:20" x14ac:dyDescent="0.3">
      <c r="B704" s="7">
        <v>703</v>
      </c>
      <c r="C704" s="7" t="s">
        <v>1898</v>
      </c>
      <c r="D704" s="7" t="s">
        <v>1514</v>
      </c>
      <c r="E704" s="7" t="str">
        <f t="shared" si="30"/>
        <v>Aug</v>
      </c>
      <c r="F704" s="7" t="s">
        <v>1899</v>
      </c>
      <c r="G704" s="7" t="s">
        <v>64</v>
      </c>
      <c r="H704" s="7" t="s">
        <v>65</v>
      </c>
      <c r="I704" s="7" t="s">
        <v>46</v>
      </c>
      <c r="J704" s="7" t="s">
        <v>66</v>
      </c>
      <c r="K704" s="7" t="s">
        <v>22</v>
      </c>
      <c r="L704" s="7">
        <v>886.12</v>
      </c>
      <c r="M704" s="7">
        <v>1</v>
      </c>
      <c r="N704" s="7">
        <v>0.23</v>
      </c>
      <c r="O704" s="7">
        <v>281.49</v>
      </c>
      <c r="P704" s="7" t="s">
        <v>23</v>
      </c>
      <c r="Q704" s="7" t="s">
        <v>77</v>
      </c>
      <c r="R704" s="7">
        <v>7</v>
      </c>
      <c r="S704" s="7">
        <f t="shared" si="31"/>
        <v>2024</v>
      </c>
      <c r="T704" s="7" t="str">
        <f t="shared" si="32"/>
        <v>Aug</v>
      </c>
    </row>
    <row r="705" spans="2:20" x14ac:dyDescent="0.3">
      <c r="B705" s="7">
        <v>704</v>
      </c>
      <c r="C705" s="7" t="s">
        <v>1900</v>
      </c>
      <c r="D705" s="7" t="s">
        <v>215</v>
      </c>
      <c r="E705" s="7" t="str">
        <f t="shared" si="30"/>
        <v>Nov</v>
      </c>
      <c r="F705" s="7" t="s">
        <v>1901</v>
      </c>
      <c r="G705" s="7" t="s">
        <v>18</v>
      </c>
      <c r="H705" s="7" t="s">
        <v>37</v>
      </c>
      <c r="I705" s="7" t="s">
        <v>116</v>
      </c>
      <c r="J705" s="7" t="s">
        <v>81</v>
      </c>
      <c r="K705" s="7" t="s">
        <v>72</v>
      </c>
      <c r="L705" s="7">
        <v>70.14</v>
      </c>
      <c r="M705" s="7">
        <v>3</v>
      </c>
      <c r="N705" s="7">
        <v>0.04</v>
      </c>
      <c r="O705" s="7">
        <v>11.38</v>
      </c>
      <c r="P705" s="7" t="s">
        <v>31</v>
      </c>
      <c r="Q705" s="7" t="s">
        <v>24</v>
      </c>
      <c r="R705" s="7">
        <v>2</v>
      </c>
      <c r="S705" s="7">
        <f t="shared" si="31"/>
        <v>2024</v>
      </c>
      <c r="T705" s="7" t="str">
        <f t="shared" si="32"/>
        <v>Nov</v>
      </c>
    </row>
    <row r="706" spans="2:20" x14ac:dyDescent="0.3">
      <c r="B706" s="7">
        <v>705</v>
      </c>
      <c r="C706" s="7" t="s">
        <v>1902</v>
      </c>
      <c r="D706" s="7" t="s">
        <v>1903</v>
      </c>
      <c r="E706" s="7" t="str">
        <f t="shared" si="30"/>
        <v>Jul</v>
      </c>
      <c r="F706" s="7" t="s">
        <v>1904</v>
      </c>
      <c r="G706" s="7" t="s">
        <v>18</v>
      </c>
      <c r="H706" s="7" t="s">
        <v>71</v>
      </c>
      <c r="I706" s="7" t="s">
        <v>116</v>
      </c>
      <c r="J706" s="7" t="s">
        <v>66</v>
      </c>
      <c r="K706" s="7" t="s">
        <v>22</v>
      </c>
      <c r="L706" s="7">
        <v>1223.43</v>
      </c>
      <c r="M706" s="7">
        <v>5</v>
      </c>
      <c r="N706" s="7">
        <v>0.19</v>
      </c>
      <c r="O706" s="7">
        <v>247.55</v>
      </c>
      <c r="P706" s="7" t="s">
        <v>54</v>
      </c>
      <c r="Q706" s="7" t="s">
        <v>32</v>
      </c>
      <c r="R706" s="7">
        <v>5</v>
      </c>
      <c r="S706" s="7">
        <f t="shared" si="31"/>
        <v>2025</v>
      </c>
      <c r="T706" s="7" t="str">
        <f t="shared" si="32"/>
        <v>Jul</v>
      </c>
    </row>
    <row r="707" spans="2:20" x14ac:dyDescent="0.3">
      <c r="B707" s="7">
        <v>706</v>
      </c>
      <c r="C707" s="7" t="s">
        <v>1905</v>
      </c>
      <c r="D707" s="7" t="s">
        <v>1906</v>
      </c>
      <c r="E707" s="7" t="str">
        <f t="shared" ref="E707:E770" si="33">TEXT(D707,"mmm")</f>
        <v>Jul</v>
      </c>
      <c r="F707" s="7" t="s">
        <v>1907</v>
      </c>
      <c r="G707" s="7" t="s">
        <v>36</v>
      </c>
      <c r="H707" s="7" t="s">
        <v>71</v>
      </c>
      <c r="I707" s="7" t="s">
        <v>52</v>
      </c>
      <c r="J707" s="7" t="s">
        <v>29</v>
      </c>
      <c r="K707" s="7" t="s">
        <v>76</v>
      </c>
      <c r="L707" s="7">
        <v>1934.7</v>
      </c>
      <c r="M707" s="7">
        <v>2</v>
      </c>
      <c r="N707" s="7">
        <v>0.3</v>
      </c>
      <c r="O707" s="7">
        <v>587.78</v>
      </c>
      <c r="P707" s="7" t="s">
        <v>31</v>
      </c>
      <c r="Q707" s="7" t="s">
        <v>86</v>
      </c>
      <c r="R707" s="7">
        <v>10</v>
      </c>
      <c r="S707" s="7">
        <f t="shared" ref="S707:S770" si="34">YEAR(D707)</f>
        <v>2025</v>
      </c>
      <c r="T707" s="7" t="str">
        <f t="shared" ref="T707:T770" si="35">TEXT(D707,"mmm")</f>
        <v>Jul</v>
      </c>
    </row>
    <row r="708" spans="2:20" x14ac:dyDescent="0.3">
      <c r="B708" s="7">
        <v>707</v>
      </c>
      <c r="C708" s="7" t="s">
        <v>1908</v>
      </c>
      <c r="D708" s="7" t="s">
        <v>812</v>
      </c>
      <c r="E708" s="7" t="str">
        <f t="shared" si="33"/>
        <v>Aug</v>
      </c>
      <c r="F708" s="7" t="s">
        <v>115</v>
      </c>
      <c r="G708" s="7" t="s">
        <v>102</v>
      </c>
      <c r="H708" s="7" t="s">
        <v>65</v>
      </c>
      <c r="I708" s="7" t="s">
        <v>59</v>
      </c>
      <c r="J708" s="7" t="s">
        <v>66</v>
      </c>
      <c r="K708" s="7" t="s">
        <v>60</v>
      </c>
      <c r="L708" s="7">
        <v>756.46</v>
      </c>
      <c r="M708" s="7">
        <v>2</v>
      </c>
      <c r="N708" s="7">
        <v>0.13</v>
      </c>
      <c r="O708" s="7">
        <v>203.84</v>
      </c>
      <c r="P708" s="7" t="s">
        <v>54</v>
      </c>
      <c r="Q708" s="7" t="s">
        <v>40</v>
      </c>
      <c r="R708" s="7">
        <v>3</v>
      </c>
      <c r="S708" s="7">
        <f t="shared" si="34"/>
        <v>2024</v>
      </c>
      <c r="T708" s="7" t="str">
        <f t="shared" si="35"/>
        <v>Aug</v>
      </c>
    </row>
    <row r="709" spans="2:20" x14ac:dyDescent="0.3">
      <c r="B709" s="7">
        <v>708</v>
      </c>
      <c r="C709" s="7" t="s">
        <v>1909</v>
      </c>
      <c r="D709" s="7" t="s">
        <v>1910</v>
      </c>
      <c r="E709" s="7" t="str">
        <f t="shared" si="33"/>
        <v>Aug</v>
      </c>
      <c r="F709" s="7" t="s">
        <v>1911</v>
      </c>
      <c r="G709" s="7" t="s">
        <v>18</v>
      </c>
      <c r="H709" s="7" t="s">
        <v>65</v>
      </c>
      <c r="I709" s="7" t="s">
        <v>106</v>
      </c>
      <c r="J709" s="7" t="s">
        <v>29</v>
      </c>
      <c r="K709" s="7" t="s">
        <v>53</v>
      </c>
      <c r="L709" s="7">
        <v>1955.35</v>
      </c>
      <c r="M709" s="7">
        <v>5</v>
      </c>
      <c r="N709" s="7">
        <v>0.22</v>
      </c>
      <c r="O709" s="7">
        <v>625.4</v>
      </c>
      <c r="P709" s="7" t="s">
        <v>31</v>
      </c>
      <c r="Q709" s="7" t="s">
        <v>32</v>
      </c>
      <c r="R709" s="7">
        <v>6</v>
      </c>
      <c r="S709" s="7">
        <f t="shared" si="34"/>
        <v>2025</v>
      </c>
      <c r="T709" s="7" t="str">
        <f t="shared" si="35"/>
        <v>Aug</v>
      </c>
    </row>
    <row r="710" spans="2:20" x14ac:dyDescent="0.3">
      <c r="B710" s="7">
        <v>709</v>
      </c>
      <c r="C710" s="7" t="s">
        <v>1912</v>
      </c>
      <c r="D710" s="7" t="s">
        <v>1913</v>
      </c>
      <c r="E710" s="7" t="str">
        <f t="shared" si="33"/>
        <v>Nov</v>
      </c>
      <c r="F710" s="7" t="s">
        <v>1914</v>
      </c>
      <c r="G710" s="7" t="s">
        <v>44</v>
      </c>
      <c r="H710" s="7" t="s">
        <v>51</v>
      </c>
      <c r="I710" s="7" t="s">
        <v>116</v>
      </c>
      <c r="J710" s="7" t="s">
        <v>29</v>
      </c>
      <c r="K710" s="7" t="s">
        <v>60</v>
      </c>
      <c r="L710" s="7">
        <v>715.92</v>
      </c>
      <c r="M710" s="7">
        <v>1</v>
      </c>
      <c r="N710" s="7">
        <v>0.24</v>
      </c>
      <c r="O710" s="7">
        <v>163.86</v>
      </c>
      <c r="P710" s="7" t="s">
        <v>31</v>
      </c>
      <c r="Q710" s="7" t="s">
        <v>77</v>
      </c>
      <c r="R710" s="7">
        <v>5</v>
      </c>
      <c r="S710" s="7">
        <f t="shared" si="34"/>
        <v>2024</v>
      </c>
      <c r="T710" s="7" t="str">
        <f t="shared" si="35"/>
        <v>Nov</v>
      </c>
    </row>
    <row r="711" spans="2:20" x14ac:dyDescent="0.3">
      <c r="B711" s="7">
        <v>710</v>
      </c>
      <c r="C711" s="7" t="s">
        <v>1915</v>
      </c>
      <c r="D711" s="7" t="s">
        <v>1916</v>
      </c>
      <c r="E711" s="7" t="str">
        <f t="shared" si="33"/>
        <v>Mar</v>
      </c>
      <c r="F711" s="7" t="s">
        <v>1917</v>
      </c>
      <c r="G711" s="7" t="s">
        <v>44</v>
      </c>
      <c r="H711" s="7" t="s">
        <v>71</v>
      </c>
      <c r="I711" s="7" t="s">
        <v>59</v>
      </c>
      <c r="J711" s="7" t="s">
        <v>29</v>
      </c>
      <c r="K711" s="7" t="s">
        <v>53</v>
      </c>
      <c r="L711" s="7">
        <v>1318.92</v>
      </c>
      <c r="M711" s="7">
        <v>4</v>
      </c>
      <c r="N711" s="7">
        <v>0.11</v>
      </c>
      <c r="O711" s="7">
        <v>441.92</v>
      </c>
      <c r="P711" s="7" t="s">
        <v>23</v>
      </c>
      <c r="Q711" s="7" t="s">
        <v>86</v>
      </c>
      <c r="R711" s="7">
        <v>6</v>
      </c>
      <c r="S711" s="7">
        <f t="shared" si="34"/>
        <v>2024</v>
      </c>
      <c r="T711" s="7" t="str">
        <f t="shared" si="35"/>
        <v>Mar</v>
      </c>
    </row>
    <row r="712" spans="2:20" x14ac:dyDescent="0.3">
      <c r="B712" s="7">
        <v>711</v>
      </c>
      <c r="C712" s="7" t="s">
        <v>1918</v>
      </c>
      <c r="D712" s="7" t="s">
        <v>1919</v>
      </c>
      <c r="E712" s="7" t="str">
        <f t="shared" si="33"/>
        <v>Sep</v>
      </c>
      <c r="F712" s="7" t="s">
        <v>1920</v>
      </c>
      <c r="G712" s="7" t="s">
        <v>44</v>
      </c>
      <c r="H712" s="7" t="s">
        <v>58</v>
      </c>
      <c r="I712" s="7" t="s">
        <v>59</v>
      </c>
      <c r="J712" s="7" t="s">
        <v>66</v>
      </c>
      <c r="K712" s="7" t="s">
        <v>76</v>
      </c>
      <c r="L712" s="7">
        <v>883.8</v>
      </c>
      <c r="M712" s="7">
        <v>5</v>
      </c>
      <c r="N712" s="7">
        <v>0.11</v>
      </c>
      <c r="O712" s="7">
        <v>292.02</v>
      </c>
      <c r="P712" s="7" t="s">
        <v>31</v>
      </c>
      <c r="Q712" s="7" t="s">
        <v>40</v>
      </c>
      <c r="R712" s="7">
        <v>7</v>
      </c>
      <c r="S712" s="7">
        <f t="shared" si="34"/>
        <v>2025</v>
      </c>
      <c r="T712" s="7" t="str">
        <f t="shared" si="35"/>
        <v>Sep</v>
      </c>
    </row>
    <row r="713" spans="2:20" x14ac:dyDescent="0.3">
      <c r="B713" s="7">
        <v>712</v>
      </c>
      <c r="C713" s="7" t="s">
        <v>1921</v>
      </c>
      <c r="D713" s="7" t="s">
        <v>818</v>
      </c>
      <c r="E713" s="7" t="str">
        <f t="shared" si="33"/>
        <v>Nov</v>
      </c>
      <c r="F713" s="7" t="s">
        <v>1922</v>
      </c>
      <c r="G713" s="7" t="s">
        <v>44</v>
      </c>
      <c r="H713" s="7" t="s">
        <v>51</v>
      </c>
      <c r="I713" s="7" t="s">
        <v>116</v>
      </c>
      <c r="J713" s="7" t="s">
        <v>29</v>
      </c>
      <c r="K713" s="7" t="s">
        <v>67</v>
      </c>
      <c r="L713" s="7">
        <v>2590.84</v>
      </c>
      <c r="M713" s="7">
        <v>4</v>
      </c>
      <c r="N713" s="7">
        <v>0.18</v>
      </c>
      <c r="O713" s="7">
        <v>481.67</v>
      </c>
      <c r="P713" s="7" t="s">
        <v>23</v>
      </c>
      <c r="Q713" s="7" t="s">
        <v>77</v>
      </c>
      <c r="R713" s="7">
        <v>7</v>
      </c>
      <c r="S713" s="7">
        <f t="shared" si="34"/>
        <v>2024</v>
      </c>
      <c r="T713" s="7" t="str">
        <f t="shared" si="35"/>
        <v>Nov</v>
      </c>
    </row>
    <row r="714" spans="2:20" x14ac:dyDescent="0.3">
      <c r="B714" s="7">
        <v>713</v>
      </c>
      <c r="C714" s="7" t="s">
        <v>1923</v>
      </c>
      <c r="D714" s="7" t="s">
        <v>520</v>
      </c>
      <c r="E714" s="7" t="str">
        <f t="shared" si="33"/>
        <v>Apr</v>
      </c>
      <c r="F714" s="7" t="s">
        <v>1670</v>
      </c>
      <c r="G714" s="7" t="s">
        <v>36</v>
      </c>
      <c r="H714" s="7" t="s">
        <v>65</v>
      </c>
      <c r="I714" s="7" t="s">
        <v>38</v>
      </c>
      <c r="J714" s="7" t="s">
        <v>29</v>
      </c>
      <c r="K714" s="7" t="s">
        <v>60</v>
      </c>
      <c r="L714" s="7">
        <v>654.16</v>
      </c>
      <c r="M714" s="7">
        <v>1</v>
      </c>
      <c r="N714" s="7">
        <v>0.19</v>
      </c>
      <c r="O714" s="7">
        <v>208.96</v>
      </c>
      <c r="P714" s="7" t="s">
        <v>54</v>
      </c>
      <c r="Q714" s="7" t="s">
        <v>32</v>
      </c>
      <c r="R714" s="7">
        <v>9</v>
      </c>
      <c r="S714" s="7">
        <f t="shared" si="34"/>
        <v>2025</v>
      </c>
      <c r="T714" s="7" t="str">
        <f t="shared" si="35"/>
        <v>Apr</v>
      </c>
    </row>
    <row r="715" spans="2:20" x14ac:dyDescent="0.3">
      <c r="B715" s="7">
        <v>714</v>
      </c>
      <c r="C715" s="7" t="s">
        <v>1924</v>
      </c>
      <c r="D715" s="7" t="s">
        <v>1925</v>
      </c>
      <c r="E715" s="7" t="str">
        <f t="shared" si="33"/>
        <v>Oct</v>
      </c>
      <c r="F715" s="7" t="s">
        <v>1926</v>
      </c>
      <c r="G715" s="7" t="s">
        <v>64</v>
      </c>
      <c r="H715" s="7" t="s">
        <v>45</v>
      </c>
      <c r="I715" s="7" t="s">
        <v>20</v>
      </c>
      <c r="J715" s="7" t="s">
        <v>47</v>
      </c>
      <c r="K715" s="7" t="s">
        <v>67</v>
      </c>
      <c r="L715" s="7">
        <v>1443.76</v>
      </c>
      <c r="M715" s="7">
        <v>3</v>
      </c>
      <c r="N715" s="7">
        <v>0.05</v>
      </c>
      <c r="O715" s="7">
        <v>352.43</v>
      </c>
      <c r="P715" s="7" t="s">
        <v>23</v>
      </c>
      <c r="Q715" s="7" t="s">
        <v>24</v>
      </c>
      <c r="R715" s="7">
        <v>2</v>
      </c>
      <c r="S715" s="7">
        <f t="shared" si="34"/>
        <v>2025</v>
      </c>
      <c r="T715" s="7" t="str">
        <f t="shared" si="35"/>
        <v>Oct</v>
      </c>
    </row>
    <row r="716" spans="2:20" x14ac:dyDescent="0.3">
      <c r="B716" s="7">
        <v>715</v>
      </c>
      <c r="C716" s="7" t="s">
        <v>1927</v>
      </c>
      <c r="D716" s="7" t="s">
        <v>142</v>
      </c>
      <c r="E716" s="7" t="str">
        <f t="shared" si="33"/>
        <v>Jan</v>
      </c>
      <c r="F716" s="7" t="s">
        <v>1928</v>
      </c>
      <c r="G716" s="7" t="s">
        <v>44</v>
      </c>
      <c r="H716" s="7" t="s">
        <v>58</v>
      </c>
      <c r="I716" s="7" t="s">
        <v>52</v>
      </c>
      <c r="J716" s="7" t="s">
        <v>29</v>
      </c>
      <c r="K716" s="7" t="s">
        <v>72</v>
      </c>
      <c r="L716" s="7">
        <v>1461.24</v>
      </c>
      <c r="M716" s="7">
        <v>4</v>
      </c>
      <c r="N716" s="7">
        <v>0.24</v>
      </c>
      <c r="O716" s="7">
        <v>359.45</v>
      </c>
      <c r="P716" s="7" t="s">
        <v>31</v>
      </c>
      <c r="Q716" s="7" t="s">
        <v>32</v>
      </c>
      <c r="R716" s="7">
        <v>1</v>
      </c>
      <c r="S716" s="7">
        <f t="shared" si="34"/>
        <v>2024</v>
      </c>
      <c r="T716" s="7" t="str">
        <f t="shared" si="35"/>
        <v>Jan</v>
      </c>
    </row>
    <row r="717" spans="2:20" x14ac:dyDescent="0.3">
      <c r="B717" s="7">
        <v>716</v>
      </c>
      <c r="C717" s="7" t="s">
        <v>1929</v>
      </c>
      <c r="D717" s="7" t="s">
        <v>94</v>
      </c>
      <c r="E717" s="7" t="str">
        <f t="shared" si="33"/>
        <v>Jan</v>
      </c>
      <c r="F717" s="7" t="s">
        <v>1930</v>
      </c>
      <c r="G717" s="7" t="s">
        <v>102</v>
      </c>
      <c r="H717" s="7" t="s">
        <v>45</v>
      </c>
      <c r="I717" s="7" t="s">
        <v>59</v>
      </c>
      <c r="J717" s="7" t="s">
        <v>29</v>
      </c>
      <c r="K717" s="7" t="s">
        <v>82</v>
      </c>
      <c r="L717" s="7">
        <v>467.34</v>
      </c>
      <c r="M717" s="7">
        <v>3</v>
      </c>
      <c r="N717" s="7">
        <v>0.03</v>
      </c>
      <c r="O717" s="7">
        <v>55.89</v>
      </c>
      <c r="P717" s="7" t="s">
        <v>23</v>
      </c>
      <c r="Q717" s="7" t="s">
        <v>24</v>
      </c>
      <c r="R717" s="7">
        <v>3</v>
      </c>
      <c r="S717" s="7">
        <f t="shared" si="34"/>
        <v>2025</v>
      </c>
      <c r="T717" s="7" t="str">
        <f t="shared" si="35"/>
        <v>Jan</v>
      </c>
    </row>
    <row r="718" spans="2:20" x14ac:dyDescent="0.3">
      <c r="B718" s="7">
        <v>717</v>
      </c>
      <c r="C718" s="7" t="s">
        <v>1931</v>
      </c>
      <c r="D718" s="7" t="s">
        <v>1932</v>
      </c>
      <c r="E718" s="7" t="str">
        <f t="shared" si="33"/>
        <v>May</v>
      </c>
      <c r="F718" s="7" t="s">
        <v>1675</v>
      </c>
      <c r="G718" s="7" t="s">
        <v>36</v>
      </c>
      <c r="H718" s="7" t="s">
        <v>51</v>
      </c>
      <c r="I718" s="7" t="s">
        <v>20</v>
      </c>
      <c r="J718" s="7" t="s">
        <v>21</v>
      </c>
      <c r="K718" s="7" t="s">
        <v>67</v>
      </c>
      <c r="L718" s="7">
        <v>1317.58</v>
      </c>
      <c r="M718" s="7">
        <v>2</v>
      </c>
      <c r="N718" s="7">
        <v>0.04</v>
      </c>
      <c r="O718" s="7">
        <v>240.62</v>
      </c>
      <c r="P718" s="7" t="s">
        <v>31</v>
      </c>
      <c r="Q718" s="7" t="s">
        <v>77</v>
      </c>
      <c r="R718" s="7">
        <v>6</v>
      </c>
      <c r="S718" s="7">
        <f t="shared" si="34"/>
        <v>2025</v>
      </c>
      <c r="T718" s="7" t="str">
        <f t="shared" si="35"/>
        <v>May</v>
      </c>
    </row>
    <row r="719" spans="2:20" x14ac:dyDescent="0.3">
      <c r="B719" s="7">
        <v>718</v>
      </c>
      <c r="C719" s="7" t="s">
        <v>1933</v>
      </c>
      <c r="D719" s="7" t="s">
        <v>1059</v>
      </c>
      <c r="E719" s="7" t="str">
        <f t="shared" si="33"/>
        <v>Dec</v>
      </c>
      <c r="F719" s="7" t="s">
        <v>1934</v>
      </c>
      <c r="G719" s="7" t="s">
        <v>44</v>
      </c>
      <c r="H719" s="7" t="s">
        <v>65</v>
      </c>
      <c r="I719" s="7" t="s">
        <v>38</v>
      </c>
      <c r="J719" s="7" t="s">
        <v>29</v>
      </c>
      <c r="K719" s="7" t="s">
        <v>82</v>
      </c>
      <c r="L719" s="7">
        <v>317.33999999999997</v>
      </c>
      <c r="M719" s="7">
        <v>1</v>
      </c>
      <c r="N719" s="7">
        <v>0.22</v>
      </c>
      <c r="O719" s="7">
        <v>79.44</v>
      </c>
      <c r="P719" s="7" t="s">
        <v>54</v>
      </c>
      <c r="Q719" s="7" t="s">
        <v>77</v>
      </c>
      <c r="R719" s="7">
        <v>1</v>
      </c>
      <c r="S719" s="7">
        <f t="shared" si="34"/>
        <v>2025</v>
      </c>
      <c r="T719" s="7" t="str">
        <f t="shared" si="35"/>
        <v>Dec</v>
      </c>
    </row>
    <row r="720" spans="2:20" x14ac:dyDescent="0.3">
      <c r="B720" s="7">
        <v>719</v>
      </c>
      <c r="C720" s="7" t="s">
        <v>1935</v>
      </c>
      <c r="D720" s="7" t="s">
        <v>390</v>
      </c>
      <c r="E720" s="7" t="str">
        <f t="shared" si="33"/>
        <v>Aug</v>
      </c>
      <c r="F720" s="7" t="s">
        <v>1936</v>
      </c>
      <c r="G720" s="7" t="s">
        <v>64</v>
      </c>
      <c r="H720" s="7" t="s">
        <v>51</v>
      </c>
      <c r="I720" s="7" t="s">
        <v>20</v>
      </c>
      <c r="J720" s="7" t="s">
        <v>47</v>
      </c>
      <c r="K720" s="7" t="s">
        <v>22</v>
      </c>
      <c r="L720" s="7">
        <v>2100.5</v>
      </c>
      <c r="M720" s="7">
        <v>3</v>
      </c>
      <c r="N720" s="7">
        <v>0.28999999999999998</v>
      </c>
      <c r="O720" s="7">
        <v>212.16</v>
      </c>
      <c r="P720" s="7" t="s">
        <v>54</v>
      </c>
      <c r="Q720" s="7" t="s">
        <v>86</v>
      </c>
      <c r="R720" s="7">
        <v>3</v>
      </c>
      <c r="S720" s="7">
        <f t="shared" si="34"/>
        <v>2025</v>
      </c>
      <c r="T720" s="7" t="str">
        <f t="shared" si="35"/>
        <v>Aug</v>
      </c>
    </row>
    <row r="721" spans="2:20" x14ac:dyDescent="0.3">
      <c r="B721" s="7">
        <v>720</v>
      </c>
      <c r="C721" s="7" t="s">
        <v>1937</v>
      </c>
      <c r="D721" s="7" t="s">
        <v>1268</v>
      </c>
      <c r="E721" s="7" t="str">
        <f t="shared" si="33"/>
        <v>Jun</v>
      </c>
      <c r="F721" s="7" t="s">
        <v>1938</v>
      </c>
      <c r="G721" s="7" t="s">
        <v>44</v>
      </c>
      <c r="H721" s="7" t="s">
        <v>58</v>
      </c>
      <c r="I721" s="7" t="s">
        <v>52</v>
      </c>
      <c r="J721" s="7" t="s">
        <v>81</v>
      </c>
      <c r="K721" s="7" t="s">
        <v>39</v>
      </c>
      <c r="L721" s="7">
        <v>293.39999999999998</v>
      </c>
      <c r="M721" s="7">
        <v>1</v>
      </c>
      <c r="N721" s="7">
        <v>0.02</v>
      </c>
      <c r="O721" s="7">
        <v>37.380000000000003</v>
      </c>
      <c r="P721" s="7" t="s">
        <v>23</v>
      </c>
      <c r="Q721" s="7" t="s">
        <v>24</v>
      </c>
      <c r="R721" s="7">
        <v>4</v>
      </c>
      <c r="S721" s="7">
        <f t="shared" si="34"/>
        <v>2025</v>
      </c>
      <c r="T721" s="7" t="str">
        <f t="shared" si="35"/>
        <v>Jun</v>
      </c>
    </row>
    <row r="722" spans="2:20" x14ac:dyDescent="0.3">
      <c r="B722" s="7">
        <v>721</v>
      </c>
      <c r="C722" s="7" t="s">
        <v>1939</v>
      </c>
      <c r="D722" s="7" t="s">
        <v>1940</v>
      </c>
      <c r="E722" s="7" t="str">
        <f t="shared" si="33"/>
        <v>Mar</v>
      </c>
      <c r="F722" s="7" t="s">
        <v>1941</v>
      </c>
      <c r="G722" s="7" t="s">
        <v>18</v>
      </c>
      <c r="H722" s="7" t="s">
        <v>37</v>
      </c>
      <c r="I722" s="7" t="s">
        <v>106</v>
      </c>
      <c r="J722" s="7" t="s">
        <v>47</v>
      </c>
      <c r="K722" s="7" t="s">
        <v>60</v>
      </c>
      <c r="L722" s="7">
        <v>712.42</v>
      </c>
      <c r="M722" s="7">
        <v>3</v>
      </c>
      <c r="N722" s="7">
        <v>0.27</v>
      </c>
      <c r="O722" s="7">
        <v>190.02</v>
      </c>
      <c r="P722" s="7" t="s">
        <v>23</v>
      </c>
      <c r="Q722" s="7" t="s">
        <v>77</v>
      </c>
      <c r="R722" s="7">
        <v>8</v>
      </c>
      <c r="S722" s="7">
        <f t="shared" si="34"/>
        <v>2024</v>
      </c>
      <c r="T722" s="7" t="str">
        <f t="shared" si="35"/>
        <v>Mar</v>
      </c>
    </row>
    <row r="723" spans="2:20" x14ac:dyDescent="0.3">
      <c r="B723" s="7">
        <v>722</v>
      </c>
      <c r="C723" s="7" t="s">
        <v>1942</v>
      </c>
      <c r="D723" s="7" t="s">
        <v>1943</v>
      </c>
      <c r="E723" s="7" t="str">
        <f t="shared" si="33"/>
        <v>Sep</v>
      </c>
      <c r="F723" s="7" t="s">
        <v>1944</v>
      </c>
      <c r="G723" s="7" t="s">
        <v>44</v>
      </c>
      <c r="H723" s="7" t="s">
        <v>51</v>
      </c>
      <c r="I723" s="7" t="s">
        <v>52</v>
      </c>
      <c r="J723" s="7" t="s">
        <v>66</v>
      </c>
      <c r="K723" s="7" t="s">
        <v>30</v>
      </c>
      <c r="L723" s="7">
        <v>2344.5500000000002</v>
      </c>
      <c r="M723" s="7">
        <v>4</v>
      </c>
      <c r="N723" s="7">
        <v>0.01</v>
      </c>
      <c r="O723" s="7">
        <v>484.54</v>
      </c>
      <c r="P723" s="7" t="s">
        <v>54</v>
      </c>
      <c r="Q723" s="7" t="s">
        <v>40</v>
      </c>
      <c r="R723" s="7">
        <v>10</v>
      </c>
      <c r="S723" s="7">
        <f t="shared" si="34"/>
        <v>2024</v>
      </c>
      <c r="T723" s="7" t="str">
        <f t="shared" si="35"/>
        <v>Sep</v>
      </c>
    </row>
    <row r="724" spans="2:20" x14ac:dyDescent="0.3">
      <c r="B724" s="7">
        <v>723</v>
      </c>
      <c r="C724" s="7" t="s">
        <v>1945</v>
      </c>
      <c r="D724" s="7" t="s">
        <v>1946</v>
      </c>
      <c r="E724" s="7" t="str">
        <f t="shared" si="33"/>
        <v>Feb</v>
      </c>
      <c r="F724" s="7" t="s">
        <v>1947</v>
      </c>
      <c r="G724" s="7" t="s">
        <v>102</v>
      </c>
      <c r="H724" s="7" t="s">
        <v>19</v>
      </c>
      <c r="I724" s="7" t="s">
        <v>59</v>
      </c>
      <c r="J724" s="7" t="s">
        <v>81</v>
      </c>
      <c r="K724" s="7" t="s">
        <v>60</v>
      </c>
      <c r="L724" s="7">
        <v>496.3</v>
      </c>
      <c r="M724" s="7">
        <v>1</v>
      </c>
      <c r="N724" s="7">
        <v>0.27</v>
      </c>
      <c r="O724" s="7">
        <v>89.8</v>
      </c>
      <c r="P724" s="7" t="s">
        <v>54</v>
      </c>
      <c r="Q724" s="7" t="s">
        <v>24</v>
      </c>
      <c r="R724" s="7">
        <v>2</v>
      </c>
      <c r="S724" s="7">
        <f t="shared" si="34"/>
        <v>2025</v>
      </c>
      <c r="T724" s="7" t="str">
        <f t="shared" si="35"/>
        <v>Feb</v>
      </c>
    </row>
    <row r="725" spans="2:20" x14ac:dyDescent="0.3">
      <c r="B725" s="7">
        <v>724</v>
      </c>
      <c r="C725" s="7" t="s">
        <v>1948</v>
      </c>
      <c r="D725" s="7" t="s">
        <v>1949</v>
      </c>
      <c r="E725" s="7" t="str">
        <f t="shared" si="33"/>
        <v>Jul</v>
      </c>
      <c r="F725" s="7" t="s">
        <v>1950</v>
      </c>
      <c r="G725" s="7" t="s">
        <v>44</v>
      </c>
      <c r="H725" s="7" t="s">
        <v>65</v>
      </c>
      <c r="I725" s="7" t="s">
        <v>59</v>
      </c>
      <c r="J725" s="7" t="s">
        <v>66</v>
      </c>
      <c r="K725" s="7" t="s">
        <v>53</v>
      </c>
      <c r="L725" s="7">
        <v>1588.47</v>
      </c>
      <c r="M725" s="7">
        <v>5</v>
      </c>
      <c r="N725" s="7">
        <v>0.3</v>
      </c>
      <c r="O725" s="7">
        <v>517.73</v>
      </c>
      <c r="P725" s="7" t="s">
        <v>23</v>
      </c>
      <c r="Q725" s="7" t="s">
        <v>24</v>
      </c>
      <c r="R725" s="7">
        <v>3</v>
      </c>
      <c r="S725" s="7">
        <f t="shared" si="34"/>
        <v>2025</v>
      </c>
      <c r="T725" s="7" t="str">
        <f t="shared" si="35"/>
        <v>Jul</v>
      </c>
    </row>
    <row r="726" spans="2:20" x14ac:dyDescent="0.3">
      <c r="B726" s="7">
        <v>725</v>
      </c>
      <c r="C726" s="7" t="s">
        <v>1951</v>
      </c>
      <c r="D726" s="7" t="s">
        <v>1146</v>
      </c>
      <c r="E726" s="7" t="str">
        <f t="shared" si="33"/>
        <v>Dec</v>
      </c>
      <c r="F726" s="7" t="s">
        <v>1952</v>
      </c>
      <c r="G726" s="7" t="s">
        <v>44</v>
      </c>
      <c r="H726" s="7" t="s">
        <v>58</v>
      </c>
      <c r="I726" s="7" t="s">
        <v>46</v>
      </c>
      <c r="J726" s="7" t="s">
        <v>66</v>
      </c>
      <c r="K726" s="7" t="s">
        <v>76</v>
      </c>
      <c r="L726" s="7">
        <v>739.54</v>
      </c>
      <c r="M726" s="7">
        <v>1</v>
      </c>
      <c r="N726" s="7">
        <v>0.22</v>
      </c>
      <c r="O726" s="7">
        <v>89.92</v>
      </c>
      <c r="P726" s="7" t="s">
        <v>54</v>
      </c>
      <c r="Q726" s="7" t="s">
        <v>24</v>
      </c>
      <c r="R726" s="7">
        <v>3</v>
      </c>
      <c r="S726" s="7">
        <f t="shared" si="34"/>
        <v>2024</v>
      </c>
      <c r="T726" s="7" t="str">
        <f t="shared" si="35"/>
        <v>Dec</v>
      </c>
    </row>
    <row r="727" spans="2:20" x14ac:dyDescent="0.3">
      <c r="B727" s="7">
        <v>726</v>
      </c>
      <c r="C727" s="7" t="s">
        <v>1953</v>
      </c>
      <c r="D727" s="7" t="s">
        <v>1325</v>
      </c>
      <c r="E727" s="7" t="str">
        <f t="shared" si="33"/>
        <v>Feb</v>
      </c>
      <c r="F727" s="7" t="s">
        <v>1954</v>
      </c>
      <c r="G727" s="7" t="s">
        <v>64</v>
      </c>
      <c r="H727" s="7" t="s">
        <v>51</v>
      </c>
      <c r="I727" s="7" t="s">
        <v>38</v>
      </c>
      <c r="J727" s="7" t="s">
        <v>66</v>
      </c>
      <c r="K727" s="7" t="s">
        <v>76</v>
      </c>
      <c r="L727" s="7">
        <v>525.09</v>
      </c>
      <c r="M727" s="7">
        <v>1</v>
      </c>
      <c r="N727" s="7">
        <v>0.24</v>
      </c>
      <c r="O727" s="7">
        <v>146.91999999999999</v>
      </c>
      <c r="P727" s="7" t="s">
        <v>54</v>
      </c>
      <c r="Q727" s="7" t="s">
        <v>86</v>
      </c>
      <c r="R727" s="7">
        <v>6</v>
      </c>
      <c r="S727" s="7">
        <f t="shared" si="34"/>
        <v>2024</v>
      </c>
      <c r="T727" s="7" t="str">
        <f t="shared" si="35"/>
        <v>Feb</v>
      </c>
    </row>
    <row r="728" spans="2:20" x14ac:dyDescent="0.3">
      <c r="B728" s="7">
        <v>727</v>
      </c>
      <c r="C728" s="7" t="s">
        <v>1955</v>
      </c>
      <c r="D728" s="7" t="s">
        <v>172</v>
      </c>
      <c r="E728" s="7" t="str">
        <f t="shared" si="33"/>
        <v>Sep</v>
      </c>
      <c r="F728" s="7" t="s">
        <v>1779</v>
      </c>
      <c r="G728" s="7" t="s">
        <v>18</v>
      </c>
      <c r="H728" s="7" t="s">
        <v>58</v>
      </c>
      <c r="I728" s="7" t="s">
        <v>28</v>
      </c>
      <c r="J728" s="7" t="s">
        <v>81</v>
      </c>
      <c r="K728" s="7" t="s">
        <v>60</v>
      </c>
      <c r="L728" s="7">
        <v>361.08</v>
      </c>
      <c r="M728" s="7">
        <v>2</v>
      </c>
      <c r="N728" s="7">
        <v>0.23</v>
      </c>
      <c r="O728" s="7">
        <v>100.84</v>
      </c>
      <c r="P728" s="7" t="s">
        <v>23</v>
      </c>
      <c r="Q728" s="7" t="s">
        <v>24</v>
      </c>
      <c r="R728" s="7">
        <v>1</v>
      </c>
      <c r="S728" s="7">
        <f t="shared" si="34"/>
        <v>2025</v>
      </c>
      <c r="T728" s="7" t="str">
        <f t="shared" si="35"/>
        <v>Sep</v>
      </c>
    </row>
    <row r="729" spans="2:20" x14ac:dyDescent="0.3">
      <c r="B729" s="7">
        <v>728</v>
      </c>
      <c r="C729" s="7" t="s">
        <v>1956</v>
      </c>
      <c r="D729" s="7" t="s">
        <v>549</v>
      </c>
      <c r="E729" s="7" t="str">
        <f t="shared" si="33"/>
        <v>Feb</v>
      </c>
      <c r="F729" s="7" t="s">
        <v>1957</v>
      </c>
      <c r="G729" s="7" t="s">
        <v>102</v>
      </c>
      <c r="H729" s="7" t="s">
        <v>65</v>
      </c>
      <c r="I729" s="7" t="s">
        <v>59</v>
      </c>
      <c r="J729" s="7" t="s">
        <v>47</v>
      </c>
      <c r="K729" s="7" t="s">
        <v>22</v>
      </c>
      <c r="L729" s="7">
        <v>596.73</v>
      </c>
      <c r="M729" s="7">
        <v>4</v>
      </c>
      <c r="N729" s="7">
        <v>0.25</v>
      </c>
      <c r="O729" s="7">
        <v>76.19</v>
      </c>
      <c r="P729" s="7" t="s">
        <v>54</v>
      </c>
      <c r="Q729" s="7" t="s">
        <v>86</v>
      </c>
      <c r="R729" s="7">
        <v>6</v>
      </c>
      <c r="S729" s="7">
        <f t="shared" si="34"/>
        <v>2024</v>
      </c>
      <c r="T729" s="7" t="str">
        <f t="shared" si="35"/>
        <v>Feb</v>
      </c>
    </row>
    <row r="730" spans="2:20" x14ac:dyDescent="0.3">
      <c r="B730" s="7">
        <v>729</v>
      </c>
      <c r="C730" s="7" t="s">
        <v>1958</v>
      </c>
      <c r="D730" s="7" t="s">
        <v>1104</v>
      </c>
      <c r="E730" s="7" t="str">
        <f t="shared" si="33"/>
        <v>Sep</v>
      </c>
      <c r="F730" s="7" t="s">
        <v>1959</v>
      </c>
      <c r="G730" s="7" t="s">
        <v>102</v>
      </c>
      <c r="H730" s="7" t="s">
        <v>58</v>
      </c>
      <c r="I730" s="7" t="s">
        <v>38</v>
      </c>
      <c r="J730" s="7" t="s">
        <v>29</v>
      </c>
      <c r="K730" s="7" t="s">
        <v>72</v>
      </c>
      <c r="L730" s="7">
        <v>241.34</v>
      </c>
      <c r="M730" s="7">
        <v>1</v>
      </c>
      <c r="N730" s="7">
        <v>0.23</v>
      </c>
      <c r="O730" s="7">
        <v>33.97</v>
      </c>
      <c r="P730" s="7" t="s">
        <v>31</v>
      </c>
      <c r="Q730" s="7" t="s">
        <v>32</v>
      </c>
      <c r="R730" s="7">
        <v>10</v>
      </c>
      <c r="S730" s="7">
        <f t="shared" si="34"/>
        <v>2025</v>
      </c>
      <c r="T730" s="7" t="str">
        <f t="shared" si="35"/>
        <v>Sep</v>
      </c>
    </row>
    <row r="731" spans="2:20" x14ac:dyDescent="0.3">
      <c r="B731" s="7">
        <v>730</v>
      </c>
      <c r="C731" s="7" t="s">
        <v>1960</v>
      </c>
      <c r="D731" s="7" t="s">
        <v>1961</v>
      </c>
      <c r="E731" s="7" t="str">
        <f t="shared" si="33"/>
        <v>Nov</v>
      </c>
      <c r="F731" s="7" t="s">
        <v>1962</v>
      </c>
      <c r="G731" s="7" t="s">
        <v>18</v>
      </c>
      <c r="H731" s="7" t="s">
        <v>19</v>
      </c>
      <c r="I731" s="7" t="s">
        <v>38</v>
      </c>
      <c r="J731" s="7" t="s">
        <v>29</v>
      </c>
      <c r="K731" s="7" t="s">
        <v>60</v>
      </c>
      <c r="L731" s="7">
        <v>2978.37</v>
      </c>
      <c r="M731" s="7">
        <v>3</v>
      </c>
      <c r="N731" s="7">
        <v>0.27</v>
      </c>
      <c r="O731" s="7">
        <v>685.95</v>
      </c>
      <c r="P731" s="7" t="s">
        <v>54</v>
      </c>
      <c r="Q731" s="7" t="s">
        <v>32</v>
      </c>
      <c r="R731" s="7">
        <v>4</v>
      </c>
      <c r="S731" s="7">
        <f t="shared" si="34"/>
        <v>2024</v>
      </c>
      <c r="T731" s="7" t="str">
        <f t="shared" si="35"/>
        <v>Nov</v>
      </c>
    </row>
    <row r="732" spans="2:20" x14ac:dyDescent="0.3">
      <c r="B732" s="7">
        <v>731</v>
      </c>
      <c r="C732" s="7" t="s">
        <v>1963</v>
      </c>
      <c r="D732" s="7" t="s">
        <v>866</v>
      </c>
      <c r="E732" s="7" t="str">
        <f t="shared" si="33"/>
        <v>Dec</v>
      </c>
      <c r="F732" s="7" t="s">
        <v>1964</v>
      </c>
      <c r="G732" s="7" t="s">
        <v>102</v>
      </c>
      <c r="H732" s="7" t="s">
        <v>58</v>
      </c>
      <c r="I732" s="7" t="s">
        <v>116</v>
      </c>
      <c r="J732" s="7" t="s">
        <v>21</v>
      </c>
      <c r="K732" s="7" t="s">
        <v>60</v>
      </c>
      <c r="L732" s="7">
        <v>436.85</v>
      </c>
      <c r="M732" s="7">
        <v>3</v>
      </c>
      <c r="N732" s="7">
        <v>0.05</v>
      </c>
      <c r="O732" s="7">
        <v>91.45</v>
      </c>
      <c r="P732" s="7" t="s">
        <v>54</v>
      </c>
      <c r="Q732" s="7" t="s">
        <v>32</v>
      </c>
      <c r="R732" s="7">
        <v>2</v>
      </c>
      <c r="S732" s="7">
        <f t="shared" si="34"/>
        <v>2025</v>
      </c>
      <c r="T732" s="7" t="str">
        <f t="shared" si="35"/>
        <v>Dec</v>
      </c>
    </row>
    <row r="733" spans="2:20" x14ac:dyDescent="0.3">
      <c r="B733" s="7">
        <v>732</v>
      </c>
      <c r="C733" s="7" t="s">
        <v>1965</v>
      </c>
      <c r="D733" s="7" t="s">
        <v>1966</v>
      </c>
      <c r="E733" s="7" t="str">
        <f t="shared" si="33"/>
        <v>Apr</v>
      </c>
      <c r="F733" s="7" t="s">
        <v>1967</v>
      </c>
      <c r="G733" s="7" t="s">
        <v>44</v>
      </c>
      <c r="H733" s="7" t="s">
        <v>37</v>
      </c>
      <c r="I733" s="7" t="s">
        <v>116</v>
      </c>
      <c r="J733" s="7" t="s">
        <v>81</v>
      </c>
      <c r="K733" s="7" t="s">
        <v>82</v>
      </c>
      <c r="L733" s="7">
        <v>255.27</v>
      </c>
      <c r="M733" s="7">
        <v>2</v>
      </c>
      <c r="N733" s="7">
        <v>0.13</v>
      </c>
      <c r="O733" s="7">
        <v>75.63</v>
      </c>
      <c r="P733" s="7" t="s">
        <v>23</v>
      </c>
      <c r="Q733" s="7" t="s">
        <v>40</v>
      </c>
      <c r="R733" s="7">
        <v>6</v>
      </c>
      <c r="S733" s="7">
        <f t="shared" si="34"/>
        <v>2024</v>
      </c>
      <c r="T733" s="7" t="str">
        <f t="shared" si="35"/>
        <v>Apr</v>
      </c>
    </row>
    <row r="734" spans="2:20" x14ac:dyDescent="0.3">
      <c r="B734" s="7">
        <v>733</v>
      </c>
      <c r="C734" s="7" t="s">
        <v>1968</v>
      </c>
      <c r="D734" s="7" t="s">
        <v>429</v>
      </c>
      <c r="E734" s="7" t="str">
        <f t="shared" si="33"/>
        <v>Mar</v>
      </c>
      <c r="F734" s="7" t="s">
        <v>1969</v>
      </c>
      <c r="G734" s="7" t="s">
        <v>36</v>
      </c>
      <c r="H734" s="7" t="s">
        <v>37</v>
      </c>
      <c r="I734" s="7" t="s">
        <v>46</v>
      </c>
      <c r="J734" s="7" t="s">
        <v>21</v>
      </c>
      <c r="K734" s="7" t="s">
        <v>60</v>
      </c>
      <c r="L734" s="7">
        <v>2222.42</v>
      </c>
      <c r="M734" s="7">
        <v>3</v>
      </c>
      <c r="N734" s="7">
        <v>0.18</v>
      </c>
      <c r="O734" s="7">
        <v>761.72</v>
      </c>
      <c r="P734" s="7" t="s">
        <v>54</v>
      </c>
      <c r="Q734" s="7" t="s">
        <v>77</v>
      </c>
      <c r="R734" s="7">
        <v>9</v>
      </c>
      <c r="S734" s="7">
        <f t="shared" si="34"/>
        <v>2024</v>
      </c>
      <c r="T734" s="7" t="str">
        <f t="shared" si="35"/>
        <v>Mar</v>
      </c>
    </row>
    <row r="735" spans="2:20" x14ac:dyDescent="0.3">
      <c r="B735" s="7">
        <v>734</v>
      </c>
      <c r="C735" s="7" t="s">
        <v>1970</v>
      </c>
      <c r="D735" s="7" t="s">
        <v>1971</v>
      </c>
      <c r="E735" s="7" t="str">
        <f t="shared" si="33"/>
        <v>Dec</v>
      </c>
      <c r="F735" s="7" t="s">
        <v>1972</v>
      </c>
      <c r="G735" s="7" t="s">
        <v>102</v>
      </c>
      <c r="H735" s="7" t="s">
        <v>58</v>
      </c>
      <c r="I735" s="7" t="s">
        <v>116</v>
      </c>
      <c r="J735" s="7" t="s">
        <v>21</v>
      </c>
      <c r="K735" s="7" t="s">
        <v>30</v>
      </c>
      <c r="L735" s="7">
        <v>843.54</v>
      </c>
      <c r="M735" s="7">
        <v>1</v>
      </c>
      <c r="N735" s="7">
        <v>0.08</v>
      </c>
      <c r="O735" s="7">
        <v>246.57</v>
      </c>
      <c r="P735" s="7" t="s">
        <v>23</v>
      </c>
      <c r="Q735" s="7" t="s">
        <v>32</v>
      </c>
      <c r="R735" s="7">
        <v>6</v>
      </c>
      <c r="S735" s="7">
        <f t="shared" si="34"/>
        <v>2025</v>
      </c>
      <c r="T735" s="7" t="str">
        <f t="shared" si="35"/>
        <v>Dec</v>
      </c>
    </row>
    <row r="736" spans="2:20" x14ac:dyDescent="0.3">
      <c r="B736" s="7">
        <v>735</v>
      </c>
      <c r="C736" s="7" t="s">
        <v>1973</v>
      </c>
      <c r="D736" s="7" t="s">
        <v>1688</v>
      </c>
      <c r="E736" s="7" t="str">
        <f t="shared" si="33"/>
        <v>Jul</v>
      </c>
      <c r="F736" s="7" t="s">
        <v>1974</v>
      </c>
      <c r="G736" s="7" t="s">
        <v>36</v>
      </c>
      <c r="H736" s="7" t="s">
        <v>65</v>
      </c>
      <c r="I736" s="7" t="s">
        <v>28</v>
      </c>
      <c r="J736" s="7" t="s">
        <v>66</v>
      </c>
      <c r="K736" s="7" t="s">
        <v>82</v>
      </c>
      <c r="L736" s="7">
        <v>316.62</v>
      </c>
      <c r="M736" s="7">
        <v>1</v>
      </c>
      <c r="N736" s="7">
        <v>0.13</v>
      </c>
      <c r="O736" s="7">
        <v>75.91</v>
      </c>
      <c r="P736" s="7" t="s">
        <v>31</v>
      </c>
      <c r="Q736" s="7" t="s">
        <v>32</v>
      </c>
      <c r="R736" s="7">
        <v>3</v>
      </c>
      <c r="S736" s="7">
        <f t="shared" si="34"/>
        <v>2024</v>
      </c>
      <c r="T736" s="7" t="str">
        <f t="shared" si="35"/>
        <v>Jul</v>
      </c>
    </row>
    <row r="737" spans="2:20" x14ac:dyDescent="0.3">
      <c r="B737" s="7">
        <v>736</v>
      </c>
      <c r="C737" s="7" t="s">
        <v>1975</v>
      </c>
      <c r="D737" s="7" t="s">
        <v>1976</v>
      </c>
      <c r="E737" s="7" t="str">
        <f t="shared" si="33"/>
        <v>Jun</v>
      </c>
      <c r="F737" s="7" t="s">
        <v>1977</v>
      </c>
      <c r="G737" s="7" t="s">
        <v>18</v>
      </c>
      <c r="H737" s="7" t="s">
        <v>45</v>
      </c>
      <c r="I737" s="7" t="s">
        <v>46</v>
      </c>
      <c r="J737" s="7" t="s">
        <v>29</v>
      </c>
      <c r="K737" s="7" t="s">
        <v>39</v>
      </c>
      <c r="L737" s="7">
        <v>4638.3900000000003</v>
      </c>
      <c r="M737" s="7">
        <v>5</v>
      </c>
      <c r="N737" s="7">
        <v>0.28999999999999998</v>
      </c>
      <c r="O737" s="7">
        <v>1327.93</v>
      </c>
      <c r="P737" s="7" t="s">
        <v>54</v>
      </c>
      <c r="Q737" s="7" t="s">
        <v>32</v>
      </c>
      <c r="R737" s="7">
        <v>6</v>
      </c>
      <c r="S737" s="7">
        <f t="shared" si="34"/>
        <v>2025</v>
      </c>
      <c r="T737" s="7" t="str">
        <f t="shared" si="35"/>
        <v>Jun</v>
      </c>
    </row>
    <row r="738" spans="2:20" x14ac:dyDescent="0.3">
      <c r="B738" s="7">
        <v>737</v>
      </c>
      <c r="C738" s="7" t="s">
        <v>1978</v>
      </c>
      <c r="D738" s="7" t="s">
        <v>1827</v>
      </c>
      <c r="E738" s="7" t="str">
        <f t="shared" si="33"/>
        <v>Dec</v>
      </c>
      <c r="F738" s="7" t="s">
        <v>1979</v>
      </c>
      <c r="G738" s="7" t="s">
        <v>18</v>
      </c>
      <c r="H738" s="7" t="s">
        <v>19</v>
      </c>
      <c r="I738" s="7" t="s">
        <v>116</v>
      </c>
      <c r="J738" s="7" t="s">
        <v>81</v>
      </c>
      <c r="K738" s="7" t="s">
        <v>72</v>
      </c>
      <c r="L738" s="7">
        <v>564.41999999999996</v>
      </c>
      <c r="M738" s="7">
        <v>1</v>
      </c>
      <c r="N738" s="7">
        <v>0.17</v>
      </c>
      <c r="O738" s="7">
        <v>63.28</v>
      </c>
      <c r="P738" s="7" t="s">
        <v>23</v>
      </c>
      <c r="Q738" s="7" t="s">
        <v>77</v>
      </c>
      <c r="R738" s="7">
        <v>3</v>
      </c>
      <c r="S738" s="7">
        <f t="shared" si="34"/>
        <v>2025</v>
      </c>
      <c r="T738" s="7" t="str">
        <f t="shared" si="35"/>
        <v>Dec</v>
      </c>
    </row>
    <row r="739" spans="2:20" x14ac:dyDescent="0.3">
      <c r="B739" s="7">
        <v>738</v>
      </c>
      <c r="C739" s="7" t="s">
        <v>1980</v>
      </c>
      <c r="D739" s="7" t="s">
        <v>1981</v>
      </c>
      <c r="E739" s="7" t="str">
        <f t="shared" si="33"/>
        <v>Apr</v>
      </c>
      <c r="F739" s="7" t="s">
        <v>1982</v>
      </c>
      <c r="G739" s="7" t="s">
        <v>64</v>
      </c>
      <c r="H739" s="7" t="s">
        <v>58</v>
      </c>
      <c r="I739" s="7" t="s">
        <v>28</v>
      </c>
      <c r="J739" s="7" t="s">
        <v>47</v>
      </c>
      <c r="K739" s="7" t="s">
        <v>72</v>
      </c>
      <c r="L739" s="7">
        <v>2806.81</v>
      </c>
      <c r="M739" s="7">
        <v>3</v>
      </c>
      <c r="N739" s="7">
        <v>0.27</v>
      </c>
      <c r="O739" s="7">
        <v>572.55999999999995</v>
      </c>
      <c r="P739" s="7" t="s">
        <v>31</v>
      </c>
      <c r="Q739" s="7" t="s">
        <v>32</v>
      </c>
      <c r="R739" s="7">
        <v>1</v>
      </c>
      <c r="S739" s="7">
        <f t="shared" si="34"/>
        <v>2025</v>
      </c>
      <c r="T739" s="7" t="str">
        <f t="shared" si="35"/>
        <v>Apr</v>
      </c>
    </row>
    <row r="740" spans="2:20" x14ac:dyDescent="0.3">
      <c r="B740" s="7">
        <v>739</v>
      </c>
      <c r="C740" s="7" t="s">
        <v>1983</v>
      </c>
      <c r="D740" s="7" t="s">
        <v>942</v>
      </c>
      <c r="E740" s="7" t="str">
        <f t="shared" si="33"/>
        <v>Apr</v>
      </c>
      <c r="F740" s="7" t="s">
        <v>1984</v>
      </c>
      <c r="G740" s="7" t="s">
        <v>44</v>
      </c>
      <c r="H740" s="7" t="s">
        <v>65</v>
      </c>
      <c r="I740" s="7" t="s">
        <v>59</v>
      </c>
      <c r="J740" s="7" t="s">
        <v>81</v>
      </c>
      <c r="K740" s="7" t="s">
        <v>67</v>
      </c>
      <c r="L740" s="7">
        <v>88.68</v>
      </c>
      <c r="M740" s="7">
        <v>3</v>
      </c>
      <c r="N740" s="7">
        <v>0.24</v>
      </c>
      <c r="O740" s="7">
        <v>10.31</v>
      </c>
      <c r="P740" s="7" t="s">
        <v>31</v>
      </c>
      <c r="Q740" s="7" t="s">
        <v>24</v>
      </c>
      <c r="R740" s="7">
        <v>1</v>
      </c>
      <c r="S740" s="7">
        <f t="shared" si="34"/>
        <v>2025</v>
      </c>
      <c r="T740" s="7" t="str">
        <f t="shared" si="35"/>
        <v>Apr</v>
      </c>
    </row>
    <row r="741" spans="2:20" x14ac:dyDescent="0.3">
      <c r="B741" s="7">
        <v>740</v>
      </c>
      <c r="C741" s="7" t="s">
        <v>1985</v>
      </c>
      <c r="D741" s="7" t="s">
        <v>1986</v>
      </c>
      <c r="E741" s="7" t="str">
        <f t="shared" si="33"/>
        <v>Sep</v>
      </c>
      <c r="F741" s="7" t="s">
        <v>1987</v>
      </c>
      <c r="G741" s="7" t="s">
        <v>102</v>
      </c>
      <c r="H741" s="7" t="s">
        <v>65</v>
      </c>
      <c r="I741" s="7" t="s">
        <v>52</v>
      </c>
      <c r="J741" s="7" t="s">
        <v>29</v>
      </c>
      <c r="K741" s="7" t="s">
        <v>76</v>
      </c>
      <c r="L741" s="7">
        <v>1734.92</v>
      </c>
      <c r="M741" s="7">
        <v>2</v>
      </c>
      <c r="N741" s="7">
        <v>0.21</v>
      </c>
      <c r="O741" s="7">
        <v>190.31</v>
      </c>
      <c r="P741" s="7" t="s">
        <v>23</v>
      </c>
      <c r="Q741" s="7" t="s">
        <v>77</v>
      </c>
      <c r="R741" s="7">
        <v>10</v>
      </c>
      <c r="S741" s="7">
        <f t="shared" si="34"/>
        <v>2024</v>
      </c>
      <c r="T741" s="7" t="str">
        <f t="shared" si="35"/>
        <v>Sep</v>
      </c>
    </row>
    <row r="742" spans="2:20" x14ac:dyDescent="0.3">
      <c r="B742" s="7">
        <v>741</v>
      </c>
      <c r="C742" s="7" t="s">
        <v>1988</v>
      </c>
      <c r="D742" s="7" t="s">
        <v>1989</v>
      </c>
      <c r="E742" s="7" t="str">
        <f t="shared" si="33"/>
        <v>Jan</v>
      </c>
      <c r="F742" s="7" t="s">
        <v>1990</v>
      </c>
      <c r="G742" s="7" t="s">
        <v>64</v>
      </c>
      <c r="H742" s="7" t="s">
        <v>45</v>
      </c>
      <c r="I742" s="7" t="s">
        <v>116</v>
      </c>
      <c r="J742" s="7" t="s">
        <v>66</v>
      </c>
      <c r="K742" s="7" t="s">
        <v>76</v>
      </c>
      <c r="L742" s="7">
        <v>518.4</v>
      </c>
      <c r="M742" s="7">
        <v>1</v>
      </c>
      <c r="N742" s="7">
        <v>0.17</v>
      </c>
      <c r="O742" s="7">
        <v>181.28</v>
      </c>
      <c r="P742" s="7" t="s">
        <v>54</v>
      </c>
      <c r="Q742" s="7" t="s">
        <v>32</v>
      </c>
      <c r="R742" s="7">
        <v>3</v>
      </c>
      <c r="S742" s="7">
        <f t="shared" si="34"/>
        <v>2024</v>
      </c>
      <c r="T742" s="7" t="str">
        <f t="shared" si="35"/>
        <v>Jan</v>
      </c>
    </row>
    <row r="743" spans="2:20" x14ac:dyDescent="0.3">
      <c r="B743" s="7">
        <v>742</v>
      </c>
      <c r="C743" s="7" t="s">
        <v>1991</v>
      </c>
      <c r="D743" s="7" t="s">
        <v>902</v>
      </c>
      <c r="E743" s="7" t="str">
        <f t="shared" si="33"/>
        <v>Apr</v>
      </c>
      <c r="F743" s="7" t="s">
        <v>1992</v>
      </c>
      <c r="G743" s="7" t="s">
        <v>44</v>
      </c>
      <c r="H743" s="7" t="s">
        <v>19</v>
      </c>
      <c r="I743" s="7" t="s">
        <v>38</v>
      </c>
      <c r="J743" s="7" t="s">
        <v>81</v>
      </c>
      <c r="K743" s="7" t="s">
        <v>60</v>
      </c>
      <c r="L743" s="7">
        <v>1485.25</v>
      </c>
      <c r="M743" s="7">
        <v>5</v>
      </c>
      <c r="N743" s="7">
        <v>0.09</v>
      </c>
      <c r="O743" s="7">
        <v>340.96</v>
      </c>
      <c r="P743" s="7" t="s">
        <v>23</v>
      </c>
      <c r="Q743" s="7" t="s">
        <v>77</v>
      </c>
      <c r="R743" s="7">
        <v>3</v>
      </c>
      <c r="S743" s="7">
        <f t="shared" si="34"/>
        <v>2024</v>
      </c>
      <c r="T743" s="7" t="str">
        <f t="shared" si="35"/>
        <v>Apr</v>
      </c>
    </row>
    <row r="744" spans="2:20" x14ac:dyDescent="0.3">
      <c r="B744" s="7">
        <v>743</v>
      </c>
      <c r="C744" s="7" t="s">
        <v>1993</v>
      </c>
      <c r="D744" s="7" t="s">
        <v>1994</v>
      </c>
      <c r="E744" s="7" t="str">
        <f t="shared" si="33"/>
        <v>Nov</v>
      </c>
      <c r="F744" s="7" t="s">
        <v>1995</v>
      </c>
      <c r="G744" s="7" t="s">
        <v>102</v>
      </c>
      <c r="H744" s="7" t="s">
        <v>58</v>
      </c>
      <c r="I744" s="7" t="s">
        <v>52</v>
      </c>
      <c r="J744" s="7" t="s">
        <v>47</v>
      </c>
      <c r="K744" s="7" t="s">
        <v>30</v>
      </c>
      <c r="L744" s="7">
        <v>198.85</v>
      </c>
      <c r="M744" s="7">
        <v>2</v>
      </c>
      <c r="N744" s="7">
        <v>0.25</v>
      </c>
      <c r="O744" s="7">
        <v>42.47</v>
      </c>
      <c r="P744" s="7" t="s">
        <v>54</v>
      </c>
      <c r="Q744" s="7" t="s">
        <v>40</v>
      </c>
      <c r="R744" s="7">
        <v>7</v>
      </c>
      <c r="S744" s="7">
        <f t="shared" si="34"/>
        <v>2025</v>
      </c>
      <c r="T744" s="7" t="str">
        <f t="shared" si="35"/>
        <v>Nov</v>
      </c>
    </row>
    <row r="745" spans="2:20" x14ac:dyDescent="0.3">
      <c r="B745" s="7">
        <v>744</v>
      </c>
      <c r="C745" s="7" t="s">
        <v>1996</v>
      </c>
      <c r="D745" s="7" t="s">
        <v>1051</v>
      </c>
      <c r="E745" s="7" t="str">
        <f t="shared" si="33"/>
        <v>May</v>
      </c>
      <c r="F745" s="7" t="s">
        <v>1997</v>
      </c>
      <c r="G745" s="7" t="s">
        <v>102</v>
      </c>
      <c r="H745" s="7" t="s">
        <v>19</v>
      </c>
      <c r="I745" s="7" t="s">
        <v>116</v>
      </c>
      <c r="J745" s="7" t="s">
        <v>66</v>
      </c>
      <c r="K745" s="7" t="s">
        <v>60</v>
      </c>
      <c r="L745" s="7">
        <v>3842.14</v>
      </c>
      <c r="M745" s="7">
        <v>4</v>
      </c>
      <c r="N745" s="7">
        <v>0.13</v>
      </c>
      <c r="O745" s="7">
        <v>719.03</v>
      </c>
      <c r="P745" s="7" t="s">
        <v>31</v>
      </c>
      <c r="Q745" s="7" t="s">
        <v>86</v>
      </c>
      <c r="R745" s="7">
        <v>4</v>
      </c>
      <c r="S745" s="7">
        <f t="shared" si="34"/>
        <v>2025</v>
      </c>
      <c r="T745" s="7" t="str">
        <f t="shared" si="35"/>
        <v>May</v>
      </c>
    </row>
    <row r="746" spans="2:20" x14ac:dyDescent="0.3">
      <c r="B746" s="7">
        <v>745</v>
      </c>
      <c r="C746" s="7" t="s">
        <v>1998</v>
      </c>
      <c r="D746" s="7" t="s">
        <v>1999</v>
      </c>
      <c r="E746" s="7" t="str">
        <f t="shared" si="33"/>
        <v>May</v>
      </c>
      <c r="F746" s="7" t="s">
        <v>2000</v>
      </c>
      <c r="G746" s="7" t="s">
        <v>18</v>
      </c>
      <c r="H746" s="7" t="s">
        <v>51</v>
      </c>
      <c r="I746" s="7" t="s">
        <v>46</v>
      </c>
      <c r="J746" s="7" t="s">
        <v>21</v>
      </c>
      <c r="K746" s="7" t="s">
        <v>67</v>
      </c>
      <c r="L746" s="7">
        <v>2732.41</v>
      </c>
      <c r="M746" s="7">
        <v>3</v>
      </c>
      <c r="N746" s="7">
        <v>0.15</v>
      </c>
      <c r="O746" s="7">
        <v>312.47000000000003</v>
      </c>
      <c r="P746" s="7" t="s">
        <v>23</v>
      </c>
      <c r="Q746" s="7" t="s">
        <v>40</v>
      </c>
      <c r="R746" s="7">
        <v>7</v>
      </c>
      <c r="S746" s="7">
        <f t="shared" si="34"/>
        <v>2024</v>
      </c>
      <c r="T746" s="7" t="str">
        <f t="shared" si="35"/>
        <v>May</v>
      </c>
    </row>
    <row r="747" spans="2:20" x14ac:dyDescent="0.3">
      <c r="B747" s="7">
        <v>746</v>
      </c>
      <c r="C747" s="7" t="s">
        <v>2001</v>
      </c>
      <c r="D747" s="7" t="s">
        <v>991</v>
      </c>
      <c r="E747" s="7" t="str">
        <f t="shared" si="33"/>
        <v>Mar</v>
      </c>
      <c r="F747" s="7" t="s">
        <v>2002</v>
      </c>
      <c r="G747" s="7" t="s">
        <v>18</v>
      </c>
      <c r="H747" s="7" t="s">
        <v>51</v>
      </c>
      <c r="I747" s="7" t="s">
        <v>46</v>
      </c>
      <c r="J747" s="7" t="s">
        <v>29</v>
      </c>
      <c r="K747" s="7" t="s">
        <v>72</v>
      </c>
      <c r="L747" s="7">
        <v>2143.46</v>
      </c>
      <c r="M747" s="7">
        <v>5</v>
      </c>
      <c r="N747" s="7">
        <v>0.06</v>
      </c>
      <c r="O747" s="7">
        <v>276.5</v>
      </c>
      <c r="P747" s="7" t="s">
        <v>54</v>
      </c>
      <c r="Q747" s="7" t="s">
        <v>77</v>
      </c>
      <c r="R747" s="7">
        <v>8</v>
      </c>
      <c r="S747" s="7">
        <f t="shared" si="34"/>
        <v>2025</v>
      </c>
      <c r="T747" s="7" t="str">
        <f t="shared" si="35"/>
        <v>Mar</v>
      </c>
    </row>
    <row r="748" spans="2:20" x14ac:dyDescent="0.3">
      <c r="B748" s="7">
        <v>747</v>
      </c>
      <c r="C748" s="7" t="s">
        <v>2003</v>
      </c>
      <c r="D748" s="7" t="s">
        <v>1271</v>
      </c>
      <c r="E748" s="7" t="str">
        <f t="shared" si="33"/>
        <v>Dec</v>
      </c>
      <c r="F748" s="7" t="s">
        <v>2004</v>
      </c>
      <c r="G748" s="7" t="s">
        <v>102</v>
      </c>
      <c r="H748" s="7" t="s">
        <v>65</v>
      </c>
      <c r="I748" s="7" t="s">
        <v>116</v>
      </c>
      <c r="J748" s="7" t="s">
        <v>29</v>
      </c>
      <c r="K748" s="7" t="s">
        <v>82</v>
      </c>
      <c r="L748" s="7">
        <v>301.47000000000003</v>
      </c>
      <c r="M748" s="7">
        <v>1</v>
      </c>
      <c r="N748" s="7">
        <v>0.26</v>
      </c>
      <c r="O748" s="7">
        <v>104.99</v>
      </c>
      <c r="P748" s="7" t="s">
        <v>23</v>
      </c>
      <c r="Q748" s="7" t="s">
        <v>86</v>
      </c>
      <c r="R748" s="7">
        <v>7</v>
      </c>
      <c r="S748" s="7">
        <f t="shared" si="34"/>
        <v>2025</v>
      </c>
      <c r="T748" s="7" t="str">
        <f t="shared" si="35"/>
        <v>Dec</v>
      </c>
    </row>
    <row r="749" spans="2:20" x14ac:dyDescent="0.3">
      <c r="B749" s="7">
        <v>748</v>
      </c>
      <c r="C749" s="7" t="s">
        <v>2005</v>
      </c>
      <c r="D749" s="7" t="s">
        <v>501</v>
      </c>
      <c r="E749" s="7" t="str">
        <f t="shared" si="33"/>
        <v>Oct</v>
      </c>
      <c r="F749" s="7" t="s">
        <v>2006</v>
      </c>
      <c r="G749" s="7" t="s">
        <v>44</v>
      </c>
      <c r="H749" s="7" t="s">
        <v>71</v>
      </c>
      <c r="I749" s="7" t="s">
        <v>116</v>
      </c>
      <c r="J749" s="7" t="s">
        <v>21</v>
      </c>
      <c r="K749" s="7" t="s">
        <v>67</v>
      </c>
      <c r="L749" s="7">
        <v>1307</v>
      </c>
      <c r="M749" s="7">
        <v>2</v>
      </c>
      <c r="N749" s="7">
        <v>0.18</v>
      </c>
      <c r="O749" s="7">
        <v>373.34</v>
      </c>
      <c r="P749" s="7" t="s">
        <v>54</v>
      </c>
      <c r="Q749" s="7" t="s">
        <v>24</v>
      </c>
      <c r="R749" s="7">
        <v>4</v>
      </c>
      <c r="S749" s="7">
        <f t="shared" si="34"/>
        <v>2024</v>
      </c>
      <c r="T749" s="7" t="str">
        <f t="shared" si="35"/>
        <v>Oct</v>
      </c>
    </row>
    <row r="750" spans="2:20" x14ac:dyDescent="0.3">
      <c r="B750" s="7">
        <v>749</v>
      </c>
      <c r="C750" s="7" t="s">
        <v>2007</v>
      </c>
      <c r="D750" s="7" t="s">
        <v>847</v>
      </c>
      <c r="E750" s="7" t="str">
        <f t="shared" si="33"/>
        <v>Apr</v>
      </c>
      <c r="F750" s="7" t="s">
        <v>2008</v>
      </c>
      <c r="G750" s="7" t="s">
        <v>102</v>
      </c>
      <c r="H750" s="7" t="s">
        <v>58</v>
      </c>
      <c r="I750" s="7" t="s">
        <v>28</v>
      </c>
      <c r="J750" s="7" t="s">
        <v>47</v>
      </c>
      <c r="K750" s="7" t="s">
        <v>22</v>
      </c>
      <c r="L750" s="7">
        <v>299.77</v>
      </c>
      <c r="M750" s="7">
        <v>3</v>
      </c>
      <c r="N750" s="7">
        <v>0.24</v>
      </c>
      <c r="O750" s="7">
        <v>79.58</v>
      </c>
      <c r="P750" s="7" t="s">
        <v>23</v>
      </c>
      <c r="Q750" s="7" t="s">
        <v>86</v>
      </c>
      <c r="R750" s="7">
        <v>2</v>
      </c>
      <c r="S750" s="7">
        <f t="shared" si="34"/>
        <v>2024</v>
      </c>
      <c r="T750" s="7" t="str">
        <f t="shared" si="35"/>
        <v>Apr</v>
      </c>
    </row>
    <row r="751" spans="2:20" x14ac:dyDescent="0.3">
      <c r="B751" s="7">
        <v>750</v>
      </c>
      <c r="C751" s="7" t="s">
        <v>2009</v>
      </c>
      <c r="D751" s="7" t="s">
        <v>1613</v>
      </c>
      <c r="E751" s="7" t="str">
        <f t="shared" si="33"/>
        <v>Oct</v>
      </c>
      <c r="F751" s="7" t="s">
        <v>2010</v>
      </c>
      <c r="G751" s="7" t="s">
        <v>64</v>
      </c>
      <c r="H751" s="7" t="s">
        <v>19</v>
      </c>
      <c r="I751" s="7" t="s">
        <v>106</v>
      </c>
      <c r="J751" s="7" t="s">
        <v>66</v>
      </c>
      <c r="K751" s="7" t="s">
        <v>53</v>
      </c>
      <c r="L751" s="7">
        <v>799.06</v>
      </c>
      <c r="M751" s="7">
        <v>4</v>
      </c>
      <c r="N751" s="7">
        <v>0.1</v>
      </c>
      <c r="O751" s="7">
        <v>199.46</v>
      </c>
      <c r="P751" s="7" t="s">
        <v>54</v>
      </c>
      <c r="Q751" s="7" t="s">
        <v>86</v>
      </c>
      <c r="R751" s="7">
        <v>1</v>
      </c>
      <c r="S751" s="7">
        <f t="shared" si="34"/>
        <v>2024</v>
      </c>
      <c r="T751" s="7" t="str">
        <f t="shared" si="35"/>
        <v>Oct</v>
      </c>
    </row>
    <row r="752" spans="2:20" x14ac:dyDescent="0.3">
      <c r="B752" s="7">
        <v>751</v>
      </c>
      <c r="C752" s="7" t="s">
        <v>2011</v>
      </c>
      <c r="D752" s="7" t="s">
        <v>2012</v>
      </c>
      <c r="E752" s="7" t="str">
        <f t="shared" si="33"/>
        <v>Mar</v>
      </c>
      <c r="F752" s="7" t="s">
        <v>2013</v>
      </c>
      <c r="G752" s="7" t="s">
        <v>44</v>
      </c>
      <c r="H752" s="7" t="s">
        <v>19</v>
      </c>
      <c r="I752" s="7" t="s">
        <v>106</v>
      </c>
      <c r="J752" s="7" t="s">
        <v>47</v>
      </c>
      <c r="K752" s="7" t="s">
        <v>60</v>
      </c>
      <c r="L752" s="7">
        <v>397.09</v>
      </c>
      <c r="M752" s="7">
        <v>4</v>
      </c>
      <c r="N752" s="7">
        <v>0.14000000000000001</v>
      </c>
      <c r="O752" s="7">
        <v>127.78</v>
      </c>
      <c r="P752" s="7" t="s">
        <v>23</v>
      </c>
      <c r="Q752" s="7" t="s">
        <v>77</v>
      </c>
      <c r="R752" s="7">
        <v>1</v>
      </c>
      <c r="S752" s="7">
        <f t="shared" si="34"/>
        <v>2024</v>
      </c>
      <c r="T752" s="7" t="str">
        <f t="shared" si="35"/>
        <v>Mar</v>
      </c>
    </row>
    <row r="753" spans="2:20" x14ac:dyDescent="0.3">
      <c r="B753" s="7">
        <v>752</v>
      </c>
      <c r="C753" s="7" t="s">
        <v>2014</v>
      </c>
      <c r="D753" s="7" t="s">
        <v>560</v>
      </c>
      <c r="E753" s="7" t="str">
        <f t="shared" si="33"/>
        <v>Jan</v>
      </c>
      <c r="F753" s="7" t="s">
        <v>2015</v>
      </c>
      <c r="G753" s="7" t="s">
        <v>44</v>
      </c>
      <c r="H753" s="7" t="s">
        <v>65</v>
      </c>
      <c r="I753" s="7" t="s">
        <v>46</v>
      </c>
      <c r="J753" s="7" t="s">
        <v>81</v>
      </c>
      <c r="K753" s="7" t="s">
        <v>76</v>
      </c>
      <c r="L753" s="7">
        <v>1847.26</v>
      </c>
      <c r="M753" s="7">
        <v>3</v>
      </c>
      <c r="N753" s="7">
        <v>0.01</v>
      </c>
      <c r="O753" s="7">
        <v>605.53</v>
      </c>
      <c r="P753" s="7" t="s">
        <v>23</v>
      </c>
      <c r="Q753" s="7" t="s">
        <v>86</v>
      </c>
      <c r="R753" s="7">
        <v>10</v>
      </c>
      <c r="S753" s="7">
        <f t="shared" si="34"/>
        <v>2025</v>
      </c>
      <c r="T753" s="7" t="str">
        <f t="shared" si="35"/>
        <v>Jan</v>
      </c>
    </row>
    <row r="754" spans="2:20" x14ac:dyDescent="0.3">
      <c r="B754" s="7">
        <v>753</v>
      </c>
      <c r="C754" s="7" t="s">
        <v>2016</v>
      </c>
      <c r="D754" s="7" t="s">
        <v>593</v>
      </c>
      <c r="E754" s="7" t="str">
        <f t="shared" si="33"/>
        <v>Jul</v>
      </c>
      <c r="F754" s="7" t="s">
        <v>1855</v>
      </c>
      <c r="G754" s="7" t="s">
        <v>44</v>
      </c>
      <c r="H754" s="7" t="s">
        <v>37</v>
      </c>
      <c r="I754" s="7" t="s">
        <v>38</v>
      </c>
      <c r="J754" s="7" t="s">
        <v>66</v>
      </c>
      <c r="K754" s="7" t="s">
        <v>76</v>
      </c>
      <c r="L754" s="7">
        <v>2396.73</v>
      </c>
      <c r="M754" s="7">
        <v>3</v>
      </c>
      <c r="N754" s="7">
        <v>0.17</v>
      </c>
      <c r="O754" s="7">
        <v>793.75</v>
      </c>
      <c r="P754" s="7" t="s">
        <v>31</v>
      </c>
      <c r="Q754" s="7" t="s">
        <v>24</v>
      </c>
      <c r="R754" s="7">
        <v>10</v>
      </c>
      <c r="S754" s="7">
        <f t="shared" si="34"/>
        <v>2025</v>
      </c>
      <c r="T754" s="7" t="str">
        <f t="shared" si="35"/>
        <v>Jul</v>
      </c>
    </row>
    <row r="755" spans="2:20" x14ac:dyDescent="0.3">
      <c r="B755" s="7">
        <v>754</v>
      </c>
      <c r="C755" s="7" t="s">
        <v>2017</v>
      </c>
      <c r="D755" s="7" t="s">
        <v>42</v>
      </c>
      <c r="E755" s="7" t="str">
        <f t="shared" si="33"/>
        <v>Feb</v>
      </c>
      <c r="F755" s="7" t="s">
        <v>2018</v>
      </c>
      <c r="G755" s="7" t="s">
        <v>64</v>
      </c>
      <c r="H755" s="7" t="s">
        <v>71</v>
      </c>
      <c r="I755" s="7" t="s">
        <v>106</v>
      </c>
      <c r="J755" s="7" t="s">
        <v>81</v>
      </c>
      <c r="K755" s="7" t="s">
        <v>53</v>
      </c>
      <c r="L755" s="7">
        <v>94.31</v>
      </c>
      <c r="M755" s="7">
        <v>1</v>
      </c>
      <c r="N755" s="7">
        <v>0.05</v>
      </c>
      <c r="O755" s="7">
        <v>29.28</v>
      </c>
      <c r="P755" s="7" t="s">
        <v>31</v>
      </c>
      <c r="Q755" s="7" t="s">
        <v>77</v>
      </c>
      <c r="R755" s="7">
        <v>9</v>
      </c>
      <c r="S755" s="7">
        <f t="shared" si="34"/>
        <v>2024</v>
      </c>
      <c r="T755" s="7" t="str">
        <f t="shared" si="35"/>
        <v>Feb</v>
      </c>
    </row>
    <row r="756" spans="2:20" x14ac:dyDescent="0.3">
      <c r="B756" s="7">
        <v>755</v>
      </c>
      <c r="C756" s="7" t="s">
        <v>2019</v>
      </c>
      <c r="D756" s="7" t="s">
        <v>1096</v>
      </c>
      <c r="E756" s="7" t="str">
        <f t="shared" si="33"/>
        <v>Mar</v>
      </c>
      <c r="F756" s="7" t="s">
        <v>2020</v>
      </c>
      <c r="G756" s="7" t="s">
        <v>36</v>
      </c>
      <c r="H756" s="7" t="s">
        <v>37</v>
      </c>
      <c r="I756" s="7" t="s">
        <v>106</v>
      </c>
      <c r="J756" s="7" t="s">
        <v>66</v>
      </c>
      <c r="K756" s="7" t="s">
        <v>39</v>
      </c>
      <c r="L756" s="7">
        <v>336.19</v>
      </c>
      <c r="M756" s="7">
        <v>2</v>
      </c>
      <c r="N756" s="7">
        <v>0.27</v>
      </c>
      <c r="O756" s="7">
        <v>96.76</v>
      </c>
      <c r="P756" s="7" t="s">
        <v>31</v>
      </c>
      <c r="Q756" s="7" t="s">
        <v>86</v>
      </c>
      <c r="R756" s="7">
        <v>5</v>
      </c>
      <c r="S756" s="7">
        <f t="shared" si="34"/>
        <v>2025</v>
      </c>
      <c r="T756" s="7" t="str">
        <f t="shared" si="35"/>
        <v>Mar</v>
      </c>
    </row>
    <row r="757" spans="2:20" x14ac:dyDescent="0.3">
      <c r="B757" s="7">
        <v>756</v>
      </c>
      <c r="C757" s="7" t="s">
        <v>2021</v>
      </c>
      <c r="D757" s="7" t="s">
        <v>1661</v>
      </c>
      <c r="E757" s="7" t="str">
        <f t="shared" si="33"/>
        <v>Feb</v>
      </c>
      <c r="F757" s="7" t="s">
        <v>2022</v>
      </c>
      <c r="G757" s="7" t="s">
        <v>44</v>
      </c>
      <c r="H757" s="7" t="s">
        <v>51</v>
      </c>
      <c r="I757" s="7" t="s">
        <v>38</v>
      </c>
      <c r="J757" s="7" t="s">
        <v>29</v>
      </c>
      <c r="K757" s="7" t="s">
        <v>67</v>
      </c>
      <c r="L757" s="7">
        <v>679.31</v>
      </c>
      <c r="M757" s="7">
        <v>1</v>
      </c>
      <c r="N757" s="7">
        <v>0</v>
      </c>
      <c r="O757" s="7">
        <v>96.65</v>
      </c>
      <c r="P757" s="7" t="s">
        <v>31</v>
      </c>
      <c r="Q757" s="7" t="s">
        <v>32</v>
      </c>
      <c r="R757" s="7">
        <v>4</v>
      </c>
      <c r="S757" s="7">
        <f t="shared" si="34"/>
        <v>2024</v>
      </c>
      <c r="T757" s="7" t="str">
        <f t="shared" si="35"/>
        <v>Feb</v>
      </c>
    </row>
    <row r="758" spans="2:20" x14ac:dyDescent="0.3">
      <c r="B758" s="7">
        <v>757</v>
      </c>
      <c r="C758" s="7" t="s">
        <v>2023</v>
      </c>
      <c r="D758" s="7" t="s">
        <v>1640</v>
      </c>
      <c r="E758" s="7" t="str">
        <f t="shared" si="33"/>
        <v>Jun</v>
      </c>
      <c r="F758" s="7" t="s">
        <v>2024</v>
      </c>
      <c r="G758" s="7" t="s">
        <v>36</v>
      </c>
      <c r="H758" s="7" t="s">
        <v>37</v>
      </c>
      <c r="I758" s="7" t="s">
        <v>38</v>
      </c>
      <c r="J758" s="7" t="s">
        <v>47</v>
      </c>
      <c r="K758" s="7" t="s">
        <v>22</v>
      </c>
      <c r="L758" s="7">
        <v>3557.87</v>
      </c>
      <c r="M758" s="7">
        <v>5</v>
      </c>
      <c r="N758" s="7">
        <v>0.17</v>
      </c>
      <c r="O758" s="7">
        <v>478.5</v>
      </c>
      <c r="P758" s="7" t="s">
        <v>23</v>
      </c>
      <c r="Q758" s="7" t="s">
        <v>77</v>
      </c>
      <c r="R758" s="7">
        <v>10</v>
      </c>
      <c r="S758" s="7">
        <f t="shared" si="34"/>
        <v>2025</v>
      </c>
      <c r="T758" s="7" t="str">
        <f t="shared" si="35"/>
        <v>Jun</v>
      </c>
    </row>
    <row r="759" spans="2:20" x14ac:dyDescent="0.3">
      <c r="B759" s="7">
        <v>758</v>
      </c>
      <c r="C759" s="7" t="s">
        <v>2025</v>
      </c>
      <c r="D759" s="7" t="s">
        <v>284</v>
      </c>
      <c r="E759" s="7" t="str">
        <f t="shared" si="33"/>
        <v>May</v>
      </c>
      <c r="F759" s="7" t="s">
        <v>531</v>
      </c>
      <c r="G759" s="7" t="s">
        <v>64</v>
      </c>
      <c r="H759" s="7" t="s">
        <v>71</v>
      </c>
      <c r="I759" s="7" t="s">
        <v>38</v>
      </c>
      <c r="J759" s="7" t="s">
        <v>29</v>
      </c>
      <c r="K759" s="7" t="s">
        <v>22</v>
      </c>
      <c r="L759" s="7">
        <v>2676.33</v>
      </c>
      <c r="M759" s="7">
        <v>4</v>
      </c>
      <c r="N759" s="7">
        <v>0.12</v>
      </c>
      <c r="O759" s="7">
        <v>885.18</v>
      </c>
      <c r="P759" s="7" t="s">
        <v>54</v>
      </c>
      <c r="Q759" s="7" t="s">
        <v>40</v>
      </c>
      <c r="R759" s="7">
        <v>8</v>
      </c>
      <c r="S759" s="7">
        <f t="shared" si="34"/>
        <v>2024</v>
      </c>
      <c r="T759" s="7" t="str">
        <f t="shared" si="35"/>
        <v>May</v>
      </c>
    </row>
    <row r="760" spans="2:20" x14ac:dyDescent="0.3">
      <c r="B760" s="7">
        <v>759</v>
      </c>
      <c r="C760" s="7" t="s">
        <v>2026</v>
      </c>
      <c r="D760" s="7" t="s">
        <v>438</v>
      </c>
      <c r="E760" s="7" t="str">
        <f t="shared" si="33"/>
        <v>Aug</v>
      </c>
      <c r="F760" s="7" t="s">
        <v>2027</v>
      </c>
      <c r="G760" s="7" t="s">
        <v>36</v>
      </c>
      <c r="H760" s="7" t="s">
        <v>51</v>
      </c>
      <c r="I760" s="7" t="s">
        <v>116</v>
      </c>
      <c r="J760" s="7" t="s">
        <v>66</v>
      </c>
      <c r="K760" s="7" t="s">
        <v>30</v>
      </c>
      <c r="L760" s="7">
        <v>508.67</v>
      </c>
      <c r="M760" s="7">
        <v>2</v>
      </c>
      <c r="N760" s="7">
        <v>0.17</v>
      </c>
      <c r="O760" s="7">
        <v>136.87</v>
      </c>
      <c r="P760" s="7" t="s">
        <v>54</v>
      </c>
      <c r="Q760" s="7" t="s">
        <v>24</v>
      </c>
      <c r="R760" s="7">
        <v>1</v>
      </c>
      <c r="S760" s="7">
        <f t="shared" si="34"/>
        <v>2024</v>
      </c>
      <c r="T760" s="7" t="str">
        <f t="shared" si="35"/>
        <v>Aug</v>
      </c>
    </row>
    <row r="761" spans="2:20" x14ac:dyDescent="0.3">
      <c r="B761" s="7">
        <v>760</v>
      </c>
      <c r="C761" s="7" t="s">
        <v>2028</v>
      </c>
      <c r="D761" s="7" t="s">
        <v>2029</v>
      </c>
      <c r="E761" s="7" t="str">
        <f t="shared" si="33"/>
        <v>Aug</v>
      </c>
      <c r="F761" s="7" t="s">
        <v>2030</v>
      </c>
      <c r="G761" s="7" t="s">
        <v>18</v>
      </c>
      <c r="H761" s="7" t="s">
        <v>51</v>
      </c>
      <c r="I761" s="7" t="s">
        <v>106</v>
      </c>
      <c r="J761" s="7" t="s">
        <v>21</v>
      </c>
      <c r="K761" s="7" t="s">
        <v>30</v>
      </c>
      <c r="L761" s="7">
        <v>1093.02</v>
      </c>
      <c r="M761" s="7">
        <v>2</v>
      </c>
      <c r="N761" s="7">
        <v>0.3</v>
      </c>
      <c r="O761" s="7">
        <v>350.22</v>
      </c>
      <c r="P761" s="7" t="s">
        <v>23</v>
      </c>
      <c r="Q761" s="7" t="s">
        <v>77</v>
      </c>
      <c r="R761" s="7">
        <v>2</v>
      </c>
      <c r="S761" s="7">
        <f t="shared" si="34"/>
        <v>2025</v>
      </c>
      <c r="T761" s="7" t="str">
        <f t="shared" si="35"/>
        <v>Aug</v>
      </c>
    </row>
    <row r="762" spans="2:20" x14ac:dyDescent="0.3">
      <c r="B762" s="7">
        <v>761</v>
      </c>
      <c r="C762" s="7" t="s">
        <v>2031</v>
      </c>
      <c r="D762" s="7" t="s">
        <v>2032</v>
      </c>
      <c r="E762" s="7" t="str">
        <f t="shared" si="33"/>
        <v>Apr</v>
      </c>
      <c r="F762" s="7" t="s">
        <v>2033</v>
      </c>
      <c r="G762" s="7" t="s">
        <v>44</v>
      </c>
      <c r="H762" s="7" t="s">
        <v>45</v>
      </c>
      <c r="I762" s="7" t="s">
        <v>116</v>
      </c>
      <c r="J762" s="7" t="s">
        <v>66</v>
      </c>
      <c r="K762" s="7" t="s">
        <v>82</v>
      </c>
      <c r="L762" s="7">
        <v>2032.12</v>
      </c>
      <c r="M762" s="7">
        <v>4</v>
      </c>
      <c r="N762" s="7">
        <v>0.17</v>
      </c>
      <c r="O762" s="7">
        <v>650.94000000000005</v>
      </c>
      <c r="P762" s="7" t="s">
        <v>54</v>
      </c>
      <c r="Q762" s="7" t="s">
        <v>32</v>
      </c>
      <c r="R762" s="7">
        <v>3</v>
      </c>
      <c r="S762" s="7">
        <f t="shared" si="34"/>
        <v>2025</v>
      </c>
      <c r="T762" s="7" t="str">
        <f t="shared" si="35"/>
        <v>Apr</v>
      </c>
    </row>
    <row r="763" spans="2:20" x14ac:dyDescent="0.3">
      <c r="B763" s="7">
        <v>762</v>
      </c>
      <c r="C763" s="7" t="s">
        <v>2034</v>
      </c>
      <c r="D763" s="7" t="s">
        <v>2035</v>
      </c>
      <c r="E763" s="7" t="str">
        <f t="shared" si="33"/>
        <v>Jul</v>
      </c>
      <c r="F763" s="7" t="s">
        <v>2036</v>
      </c>
      <c r="G763" s="7" t="s">
        <v>36</v>
      </c>
      <c r="H763" s="7" t="s">
        <v>45</v>
      </c>
      <c r="I763" s="7" t="s">
        <v>59</v>
      </c>
      <c r="J763" s="7" t="s">
        <v>21</v>
      </c>
      <c r="K763" s="7" t="s">
        <v>76</v>
      </c>
      <c r="L763" s="7">
        <v>630.48</v>
      </c>
      <c r="M763" s="7">
        <v>5</v>
      </c>
      <c r="N763" s="7">
        <v>0.22</v>
      </c>
      <c r="O763" s="7">
        <v>148.38</v>
      </c>
      <c r="P763" s="7" t="s">
        <v>23</v>
      </c>
      <c r="Q763" s="7" t="s">
        <v>86</v>
      </c>
      <c r="R763" s="7">
        <v>3</v>
      </c>
      <c r="S763" s="7">
        <f t="shared" si="34"/>
        <v>2025</v>
      </c>
      <c r="T763" s="7" t="str">
        <f t="shared" si="35"/>
        <v>Jul</v>
      </c>
    </row>
    <row r="764" spans="2:20" x14ac:dyDescent="0.3">
      <c r="B764" s="7">
        <v>763</v>
      </c>
      <c r="C764" s="7" t="s">
        <v>2037</v>
      </c>
      <c r="D764" s="7" t="s">
        <v>2038</v>
      </c>
      <c r="E764" s="7" t="str">
        <f t="shared" si="33"/>
        <v>Mar</v>
      </c>
      <c r="F764" s="7" t="s">
        <v>2039</v>
      </c>
      <c r="G764" s="7" t="s">
        <v>102</v>
      </c>
      <c r="H764" s="7" t="s">
        <v>45</v>
      </c>
      <c r="I764" s="7" t="s">
        <v>116</v>
      </c>
      <c r="J764" s="7" t="s">
        <v>81</v>
      </c>
      <c r="K764" s="7" t="s">
        <v>76</v>
      </c>
      <c r="L764" s="7">
        <v>565.11</v>
      </c>
      <c r="M764" s="7">
        <v>1</v>
      </c>
      <c r="N764" s="7">
        <v>0.11</v>
      </c>
      <c r="O764" s="7">
        <v>106.7</v>
      </c>
      <c r="P764" s="7" t="s">
        <v>54</v>
      </c>
      <c r="Q764" s="7" t="s">
        <v>86</v>
      </c>
      <c r="R764" s="7">
        <v>6</v>
      </c>
      <c r="S764" s="7">
        <f t="shared" si="34"/>
        <v>2025</v>
      </c>
      <c r="T764" s="7" t="str">
        <f t="shared" si="35"/>
        <v>Mar</v>
      </c>
    </row>
    <row r="765" spans="2:20" x14ac:dyDescent="0.3">
      <c r="B765" s="7">
        <v>764</v>
      </c>
      <c r="C765" s="7" t="s">
        <v>2040</v>
      </c>
      <c r="D765" s="7" t="s">
        <v>2041</v>
      </c>
      <c r="E765" s="7" t="str">
        <f t="shared" si="33"/>
        <v>Jan</v>
      </c>
      <c r="F765" s="7" t="s">
        <v>2042</v>
      </c>
      <c r="G765" s="7" t="s">
        <v>36</v>
      </c>
      <c r="H765" s="7" t="s">
        <v>71</v>
      </c>
      <c r="I765" s="7" t="s">
        <v>52</v>
      </c>
      <c r="J765" s="7" t="s">
        <v>21</v>
      </c>
      <c r="K765" s="7" t="s">
        <v>67</v>
      </c>
      <c r="L765" s="7">
        <v>601.38</v>
      </c>
      <c r="M765" s="7">
        <v>1</v>
      </c>
      <c r="N765" s="7">
        <v>0.24</v>
      </c>
      <c r="O765" s="7">
        <v>179.51</v>
      </c>
      <c r="P765" s="7" t="s">
        <v>23</v>
      </c>
      <c r="Q765" s="7" t="s">
        <v>24</v>
      </c>
      <c r="R765" s="7">
        <v>9</v>
      </c>
      <c r="S765" s="7">
        <f t="shared" si="34"/>
        <v>2024</v>
      </c>
      <c r="T765" s="7" t="str">
        <f t="shared" si="35"/>
        <v>Jan</v>
      </c>
    </row>
    <row r="766" spans="2:20" x14ac:dyDescent="0.3">
      <c r="B766" s="7">
        <v>765</v>
      </c>
      <c r="C766" s="7" t="s">
        <v>2043</v>
      </c>
      <c r="D766" s="7" t="s">
        <v>1677</v>
      </c>
      <c r="E766" s="7" t="str">
        <f t="shared" si="33"/>
        <v>Apr</v>
      </c>
      <c r="F766" s="7" t="s">
        <v>2044</v>
      </c>
      <c r="G766" s="7" t="s">
        <v>36</v>
      </c>
      <c r="H766" s="7" t="s">
        <v>71</v>
      </c>
      <c r="I766" s="7" t="s">
        <v>106</v>
      </c>
      <c r="J766" s="7" t="s">
        <v>29</v>
      </c>
      <c r="K766" s="7" t="s">
        <v>72</v>
      </c>
      <c r="L766" s="7">
        <v>2662.12</v>
      </c>
      <c r="M766" s="7">
        <v>4</v>
      </c>
      <c r="N766" s="7">
        <v>0.28999999999999998</v>
      </c>
      <c r="O766" s="7">
        <v>855.05</v>
      </c>
      <c r="P766" s="7" t="s">
        <v>54</v>
      </c>
      <c r="Q766" s="7" t="s">
        <v>86</v>
      </c>
      <c r="R766" s="7">
        <v>10</v>
      </c>
      <c r="S766" s="7">
        <f t="shared" si="34"/>
        <v>2024</v>
      </c>
      <c r="T766" s="7" t="str">
        <f t="shared" si="35"/>
        <v>Apr</v>
      </c>
    </row>
    <row r="767" spans="2:20" x14ac:dyDescent="0.3">
      <c r="B767" s="7">
        <v>766</v>
      </c>
      <c r="C767" s="7" t="s">
        <v>2045</v>
      </c>
      <c r="D767" s="7" t="s">
        <v>2046</v>
      </c>
      <c r="E767" s="7" t="str">
        <f t="shared" si="33"/>
        <v>Jul</v>
      </c>
      <c r="F767" s="7" t="s">
        <v>2047</v>
      </c>
      <c r="G767" s="7" t="s">
        <v>18</v>
      </c>
      <c r="H767" s="7" t="s">
        <v>45</v>
      </c>
      <c r="I767" s="7" t="s">
        <v>20</v>
      </c>
      <c r="J767" s="7" t="s">
        <v>47</v>
      </c>
      <c r="K767" s="7" t="s">
        <v>53</v>
      </c>
      <c r="L767" s="7">
        <v>782.99</v>
      </c>
      <c r="M767" s="7">
        <v>1</v>
      </c>
      <c r="N767" s="7">
        <v>0.22</v>
      </c>
      <c r="O767" s="7">
        <v>173.99</v>
      </c>
      <c r="P767" s="7" t="s">
        <v>23</v>
      </c>
      <c r="Q767" s="7" t="s">
        <v>86</v>
      </c>
      <c r="R767" s="7">
        <v>4</v>
      </c>
      <c r="S767" s="7">
        <f t="shared" si="34"/>
        <v>2025</v>
      </c>
      <c r="T767" s="7" t="str">
        <f t="shared" si="35"/>
        <v>Jul</v>
      </c>
    </row>
    <row r="768" spans="2:20" x14ac:dyDescent="0.3">
      <c r="B768" s="7">
        <v>767</v>
      </c>
      <c r="C768" s="7" t="s">
        <v>2048</v>
      </c>
      <c r="D768" s="7" t="s">
        <v>1043</v>
      </c>
      <c r="E768" s="7" t="str">
        <f t="shared" si="33"/>
        <v>Sep</v>
      </c>
      <c r="F768" s="7" t="s">
        <v>2049</v>
      </c>
      <c r="G768" s="7" t="s">
        <v>36</v>
      </c>
      <c r="H768" s="7" t="s">
        <v>19</v>
      </c>
      <c r="I768" s="7" t="s">
        <v>59</v>
      </c>
      <c r="J768" s="7" t="s">
        <v>21</v>
      </c>
      <c r="K768" s="7" t="s">
        <v>76</v>
      </c>
      <c r="L768" s="7">
        <v>3768.77</v>
      </c>
      <c r="M768" s="7">
        <v>4</v>
      </c>
      <c r="N768" s="7">
        <v>0.24</v>
      </c>
      <c r="O768" s="7">
        <v>1019.85</v>
      </c>
      <c r="P768" s="7" t="s">
        <v>54</v>
      </c>
      <c r="Q768" s="7" t="s">
        <v>77</v>
      </c>
      <c r="R768" s="7">
        <v>6</v>
      </c>
      <c r="S768" s="7">
        <f t="shared" si="34"/>
        <v>2025</v>
      </c>
      <c r="T768" s="7" t="str">
        <f t="shared" si="35"/>
        <v>Sep</v>
      </c>
    </row>
    <row r="769" spans="2:20" x14ac:dyDescent="0.3">
      <c r="B769" s="7">
        <v>768</v>
      </c>
      <c r="C769" s="7" t="s">
        <v>2050</v>
      </c>
      <c r="D769" s="7" t="s">
        <v>376</v>
      </c>
      <c r="E769" s="7" t="str">
        <f t="shared" si="33"/>
        <v>Aug</v>
      </c>
      <c r="F769" s="7" t="s">
        <v>2051</v>
      </c>
      <c r="G769" s="7" t="s">
        <v>18</v>
      </c>
      <c r="H769" s="7" t="s">
        <v>45</v>
      </c>
      <c r="I769" s="7" t="s">
        <v>52</v>
      </c>
      <c r="J769" s="7" t="s">
        <v>47</v>
      </c>
      <c r="K769" s="7" t="s">
        <v>30</v>
      </c>
      <c r="L769" s="7">
        <v>240.55</v>
      </c>
      <c r="M769" s="7">
        <v>2</v>
      </c>
      <c r="N769" s="7">
        <v>0.06</v>
      </c>
      <c r="O769" s="7">
        <v>71.47</v>
      </c>
      <c r="P769" s="7" t="s">
        <v>23</v>
      </c>
      <c r="Q769" s="7" t="s">
        <v>40</v>
      </c>
      <c r="R769" s="7">
        <v>5</v>
      </c>
      <c r="S769" s="7">
        <f t="shared" si="34"/>
        <v>2024</v>
      </c>
      <c r="T769" s="7" t="str">
        <f t="shared" si="35"/>
        <v>Aug</v>
      </c>
    </row>
    <row r="770" spans="2:20" x14ac:dyDescent="0.3">
      <c r="B770" s="7">
        <v>769</v>
      </c>
      <c r="C770" s="7" t="s">
        <v>2052</v>
      </c>
      <c r="D770" s="7" t="s">
        <v>1961</v>
      </c>
      <c r="E770" s="7" t="str">
        <f t="shared" si="33"/>
        <v>Nov</v>
      </c>
      <c r="F770" s="7" t="s">
        <v>2053</v>
      </c>
      <c r="G770" s="7" t="s">
        <v>44</v>
      </c>
      <c r="H770" s="7" t="s">
        <v>58</v>
      </c>
      <c r="I770" s="7" t="s">
        <v>106</v>
      </c>
      <c r="J770" s="7" t="s">
        <v>21</v>
      </c>
      <c r="K770" s="7" t="s">
        <v>22</v>
      </c>
      <c r="L770" s="7">
        <v>736.82</v>
      </c>
      <c r="M770" s="7">
        <v>3</v>
      </c>
      <c r="N770" s="7">
        <v>0.01</v>
      </c>
      <c r="O770" s="7">
        <v>165.51</v>
      </c>
      <c r="P770" s="7" t="s">
        <v>54</v>
      </c>
      <c r="Q770" s="7" t="s">
        <v>77</v>
      </c>
      <c r="R770" s="7">
        <v>8</v>
      </c>
      <c r="S770" s="7">
        <f t="shared" si="34"/>
        <v>2024</v>
      </c>
      <c r="T770" s="7" t="str">
        <f t="shared" si="35"/>
        <v>Nov</v>
      </c>
    </row>
    <row r="771" spans="2:20" x14ac:dyDescent="0.3">
      <c r="B771" s="7">
        <v>770</v>
      </c>
      <c r="C771" s="7" t="s">
        <v>2054</v>
      </c>
      <c r="D771" s="7" t="s">
        <v>2055</v>
      </c>
      <c r="E771" s="7" t="str">
        <f t="shared" ref="E771:E834" si="36">TEXT(D771,"mmm")</f>
        <v>Feb</v>
      </c>
      <c r="F771" s="7" t="s">
        <v>1833</v>
      </c>
      <c r="G771" s="7" t="s">
        <v>102</v>
      </c>
      <c r="H771" s="7" t="s">
        <v>19</v>
      </c>
      <c r="I771" s="7" t="s">
        <v>52</v>
      </c>
      <c r="J771" s="7" t="s">
        <v>21</v>
      </c>
      <c r="K771" s="7" t="s">
        <v>60</v>
      </c>
      <c r="L771" s="7">
        <v>4534.62</v>
      </c>
      <c r="M771" s="7">
        <v>5</v>
      </c>
      <c r="N771" s="7">
        <v>0.02</v>
      </c>
      <c r="O771" s="7">
        <v>1014.21</v>
      </c>
      <c r="P771" s="7" t="s">
        <v>54</v>
      </c>
      <c r="Q771" s="7" t="s">
        <v>86</v>
      </c>
      <c r="R771" s="7">
        <v>4</v>
      </c>
      <c r="S771" s="7">
        <f t="shared" ref="S771:S834" si="37">YEAR(D771)</f>
        <v>2025</v>
      </c>
      <c r="T771" s="7" t="str">
        <f t="shared" ref="T771:T834" si="38">TEXT(D771,"mmm")</f>
        <v>Feb</v>
      </c>
    </row>
    <row r="772" spans="2:20" x14ac:dyDescent="0.3">
      <c r="B772" s="7">
        <v>771</v>
      </c>
      <c r="C772" s="7" t="s">
        <v>2056</v>
      </c>
      <c r="D772" s="7" t="s">
        <v>2057</v>
      </c>
      <c r="E772" s="7" t="str">
        <f t="shared" si="36"/>
        <v>Jan</v>
      </c>
      <c r="F772" s="7" t="s">
        <v>2058</v>
      </c>
      <c r="G772" s="7" t="s">
        <v>44</v>
      </c>
      <c r="H772" s="7" t="s">
        <v>71</v>
      </c>
      <c r="I772" s="7" t="s">
        <v>59</v>
      </c>
      <c r="J772" s="7" t="s">
        <v>21</v>
      </c>
      <c r="K772" s="7" t="s">
        <v>53</v>
      </c>
      <c r="L772" s="7">
        <v>215.5</v>
      </c>
      <c r="M772" s="7">
        <v>3</v>
      </c>
      <c r="N772" s="7">
        <v>0.04</v>
      </c>
      <c r="O772" s="7">
        <v>31.55</v>
      </c>
      <c r="P772" s="7" t="s">
        <v>23</v>
      </c>
      <c r="Q772" s="7" t="s">
        <v>32</v>
      </c>
      <c r="R772" s="7">
        <v>1</v>
      </c>
      <c r="S772" s="7">
        <f t="shared" si="37"/>
        <v>2024</v>
      </c>
      <c r="T772" s="7" t="str">
        <f t="shared" si="38"/>
        <v>Jan</v>
      </c>
    </row>
    <row r="773" spans="2:20" x14ac:dyDescent="0.3">
      <c r="B773" s="7">
        <v>772</v>
      </c>
      <c r="C773" s="7" t="s">
        <v>2059</v>
      </c>
      <c r="D773" s="7" t="s">
        <v>997</v>
      </c>
      <c r="E773" s="7" t="str">
        <f t="shared" si="36"/>
        <v>Feb</v>
      </c>
      <c r="F773" s="7" t="s">
        <v>1847</v>
      </c>
      <c r="G773" s="7" t="s">
        <v>64</v>
      </c>
      <c r="H773" s="7" t="s">
        <v>58</v>
      </c>
      <c r="I773" s="7" t="s">
        <v>38</v>
      </c>
      <c r="J773" s="7" t="s">
        <v>81</v>
      </c>
      <c r="K773" s="7" t="s">
        <v>39</v>
      </c>
      <c r="L773" s="7">
        <v>2939.61</v>
      </c>
      <c r="M773" s="7">
        <v>3</v>
      </c>
      <c r="N773" s="7">
        <v>0.09</v>
      </c>
      <c r="O773" s="7">
        <v>808.14</v>
      </c>
      <c r="P773" s="7" t="s">
        <v>31</v>
      </c>
      <c r="Q773" s="7" t="s">
        <v>77</v>
      </c>
      <c r="R773" s="7">
        <v>4</v>
      </c>
      <c r="S773" s="7">
        <f t="shared" si="37"/>
        <v>2024</v>
      </c>
      <c r="T773" s="7" t="str">
        <f t="shared" si="38"/>
        <v>Feb</v>
      </c>
    </row>
    <row r="774" spans="2:20" x14ac:dyDescent="0.3">
      <c r="B774" s="7">
        <v>773</v>
      </c>
      <c r="C774" s="7" t="s">
        <v>2060</v>
      </c>
      <c r="D774" s="7" t="s">
        <v>1348</v>
      </c>
      <c r="E774" s="7" t="str">
        <f t="shared" si="36"/>
        <v>Sep</v>
      </c>
      <c r="F774" s="7" t="s">
        <v>2061</v>
      </c>
      <c r="G774" s="7" t="s">
        <v>64</v>
      </c>
      <c r="H774" s="7" t="s">
        <v>45</v>
      </c>
      <c r="I774" s="7" t="s">
        <v>59</v>
      </c>
      <c r="J774" s="7" t="s">
        <v>81</v>
      </c>
      <c r="K774" s="7" t="s">
        <v>72</v>
      </c>
      <c r="L774" s="7">
        <v>3621.67</v>
      </c>
      <c r="M774" s="7">
        <v>5</v>
      </c>
      <c r="N774" s="7">
        <v>0.19</v>
      </c>
      <c r="O774" s="7">
        <v>693.64</v>
      </c>
      <c r="P774" s="7" t="s">
        <v>23</v>
      </c>
      <c r="Q774" s="7" t="s">
        <v>32</v>
      </c>
      <c r="R774" s="7">
        <v>7</v>
      </c>
      <c r="S774" s="7">
        <f t="shared" si="37"/>
        <v>2024</v>
      </c>
      <c r="T774" s="7" t="str">
        <f t="shared" si="38"/>
        <v>Sep</v>
      </c>
    </row>
    <row r="775" spans="2:20" x14ac:dyDescent="0.3">
      <c r="B775" s="7">
        <v>774</v>
      </c>
      <c r="C775" s="7" t="s">
        <v>2062</v>
      </c>
      <c r="D775" s="7" t="s">
        <v>988</v>
      </c>
      <c r="E775" s="7" t="str">
        <f t="shared" si="36"/>
        <v>Mar</v>
      </c>
      <c r="F775" s="7" t="s">
        <v>2063</v>
      </c>
      <c r="G775" s="7" t="s">
        <v>36</v>
      </c>
      <c r="H775" s="7" t="s">
        <v>19</v>
      </c>
      <c r="I775" s="7" t="s">
        <v>38</v>
      </c>
      <c r="J775" s="7" t="s">
        <v>66</v>
      </c>
      <c r="K775" s="7" t="s">
        <v>53</v>
      </c>
      <c r="L775" s="7">
        <v>1273.2</v>
      </c>
      <c r="M775" s="7">
        <v>3</v>
      </c>
      <c r="N775" s="7">
        <v>7.0000000000000007E-2</v>
      </c>
      <c r="O775" s="7">
        <v>195.68</v>
      </c>
      <c r="P775" s="7" t="s">
        <v>31</v>
      </c>
      <c r="Q775" s="7" t="s">
        <v>40</v>
      </c>
      <c r="R775" s="7">
        <v>2</v>
      </c>
      <c r="S775" s="7">
        <f t="shared" si="37"/>
        <v>2024</v>
      </c>
      <c r="T775" s="7" t="str">
        <f t="shared" si="38"/>
        <v>Mar</v>
      </c>
    </row>
    <row r="776" spans="2:20" x14ac:dyDescent="0.3">
      <c r="B776" s="7">
        <v>775</v>
      </c>
      <c r="C776" s="7" t="s">
        <v>2064</v>
      </c>
      <c r="D776" s="7" t="s">
        <v>2065</v>
      </c>
      <c r="E776" s="7" t="str">
        <f t="shared" si="36"/>
        <v>Aug</v>
      </c>
      <c r="F776" s="7" t="s">
        <v>2066</v>
      </c>
      <c r="G776" s="7" t="s">
        <v>102</v>
      </c>
      <c r="H776" s="7" t="s">
        <v>71</v>
      </c>
      <c r="I776" s="7" t="s">
        <v>106</v>
      </c>
      <c r="J776" s="7" t="s">
        <v>21</v>
      </c>
      <c r="K776" s="7" t="s">
        <v>67</v>
      </c>
      <c r="L776" s="7">
        <v>1688.37</v>
      </c>
      <c r="M776" s="7">
        <v>3</v>
      </c>
      <c r="N776" s="7">
        <v>0.15</v>
      </c>
      <c r="O776" s="7">
        <v>173.25</v>
      </c>
      <c r="P776" s="7" t="s">
        <v>23</v>
      </c>
      <c r="Q776" s="7" t="s">
        <v>24</v>
      </c>
      <c r="R776" s="7">
        <v>9</v>
      </c>
      <c r="S776" s="7">
        <f t="shared" si="37"/>
        <v>2024</v>
      </c>
      <c r="T776" s="7" t="str">
        <f t="shared" si="38"/>
        <v>Aug</v>
      </c>
    </row>
    <row r="777" spans="2:20" x14ac:dyDescent="0.3">
      <c r="B777" s="7">
        <v>776</v>
      </c>
      <c r="C777" s="7" t="s">
        <v>2067</v>
      </c>
      <c r="D777" s="7" t="s">
        <v>2068</v>
      </c>
      <c r="E777" s="7" t="str">
        <f t="shared" si="36"/>
        <v>Oct</v>
      </c>
      <c r="F777" s="7" t="s">
        <v>2069</v>
      </c>
      <c r="G777" s="7" t="s">
        <v>64</v>
      </c>
      <c r="H777" s="7" t="s">
        <v>19</v>
      </c>
      <c r="I777" s="7" t="s">
        <v>52</v>
      </c>
      <c r="J777" s="7" t="s">
        <v>66</v>
      </c>
      <c r="K777" s="7" t="s">
        <v>72</v>
      </c>
      <c r="L777" s="7">
        <v>912.38</v>
      </c>
      <c r="M777" s="7">
        <v>2</v>
      </c>
      <c r="N777" s="7">
        <v>0.05</v>
      </c>
      <c r="O777" s="7">
        <v>185.23</v>
      </c>
      <c r="P777" s="7" t="s">
        <v>54</v>
      </c>
      <c r="Q777" s="7" t="s">
        <v>77</v>
      </c>
      <c r="R777" s="7">
        <v>4</v>
      </c>
      <c r="S777" s="7">
        <f t="shared" si="37"/>
        <v>2025</v>
      </c>
      <c r="T777" s="7" t="str">
        <f t="shared" si="38"/>
        <v>Oct</v>
      </c>
    </row>
    <row r="778" spans="2:20" x14ac:dyDescent="0.3">
      <c r="B778" s="7">
        <v>777</v>
      </c>
      <c r="C778" s="7" t="s">
        <v>2070</v>
      </c>
      <c r="D778" s="7" t="s">
        <v>880</v>
      </c>
      <c r="E778" s="7" t="str">
        <f t="shared" si="36"/>
        <v>Jul</v>
      </c>
      <c r="F778" s="7" t="s">
        <v>2071</v>
      </c>
      <c r="G778" s="7" t="s">
        <v>36</v>
      </c>
      <c r="H778" s="7" t="s">
        <v>71</v>
      </c>
      <c r="I778" s="7" t="s">
        <v>28</v>
      </c>
      <c r="J778" s="7" t="s">
        <v>29</v>
      </c>
      <c r="K778" s="7" t="s">
        <v>82</v>
      </c>
      <c r="L778" s="7">
        <v>3201.72</v>
      </c>
      <c r="M778" s="7">
        <v>5</v>
      </c>
      <c r="N778" s="7">
        <v>0.26</v>
      </c>
      <c r="O778" s="7">
        <v>618.17999999999995</v>
      </c>
      <c r="P778" s="7" t="s">
        <v>31</v>
      </c>
      <c r="Q778" s="7" t="s">
        <v>40</v>
      </c>
      <c r="R778" s="7">
        <v>6</v>
      </c>
      <c r="S778" s="7">
        <f t="shared" si="37"/>
        <v>2024</v>
      </c>
      <c r="T778" s="7" t="str">
        <f t="shared" si="38"/>
        <v>Jul</v>
      </c>
    </row>
    <row r="779" spans="2:20" x14ac:dyDescent="0.3">
      <c r="B779" s="7">
        <v>778</v>
      </c>
      <c r="C779" s="7" t="s">
        <v>2072</v>
      </c>
      <c r="D779" s="7" t="s">
        <v>475</v>
      </c>
      <c r="E779" s="7" t="str">
        <f t="shared" si="36"/>
        <v>Aug</v>
      </c>
      <c r="F779" s="7" t="s">
        <v>2073</v>
      </c>
      <c r="G779" s="7" t="s">
        <v>36</v>
      </c>
      <c r="H779" s="7" t="s">
        <v>65</v>
      </c>
      <c r="I779" s="7" t="s">
        <v>59</v>
      </c>
      <c r="J779" s="7" t="s">
        <v>47</v>
      </c>
      <c r="K779" s="7" t="s">
        <v>60</v>
      </c>
      <c r="L779" s="7">
        <v>895.96</v>
      </c>
      <c r="M779" s="7">
        <v>2</v>
      </c>
      <c r="N779" s="7">
        <v>0.2</v>
      </c>
      <c r="O779" s="7">
        <v>253.3</v>
      </c>
      <c r="P779" s="7" t="s">
        <v>31</v>
      </c>
      <c r="Q779" s="7" t="s">
        <v>40</v>
      </c>
      <c r="R779" s="7">
        <v>6</v>
      </c>
      <c r="S779" s="7">
        <f t="shared" si="37"/>
        <v>2025</v>
      </c>
      <c r="T779" s="7" t="str">
        <f t="shared" si="38"/>
        <v>Aug</v>
      </c>
    </row>
    <row r="780" spans="2:20" x14ac:dyDescent="0.3">
      <c r="B780" s="7">
        <v>779</v>
      </c>
      <c r="C780" s="7" t="s">
        <v>2074</v>
      </c>
      <c r="D780" s="7" t="s">
        <v>897</v>
      </c>
      <c r="E780" s="7" t="str">
        <f t="shared" si="36"/>
        <v>May</v>
      </c>
      <c r="F780" s="7" t="s">
        <v>2075</v>
      </c>
      <c r="G780" s="7" t="s">
        <v>64</v>
      </c>
      <c r="H780" s="7" t="s">
        <v>37</v>
      </c>
      <c r="I780" s="7" t="s">
        <v>38</v>
      </c>
      <c r="J780" s="7" t="s">
        <v>81</v>
      </c>
      <c r="K780" s="7" t="s">
        <v>67</v>
      </c>
      <c r="L780" s="7">
        <v>2101.16</v>
      </c>
      <c r="M780" s="7">
        <v>5</v>
      </c>
      <c r="N780" s="7">
        <v>0.24</v>
      </c>
      <c r="O780" s="7">
        <v>520.01</v>
      </c>
      <c r="P780" s="7" t="s">
        <v>23</v>
      </c>
      <c r="Q780" s="7" t="s">
        <v>40</v>
      </c>
      <c r="R780" s="7">
        <v>1</v>
      </c>
      <c r="S780" s="7">
        <f t="shared" si="37"/>
        <v>2025</v>
      </c>
      <c r="T780" s="7" t="str">
        <f t="shared" si="38"/>
        <v>May</v>
      </c>
    </row>
    <row r="781" spans="2:20" x14ac:dyDescent="0.3">
      <c r="B781" s="7">
        <v>780</v>
      </c>
      <c r="C781" s="7" t="s">
        <v>2076</v>
      </c>
      <c r="D781" s="7" t="s">
        <v>2077</v>
      </c>
      <c r="E781" s="7" t="str">
        <f t="shared" si="36"/>
        <v>Dec</v>
      </c>
      <c r="F781" s="7" t="s">
        <v>2078</v>
      </c>
      <c r="G781" s="7" t="s">
        <v>18</v>
      </c>
      <c r="H781" s="7" t="s">
        <v>51</v>
      </c>
      <c r="I781" s="7" t="s">
        <v>106</v>
      </c>
      <c r="J781" s="7" t="s">
        <v>81</v>
      </c>
      <c r="K781" s="7" t="s">
        <v>82</v>
      </c>
      <c r="L781" s="7">
        <v>2085.86</v>
      </c>
      <c r="M781" s="7">
        <v>3</v>
      </c>
      <c r="N781" s="7">
        <v>0.13</v>
      </c>
      <c r="O781" s="7">
        <v>672.89</v>
      </c>
      <c r="P781" s="7" t="s">
        <v>23</v>
      </c>
      <c r="Q781" s="7" t="s">
        <v>86</v>
      </c>
      <c r="R781" s="7">
        <v>5</v>
      </c>
      <c r="S781" s="7">
        <f t="shared" si="37"/>
        <v>2025</v>
      </c>
      <c r="T781" s="7" t="str">
        <f t="shared" si="38"/>
        <v>Dec</v>
      </c>
    </row>
    <row r="782" spans="2:20" x14ac:dyDescent="0.3">
      <c r="B782" s="7">
        <v>781</v>
      </c>
      <c r="C782" s="7" t="s">
        <v>2079</v>
      </c>
      <c r="D782" s="7" t="s">
        <v>1703</v>
      </c>
      <c r="E782" s="7" t="str">
        <f t="shared" si="36"/>
        <v>Aug</v>
      </c>
      <c r="F782" s="7" t="s">
        <v>2080</v>
      </c>
      <c r="G782" s="7" t="s">
        <v>102</v>
      </c>
      <c r="H782" s="7" t="s">
        <v>37</v>
      </c>
      <c r="I782" s="7" t="s">
        <v>46</v>
      </c>
      <c r="J782" s="7" t="s">
        <v>66</v>
      </c>
      <c r="K782" s="7" t="s">
        <v>53</v>
      </c>
      <c r="L782" s="7">
        <v>2716.72</v>
      </c>
      <c r="M782" s="7">
        <v>4</v>
      </c>
      <c r="N782" s="7">
        <v>0.15</v>
      </c>
      <c r="O782" s="7">
        <v>754.96</v>
      </c>
      <c r="P782" s="7" t="s">
        <v>23</v>
      </c>
      <c r="Q782" s="7" t="s">
        <v>77</v>
      </c>
      <c r="R782" s="7">
        <v>8</v>
      </c>
      <c r="S782" s="7">
        <f t="shared" si="37"/>
        <v>2024</v>
      </c>
      <c r="T782" s="7" t="str">
        <f t="shared" si="38"/>
        <v>Aug</v>
      </c>
    </row>
    <row r="783" spans="2:20" x14ac:dyDescent="0.3">
      <c r="B783" s="7">
        <v>782</v>
      </c>
      <c r="C783" s="7" t="s">
        <v>2081</v>
      </c>
      <c r="D783" s="7" t="s">
        <v>602</v>
      </c>
      <c r="E783" s="7" t="str">
        <f t="shared" si="36"/>
        <v>Sep</v>
      </c>
      <c r="F783" s="7" t="s">
        <v>319</v>
      </c>
      <c r="G783" s="7" t="s">
        <v>36</v>
      </c>
      <c r="H783" s="7" t="s">
        <v>37</v>
      </c>
      <c r="I783" s="7" t="s">
        <v>46</v>
      </c>
      <c r="J783" s="7" t="s">
        <v>21</v>
      </c>
      <c r="K783" s="7" t="s">
        <v>53</v>
      </c>
      <c r="L783" s="7">
        <v>1963.89</v>
      </c>
      <c r="M783" s="7">
        <v>3</v>
      </c>
      <c r="N783" s="7">
        <v>0.21</v>
      </c>
      <c r="O783" s="7">
        <v>553.97</v>
      </c>
      <c r="P783" s="7" t="s">
        <v>31</v>
      </c>
      <c r="Q783" s="7" t="s">
        <v>32</v>
      </c>
      <c r="R783" s="7">
        <v>7</v>
      </c>
      <c r="S783" s="7">
        <f t="shared" si="37"/>
        <v>2024</v>
      </c>
      <c r="T783" s="7" t="str">
        <f t="shared" si="38"/>
        <v>Sep</v>
      </c>
    </row>
    <row r="784" spans="2:20" x14ac:dyDescent="0.3">
      <c r="B784" s="7">
        <v>783</v>
      </c>
      <c r="C784" s="7" t="s">
        <v>2082</v>
      </c>
      <c r="D784" s="7" t="s">
        <v>2083</v>
      </c>
      <c r="E784" s="7" t="str">
        <f t="shared" si="36"/>
        <v>Sep</v>
      </c>
      <c r="F784" s="7" t="s">
        <v>2084</v>
      </c>
      <c r="G784" s="7" t="s">
        <v>18</v>
      </c>
      <c r="H784" s="7" t="s">
        <v>19</v>
      </c>
      <c r="I784" s="7" t="s">
        <v>52</v>
      </c>
      <c r="J784" s="7" t="s">
        <v>47</v>
      </c>
      <c r="K784" s="7" t="s">
        <v>67</v>
      </c>
      <c r="L784" s="7">
        <v>2917.68</v>
      </c>
      <c r="M784" s="7">
        <v>3</v>
      </c>
      <c r="N784" s="7">
        <v>0.06</v>
      </c>
      <c r="O784" s="7">
        <v>697.87</v>
      </c>
      <c r="P784" s="7" t="s">
        <v>54</v>
      </c>
      <c r="Q784" s="7" t="s">
        <v>24</v>
      </c>
      <c r="R784" s="7">
        <v>6</v>
      </c>
      <c r="S784" s="7">
        <f t="shared" si="37"/>
        <v>2024</v>
      </c>
      <c r="T784" s="7" t="str">
        <f t="shared" si="38"/>
        <v>Sep</v>
      </c>
    </row>
    <row r="785" spans="2:20" x14ac:dyDescent="0.3">
      <c r="B785" s="7">
        <v>784</v>
      </c>
      <c r="C785" s="7" t="s">
        <v>2085</v>
      </c>
      <c r="D785" s="7" t="s">
        <v>2086</v>
      </c>
      <c r="E785" s="7" t="str">
        <f t="shared" si="36"/>
        <v>Jun</v>
      </c>
      <c r="F785" s="7" t="s">
        <v>2087</v>
      </c>
      <c r="G785" s="7" t="s">
        <v>36</v>
      </c>
      <c r="H785" s="7" t="s">
        <v>37</v>
      </c>
      <c r="I785" s="7" t="s">
        <v>28</v>
      </c>
      <c r="J785" s="7" t="s">
        <v>21</v>
      </c>
      <c r="K785" s="7" t="s">
        <v>72</v>
      </c>
      <c r="L785" s="7">
        <v>2642.43</v>
      </c>
      <c r="M785" s="7">
        <v>3</v>
      </c>
      <c r="N785" s="7">
        <v>0.03</v>
      </c>
      <c r="O785" s="7">
        <v>308.70999999999998</v>
      </c>
      <c r="P785" s="7" t="s">
        <v>23</v>
      </c>
      <c r="Q785" s="7" t="s">
        <v>24</v>
      </c>
      <c r="R785" s="7">
        <v>7</v>
      </c>
      <c r="S785" s="7">
        <f t="shared" si="37"/>
        <v>2024</v>
      </c>
      <c r="T785" s="7" t="str">
        <f t="shared" si="38"/>
        <v>Jun</v>
      </c>
    </row>
    <row r="786" spans="2:20" x14ac:dyDescent="0.3">
      <c r="B786" s="7">
        <v>785</v>
      </c>
      <c r="C786" s="7" t="s">
        <v>2088</v>
      </c>
      <c r="D786" s="7" t="s">
        <v>1043</v>
      </c>
      <c r="E786" s="7" t="str">
        <f t="shared" si="36"/>
        <v>Sep</v>
      </c>
      <c r="F786" s="7" t="s">
        <v>2089</v>
      </c>
      <c r="G786" s="7" t="s">
        <v>18</v>
      </c>
      <c r="H786" s="7" t="s">
        <v>71</v>
      </c>
      <c r="I786" s="7" t="s">
        <v>52</v>
      </c>
      <c r="J786" s="7" t="s">
        <v>29</v>
      </c>
      <c r="K786" s="7" t="s">
        <v>82</v>
      </c>
      <c r="L786" s="7">
        <v>2236.08</v>
      </c>
      <c r="M786" s="7">
        <v>3</v>
      </c>
      <c r="N786" s="7">
        <v>0.17</v>
      </c>
      <c r="O786" s="7">
        <v>456.53</v>
      </c>
      <c r="P786" s="7" t="s">
        <v>31</v>
      </c>
      <c r="Q786" s="7" t="s">
        <v>77</v>
      </c>
      <c r="R786" s="7">
        <v>4</v>
      </c>
      <c r="S786" s="7">
        <f t="shared" si="37"/>
        <v>2025</v>
      </c>
      <c r="T786" s="7" t="str">
        <f t="shared" si="38"/>
        <v>Sep</v>
      </c>
    </row>
    <row r="787" spans="2:20" x14ac:dyDescent="0.3">
      <c r="B787" s="7">
        <v>786</v>
      </c>
      <c r="C787" s="7" t="s">
        <v>2090</v>
      </c>
      <c r="D787" s="7" t="s">
        <v>2091</v>
      </c>
      <c r="E787" s="7" t="str">
        <f t="shared" si="36"/>
        <v>Sep</v>
      </c>
      <c r="F787" s="7" t="s">
        <v>2092</v>
      </c>
      <c r="G787" s="7" t="s">
        <v>18</v>
      </c>
      <c r="H787" s="7" t="s">
        <v>45</v>
      </c>
      <c r="I787" s="7" t="s">
        <v>38</v>
      </c>
      <c r="J787" s="7" t="s">
        <v>66</v>
      </c>
      <c r="K787" s="7" t="s">
        <v>30</v>
      </c>
      <c r="L787" s="7">
        <v>2725.71</v>
      </c>
      <c r="M787" s="7">
        <v>3</v>
      </c>
      <c r="N787" s="7">
        <v>0.27</v>
      </c>
      <c r="O787" s="7">
        <v>693.48</v>
      </c>
      <c r="P787" s="7" t="s">
        <v>23</v>
      </c>
      <c r="Q787" s="7" t="s">
        <v>77</v>
      </c>
      <c r="R787" s="7">
        <v>2</v>
      </c>
      <c r="S787" s="7">
        <f t="shared" si="37"/>
        <v>2024</v>
      </c>
      <c r="T787" s="7" t="str">
        <f t="shared" si="38"/>
        <v>Sep</v>
      </c>
    </row>
    <row r="788" spans="2:20" x14ac:dyDescent="0.3">
      <c r="B788" s="7">
        <v>787</v>
      </c>
      <c r="C788" s="7" t="s">
        <v>2093</v>
      </c>
      <c r="D788" s="7" t="s">
        <v>118</v>
      </c>
      <c r="E788" s="7" t="str">
        <f t="shared" si="36"/>
        <v>Mar</v>
      </c>
      <c r="F788" s="7" t="s">
        <v>2094</v>
      </c>
      <c r="G788" s="7" t="s">
        <v>44</v>
      </c>
      <c r="H788" s="7" t="s">
        <v>51</v>
      </c>
      <c r="I788" s="7" t="s">
        <v>52</v>
      </c>
      <c r="J788" s="7" t="s">
        <v>29</v>
      </c>
      <c r="K788" s="7" t="s">
        <v>39</v>
      </c>
      <c r="L788" s="7">
        <v>1510.05</v>
      </c>
      <c r="M788" s="7">
        <v>2</v>
      </c>
      <c r="N788" s="7">
        <v>0.02</v>
      </c>
      <c r="O788" s="7">
        <v>226.19</v>
      </c>
      <c r="P788" s="7" t="s">
        <v>54</v>
      </c>
      <c r="Q788" s="7" t="s">
        <v>77</v>
      </c>
      <c r="R788" s="7">
        <v>2</v>
      </c>
      <c r="S788" s="7">
        <f t="shared" si="37"/>
        <v>2024</v>
      </c>
      <c r="T788" s="7" t="str">
        <f t="shared" si="38"/>
        <v>Mar</v>
      </c>
    </row>
    <row r="789" spans="2:20" x14ac:dyDescent="0.3">
      <c r="B789" s="7">
        <v>788</v>
      </c>
      <c r="C789" s="7" t="s">
        <v>2095</v>
      </c>
      <c r="D789" s="7" t="s">
        <v>2096</v>
      </c>
      <c r="E789" s="7" t="str">
        <f t="shared" si="36"/>
        <v>Jul</v>
      </c>
      <c r="F789" s="7" t="s">
        <v>2097</v>
      </c>
      <c r="G789" s="7" t="s">
        <v>102</v>
      </c>
      <c r="H789" s="7" t="s">
        <v>58</v>
      </c>
      <c r="I789" s="7" t="s">
        <v>28</v>
      </c>
      <c r="J789" s="7" t="s">
        <v>29</v>
      </c>
      <c r="K789" s="7" t="s">
        <v>72</v>
      </c>
      <c r="L789" s="7">
        <v>539.86</v>
      </c>
      <c r="M789" s="7">
        <v>3</v>
      </c>
      <c r="N789" s="7">
        <v>0.2</v>
      </c>
      <c r="O789" s="7">
        <v>111</v>
      </c>
      <c r="P789" s="7" t="s">
        <v>54</v>
      </c>
      <c r="Q789" s="7" t="s">
        <v>77</v>
      </c>
      <c r="R789" s="7">
        <v>7</v>
      </c>
      <c r="S789" s="7">
        <f t="shared" si="37"/>
        <v>2024</v>
      </c>
      <c r="T789" s="7" t="str">
        <f t="shared" si="38"/>
        <v>Jul</v>
      </c>
    </row>
    <row r="790" spans="2:20" x14ac:dyDescent="0.3">
      <c r="B790" s="7">
        <v>789</v>
      </c>
      <c r="C790" s="7" t="s">
        <v>2098</v>
      </c>
      <c r="D790" s="7" t="s">
        <v>212</v>
      </c>
      <c r="E790" s="7" t="str">
        <f t="shared" si="36"/>
        <v>Dec</v>
      </c>
      <c r="F790" s="7" t="s">
        <v>2099</v>
      </c>
      <c r="G790" s="7" t="s">
        <v>44</v>
      </c>
      <c r="H790" s="7" t="s">
        <v>19</v>
      </c>
      <c r="I790" s="7" t="s">
        <v>20</v>
      </c>
      <c r="J790" s="7" t="s">
        <v>81</v>
      </c>
      <c r="K790" s="7" t="s">
        <v>76</v>
      </c>
      <c r="L790" s="7">
        <v>1280</v>
      </c>
      <c r="M790" s="7">
        <v>5</v>
      </c>
      <c r="N790" s="7">
        <v>0.1</v>
      </c>
      <c r="O790" s="7">
        <v>235.65</v>
      </c>
      <c r="P790" s="7" t="s">
        <v>54</v>
      </c>
      <c r="Q790" s="7" t="s">
        <v>77</v>
      </c>
      <c r="R790" s="7">
        <v>3</v>
      </c>
      <c r="S790" s="7">
        <f t="shared" si="37"/>
        <v>2024</v>
      </c>
      <c r="T790" s="7" t="str">
        <f t="shared" si="38"/>
        <v>Dec</v>
      </c>
    </row>
    <row r="791" spans="2:20" x14ac:dyDescent="0.3">
      <c r="B791" s="7">
        <v>790</v>
      </c>
      <c r="C791" s="7" t="s">
        <v>2100</v>
      </c>
      <c r="D791" s="7" t="s">
        <v>2101</v>
      </c>
      <c r="E791" s="7" t="str">
        <f t="shared" si="36"/>
        <v>Oct</v>
      </c>
      <c r="F791" s="7" t="s">
        <v>2102</v>
      </c>
      <c r="G791" s="7" t="s">
        <v>64</v>
      </c>
      <c r="H791" s="7" t="s">
        <v>71</v>
      </c>
      <c r="I791" s="7" t="s">
        <v>59</v>
      </c>
      <c r="J791" s="7" t="s">
        <v>29</v>
      </c>
      <c r="K791" s="7" t="s">
        <v>53</v>
      </c>
      <c r="L791" s="7">
        <v>3786.65</v>
      </c>
      <c r="M791" s="7">
        <v>4</v>
      </c>
      <c r="N791" s="7">
        <v>0.21</v>
      </c>
      <c r="O791" s="7">
        <v>1231.3399999999999</v>
      </c>
      <c r="P791" s="7" t="s">
        <v>31</v>
      </c>
      <c r="Q791" s="7" t="s">
        <v>77</v>
      </c>
      <c r="R791" s="7">
        <v>7</v>
      </c>
      <c r="S791" s="7">
        <f t="shared" si="37"/>
        <v>2025</v>
      </c>
      <c r="T791" s="7" t="str">
        <f t="shared" si="38"/>
        <v>Oct</v>
      </c>
    </row>
    <row r="792" spans="2:20" x14ac:dyDescent="0.3">
      <c r="B792" s="7">
        <v>791</v>
      </c>
      <c r="C792" s="7" t="s">
        <v>2103</v>
      </c>
      <c r="D792" s="7" t="s">
        <v>697</v>
      </c>
      <c r="E792" s="7" t="str">
        <f t="shared" si="36"/>
        <v>May</v>
      </c>
      <c r="F792" s="7" t="s">
        <v>2104</v>
      </c>
      <c r="G792" s="7" t="s">
        <v>18</v>
      </c>
      <c r="H792" s="7" t="s">
        <v>65</v>
      </c>
      <c r="I792" s="7" t="s">
        <v>20</v>
      </c>
      <c r="J792" s="7" t="s">
        <v>47</v>
      </c>
      <c r="K792" s="7" t="s">
        <v>76</v>
      </c>
      <c r="L792" s="7">
        <v>1323.97</v>
      </c>
      <c r="M792" s="7">
        <v>5</v>
      </c>
      <c r="N792" s="7">
        <v>0.28000000000000003</v>
      </c>
      <c r="O792" s="7">
        <v>145.01</v>
      </c>
      <c r="P792" s="7" t="s">
        <v>54</v>
      </c>
      <c r="Q792" s="7" t="s">
        <v>32</v>
      </c>
      <c r="R792" s="7">
        <v>4</v>
      </c>
      <c r="S792" s="7">
        <f t="shared" si="37"/>
        <v>2025</v>
      </c>
      <c r="T792" s="7" t="str">
        <f t="shared" si="38"/>
        <v>May</v>
      </c>
    </row>
    <row r="793" spans="2:20" x14ac:dyDescent="0.3">
      <c r="B793" s="7">
        <v>792</v>
      </c>
      <c r="C793" s="7" t="s">
        <v>2105</v>
      </c>
      <c r="D793" s="7" t="s">
        <v>937</v>
      </c>
      <c r="E793" s="7" t="str">
        <f t="shared" si="36"/>
        <v>Dec</v>
      </c>
      <c r="F793" s="7" t="s">
        <v>1655</v>
      </c>
      <c r="G793" s="7" t="s">
        <v>44</v>
      </c>
      <c r="H793" s="7" t="s">
        <v>19</v>
      </c>
      <c r="I793" s="7" t="s">
        <v>38</v>
      </c>
      <c r="J793" s="7" t="s">
        <v>21</v>
      </c>
      <c r="K793" s="7" t="s">
        <v>22</v>
      </c>
      <c r="L793" s="7">
        <v>1856.2</v>
      </c>
      <c r="M793" s="7">
        <v>2</v>
      </c>
      <c r="N793" s="7">
        <v>0.1</v>
      </c>
      <c r="O793" s="7">
        <v>246.82</v>
      </c>
      <c r="P793" s="7" t="s">
        <v>31</v>
      </c>
      <c r="Q793" s="7" t="s">
        <v>24</v>
      </c>
      <c r="R793" s="7">
        <v>4</v>
      </c>
      <c r="S793" s="7">
        <f t="shared" si="37"/>
        <v>2024</v>
      </c>
      <c r="T793" s="7" t="str">
        <f t="shared" si="38"/>
        <v>Dec</v>
      </c>
    </row>
    <row r="794" spans="2:20" x14ac:dyDescent="0.3">
      <c r="B794" s="7">
        <v>793</v>
      </c>
      <c r="C794" s="7" t="s">
        <v>2106</v>
      </c>
      <c r="D794" s="7" t="s">
        <v>2107</v>
      </c>
      <c r="E794" s="7" t="str">
        <f t="shared" si="36"/>
        <v>Sep</v>
      </c>
      <c r="F794" s="7" t="s">
        <v>2108</v>
      </c>
      <c r="G794" s="7" t="s">
        <v>64</v>
      </c>
      <c r="H794" s="7" t="s">
        <v>71</v>
      </c>
      <c r="I794" s="7" t="s">
        <v>28</v>
      </c>
      <c r="J794" s="7" t="s">
        <v>47</v>
      </c>
      <c r="K794" s="7" t="s">
        <v>53</v>
      </c>
      <c r="L794" s="7">
        <v>1492.38</v>
      </c>
      <c r="M794" s="7">
        <v>2</v>
      </c>
      <c r="N794" s="7">
        <v>0.21</v>
      </c>
      <c r="O794" s="7">
        <v>470.87</v>
      </c>
      <c r="P794" s="7" t="s">
        <v>54</v>
      </c>
      <c r="Q794" s="7" t="s">
        <v>77</v>
      </c>
      <c r="R794" s="7">
        <v>2</v>
      </c>
      <c r="S794" s="7">
        <f t="shared" si="37"/>
        <v>2025</v>
      </c>
      <c r="T794" s="7" t="str">
        <f t="shared" si="38"/>
        <v>Sep</v>
      </c>
    </row>
    <row r="795" spans="2:20" x14ac:dyDescent="0.3">
      <c r="B795" s="7">
        <v>794</v>
      </c>
      <c r="C795" s="7" t="s">
        <v>2109</v>
      </c>
      <c r="D795" s="7" t="s">
        <v>2110</v>
      </c>
      <c r="E795" s="7" t="str">
        <f t="shared" si="36"/>
        <v>Feb</v>
      </c>
      <c r="F795" s="7" t="s">
        <v>2111</v>
      </c>
      <c r="G795" s="7" t="s">
        <v>64</v>
      </c>
      <c r="H795" s="7" t="s">
        <v>58</v>
      </c>
      <c r="I795" s="7" t="s">
        <v>59</v>
      </c>
      <c r="J795" s="7" t="s">
        <v>66</v>
      </c>
      <c r="K795" s="7" t="s">
        <v>30</v>
      </c>
      <c r="L795" s="7">
        <v>4283.37</v>
      </c>
      <c r="M795" s="7">
        <v>5</v>
      </c>
      <c r="N795" s="7">
        <v>0.27</v>
      </c>
      <c r="O795" s="7">
        <v>610.15</v>
      </c>
      <c r="P795" s="7" t="s">
        <v>54</v>
      </c>
      <c r="Q795" s="7" t="s">
        <v>77</v>
      </c>
      <c r="R795" s="7">
        <v>4</v>
      </c>
      <c r="S795" s="7">
        <f t="shared" si="37"/>
        <v>2024</v>
      </c>
      <c r="T795" s="7" t="str">
        <f t="shared" si="38"/>
        <v>Feb</v>
      </c>
    </row>
    <row r="796" spans="2:20" x14ac:dyDescent="0.3">
      <c r="B796" s="7">
        <v>795</v>
      </c>
      <c r="C796" s="7" t="s">
        <v>2112</v>
      </c>
      <c r="D796" s="7" t="s">
        <v>1351</v>
      </c>
      <c r="E796" s="7" t="str">
        <f t="shared" si="36"/>
        <v>Dec</v>
      </c>
      <c r="F796" s="7" t="s">
        <v>635</v>
      </c>
      <c r="G796" s="7" t="s">
        <v>64</v>
      </c>
      <c r="H796" s="7" t="s">
        <v>71</v>
      </c>
      <c r="I796" s="7" t="s">
        <v>59</v>
      </c>
      <c r="J796" s="7" t="s">
        <v>21</v>
      </c>
      <c r="K796" s="7" t="s">
        <v>53</v>
      </c>
      <c r="L796" s="7">
        <v>3776.58</v>
      </c>
      <c r="M796" s="7">
        <v>4</v>
      </c>
      <c r="N796" s="7">
        <v>0.14000000000000001</v>
      </c>
      <c r="O796" s="7">
        <v>886.29</v>
      </c>
      <c r="P796" s="7" t="s">
        <v>54</v>
      </c>
      <c r="Q796" s="7" t="s">
        <v>77</v>
      </c>
      <c r="R796" s="7">
        <v>3</v>
      </c>
      <c r="S796" s="7">
        <f t="shared" si="37"/>
        <v>2024</v>
      </c>
      <c r="T796" s="7" t="str">
        <f t="shared" si="38"/>
        <v>Dec</v>
      </c>
    </row>
    <row r="797" spans="2:20" x14ac:dyDescent="0.3">
      <c r="B797" s="7">
        <v>796</v>
      </c>
      <c r="C797" s="7" t="s">
        <v>2113</v>
      </c>
      <c r="D797" s="7" t="s">
        <v>2114</v>
      </c>
      <c r="E797" s="7" t="str">
        <f t="shared" si="36"/>
        <v>Apr</v>
      </c>
      <c r="F797" s="7" t="s">
        <v>2115</v>
      </c>
      <c r="G797" s="7" t="s">
        <v>18</v>
      </c>
      <c r="H797" s="7" t="s">
        <v>45</v>
      </c>
      <c r="I797" s="7" t="s">
        <v>59</v>
      </c>
      <c r="J797" s="7" t="s">
        <v>29</v>
      </c>
      <c r="K797" s="7" t="s">
        <v>72</v>
      </c>
      <c r="L797" s="7">
        <v>2807.2</v>
      </c>
      <c r="M797" s="7">
        <v>3</v>
      </c>
      <c r="N797" s="7">
        <v>0.14000000000000001</v>
      </c>
      <c r="O797" s="7">
        <v>729.26</v>
      </c>
      <c r="P797" s="7" t="s">
        <v>54</v>
      </c>
      <c r="Q797" s="7" t="s">
        <v>40</v>
      </c>
      <c r="R797" s="7">
        <v>8</v>
      </c>
      <c r="S797" s="7">
        <f t="shared" si="37"/>
        <v>2025</v>
      </c>
      <c r="T797" s="7" t="str">
        <f t="shared" si="38"/>
        <v>Apr</v>
      </c>
    </row>
    <row r="798" spans="2:20" x14ac:dyDescent="0.3">
      <c r="B798" s="7">
        <v>797</v>
      </c>
      <c r="C798" s="7" t="s">
        <v>2116</v>
      </c>
      <c r="D798" s="7" t="s">
        <v>2117</v>
      </c>
      <c r="E798" s="7" t="str">
        <f t="shared" si="36"/>
        <v>Oct</v>
      </c>
      <c r="F798" s="7" t="s">
        <v>2118</v>
      </c>
      <c r="G798" s="7" t="s">
        <v>18</v>
      </c>
      <c r="H798" s="7" t="s">
        <v>19</v>
      </c>
      <c r="I798" s="7" t="s">
        <v>106</v>
      </c>
      <c r="J798" s="7" t="s">
        <v>47</v>
      </c>
      <c r="K798" s="7" t="s">
        <v>76</v>
      </c>
      <c r="L798" s="7">
        <v>527.09</v>
      </c>
      <c r="M798" s="7">
        <v>4</v>
      </c>
      <c r="N798" s="7">
        <v>0.16</v>
      </c>
      <c r="O798" s="7">
        <v>131.19999999999999</v>
      </c>
      <c r="P798" s="7" t="s">
        <v>31</v>
      </c>
      <c r="Q798" s="7" t="s">
        <v>77</v>
      </c>
      <c r="R798" s="7">
        <v>8</v>
      </c>
      <c r="S798" s="7">
        <f t="shared" si="37"/>
        <v>2025</v>
      </c>
      <c r="T798" s="7" t="str">
        <f t="shared" si="38"/>
        <v>Oct</v>
      </c>
    </row>
    <row r="799" spans="2:20" x14ac:dyDescent="0.3">
      <c r="B799" s="7">
        <v>798</v>
      </c>
      <c r="C799" s="7" t="s">
        <v>2119</v>
      </c>
      <c r="D799" s="7" t="s">
        <v>212</v>
      </c>
      <c r="E799" s="7" t="str">
        <f t="shared" si="36"/>
        <v>Dec</v>
      </c>
      <c r="F799" s="7" t="s">
        <v>2120</v>
      </c>
      <c r="G799" s="7" t="s">
        <v>64</v>
      </c>
      <c r="H799" s="7" t="s">
        <v>19</v>
      </c>
      <c r="I799" s="7" t="s">
        <v>38</v>
      </c>
      <c r="J799" s="7" t="s">
        <v>81</v>
      </c>
      <c r="K799" s="7" t="s">
        <v>53</v>
      </c>
      <c r="L799" s="7">
        <v>2323.5500000000002</v>
      </c>
      <c r="M799" s="7">
        <v>3</v>
      </c>
      <c r="N799" s="7">
        <v>0.19</v>
      </c>
      <c r="O799" s="7">
        <v>480.23</v>
      </c>
      <c r="P799" s="7" t="s">
        <v>23</v>
      </c>
      <c r="Q799" s="7" t="s">
        <v>77</v>
      </c>
      <c r="R799" s="7">
        <v>3</v>
      </c>
      <c r="S799" s="7">
        <f t="shared" si="37"/>
        <v>2024</v>
      </c>
      <c r="T799" s="7" t="str">
        <f t="shared" si="38"/>
        <v>Dec</v>
      </c>
    </row>
    <row r="800" spans="2:20" x14ac:dyDescent="0.3">
      <c r="B800" s="7">
        <v>799</v>
      </c>
      <c r="C800" s="7" t="s">
        <v>2121</v>
      </c>
      <c r="D800" s="7" t="s">
        <v>2122</v>
      </c>
      <c r="E800" s="7" t="str">
        <f t="shared" si="36"/>
        <v>Jun</v>
      </c>
      <c r="F800" s="7" t="s">
        <v>2123</v>
      </c>
      <c r="G800" s="7" t="s">
        <v>18</v>
      </c>
      <c r="H800" s="7" t="s">
        <v>58</v>
      </c>
      <c r="I800" s="7" t="s">
        <v>116</v>
      </c>
      <c r="J800" s="7" t="s">
        <v>81</v>
      </c>
      <c r="K800" s="7" t="s">
        <v>39</v>
      </c>
      <c r="L800" s="7">
        <v>740.79</v>
      </c>
      <c r="M800" s="7">
        <v>1</v>
      </c>
      <c r="N800" s="7">
        <v>0.28999999999999998</v>
      </c>
      <c r="O800" s="7">
        <v>145.91</v>
      </c>
      <c r="P800" s="7" t="s">
        <v>31</v>
      </c>
      <c r="Q800" s="7" t="s">
        <v>86</v>
      </c>
      <c r="R800" s="7">
        <v>5</v>
      </c>
      <c r="S800" s="7">
        <f t="shared" si="37"/>
        <v>2025</v>
      </c>
      <c r="T800" s="7" t="str">
        <f t="shared" si="38"/>
        <v>Jun</v>
      </c>
    </row>
    <row r="801" spans="2:20" x14ac:dyDescent="0.3">
      <c r="B801" s="7">
        <v>800</v>
      </c>
      <c r="C801" s="7" t="s">
        <v>2124</v>
      </c>
      <c r="D801" s="7" t="s">
        <v>833</v>
      </c>
      <c r="E801" s="7" t="str">
        <f t="shared" si="36"/>
        <v>Jun</v>
      </c>
      <c r="F801" s="7" t="s">
        <v>2125</v>
      </c>
      <c r="G801" s="7" t="s">
        <v>102</v>
      </c>
      <c r="H801" s="7" t="s">
        <v>65</v>
      </c>
      <c r="I801" s="7" t="s">
        <v>52</v>
      </c>
      <c r="J801" s="7" t="s">
        <v>29</v>
      </c>
      <c r="K801" s="7" t="s">
        <v>76</v>
      </c>
      <c r="L801" s="7">
        <v>918.72</v>
      </c>
      <c r="M801" s="7">
        <v>1</v>
      </c>
      <c r="N801" s="7">
        <v>0.04</v>
      </c>
      <c r="O801" s="7">
        <v>241.08</v>
      </c>
      <c r="P801" s="7" t="s">
        <v>23</v>
      </c>
      <c r="Q801" s="7" t="s">
        <v>24</v>
      </c>
      <c r="R801" s="7">
        <v>9</v>
      </c>
      <c r="S801" s="7">
        <f t="shared" si="37"/>
        <v>2025</v>
      </c>
      <c r="T801" s="7" t="str">
        <f t="shared" si="38"/>
        <v>Jun</v>
      </c>
    </row>
    <row r="802" spans="2:20" x14ac:dyDescent="0.3">
      <c r="B802" s="7">
        <v>801</v>
      </c>
      <c r="C802" s="7" t="s">
        <v>2126</v>
      </c>
      <c r="D802" s="7" t="s">
        <v>841</v>
      </c>
      <c r="E802" s="7" t="str">
        <f t="shared" si="36"/>
        <v>Apr</v>
      </c>
      <c r="F802" s="7" t="s">
        <v>2127</v>
      </c>
      <c r="G802" s="7" t="s">
        <v>36</v>
      </c>
      <c r="H802" s="7" t="s">
        <v>71</v>
      </c>
      <c r="I802" s="7" t="s">
        <v>38</v>
      </c>
      <c r="J802" s="7" t="s">
        <v>21</v>
      </c>
      <c r="K802" s="7" t="s">
        <v>82</v>
      </c>
      <c r="L802" s="7">
        <v>3055.4</v>
      </c>
      <c r="M802" s="7">
        <v>4</v>
      </c>
      <c r="N802" s="7">
        <v>0.1</v>
      </c>
      <c r="O802" s="7">
        <v>723.4</v>
      </c>
      <c r="P802" s="7" t="s">
        <v>54</v>
      </c>
      <c r="Q802" s="7" t="s">
        <v>40</v>
      </c>
      <c r="R802" s="7">
        <v>2</v>
      </c>
      <c r="S802" s="7">
        <f t="shared" si="37"/>
        <v>2024</v>
      </c>
      <c r="T802" s="7" t="str">
        <f t="shared" si="38"/>
        <v>Apr</v>
      </c>
    </row>
    <row r="803" spans="2:20" x14ac:dyDescent="0.3">
      <c r="B803" s="7">
        <v>802</v>
      </c>
      <c r="C803" s="7" t="s">
        <v>2128</v>
      </c>
      <c r="D803" s="7" t="s">
        <v>960</v>
      </c>
      <c r="E803" s="7" t="str">
        <f t="shared" si="36"/>
        <v>Jan</v>
      </c>
      <c r="F803" s="7" t="s">
        <v>2129</v>
      </c>
      <c r="G803" s="7" t="s">
        <v>18</v>
      </c>
      <c r="H803" s="7" t="s">
        <v>58</v>
      </c>
      <c r="I803" s="7" t="s">
        <v>106</v>
      </c>
      <c r="J803" s="7" t="s">
        <v>21</v>
      </c>
      <c r="K803" s="7" t="s">
        <v>22</v>
      </c>
      <c r="L803" s="7">
        <v>1929.38</v>
      </c>
      <c r="M803" s="7">
        <v>3</v>
      </c>
      <c r="N803" s="7">
        <v>0.19</v>
      </c>
      <c r="O803" s="7">
        <v>455.22</v>
      </c>
      <c r="P803" s="7" t="s">
        <v>31</v>
      </c>
      <c r="Q803" s="7" t="s">
        <v>77</v>
      </c>
      <c r="R803" s="7">
        <v>1</v>
      </c>
      <c r="S803" s="7">
        <f t="shared" si="37"/>
        <v>2025</v>
      </c>
      <c r="T803" s="7" t="str">
        <f t="shared" si="38"/>
        <v>Jan</v>
      </c>
    </row>
    <row r="804" spans="2:20" x14ac:dyDescent="0.3">
      <c r="B804" s="7">
        <v>803</v>
      </c>
      <c r="C804" s="7" t="s">
        <v>2130</v>
      </c>
      <c r="D804" s="7" t="s">
        <v>2131</v>
      </c>
      <c r="E804" s="7" t="str">
        <f t="shared" si="36"/>
        <v>Apr</v>
      </c>
      <c r="F804" s="7" t="s">
        <v>2132</v>
      </c>
      <c r="G804" s="7" t="s">
        <v>44</v>
      </c>
      <c r="H804" s="7" t="s">
        <v>19</v>
      </c>
      <c r="I804" s="7" t="s">
        <v>28</v>
      </c>
      <c r="J804" s="7" t="s">
        <v>81</v>
      </c>
      <c r="K804" s="7" t="s">
        <v>22</v>
      </c>
      <c r="L804" s="7">
        <v>651.12</v>
      </c>
      <c r="M804" s="7">
        <v>1</v>
      </c>
      <c r="N804" s="7">
        <v>0.14000000000000001</v>
      </c>
      <c r="O804" s="7">
        <v>214.74</v>
      </c>
      <c r="P804" s="7" t="s">
        <v>23</v>
      </c>
      <c r="Q804" s="7" t="s">
        <v>24</v>
      </c>
      <c r="R804" s="7">
        <v>8</v>
      </c>
      <c r="S804" s="7">
        <f t="shared" si="37"/>
        <v>2024</v>
      </c>
      <c r="T804" s="7" t="str">
        <f t="shared" si="38"/>
        <v>Apr</v>
      </c>
    </row>
    <row r="805" spans="2:20" x14ac:dyDescent="0.3">
      <c r="B805" s="7">
        <v>804</v>
      </c>
      <c r="C805" s="7" t="s">
        <v>2133</v>
      </c>
      <c r="D805" s="7" t="s">
        <v>2134</v>
      </c>
      <c r="E805" s="7" t="str">
        <f t="shared" si="36"/>
        <v>Nov</v>
      </c>
      <c r="F805" s="7" t="s">
        <v>2135</v>
      </c>
      <c r="G805" s="7" t="s">
        <v>64</v>
      </c>
      <c r="H805" s="7" t="s">
        <v>65</v>
      </c>
      <c r="I805" s="7" t="s">
        <v>52</v>
      </c>
      <c r="J805" s="7" t="s">
        <v>66</v>
      </c>
      <c r="K805" s="7" t="s">
        <v>67</v>
      </c>
      <c r="L805" s="7">
        <v>369.35</v>
      </c>
      <c r="M805" s="7">
        <v>1</v>
      </c>
      <c r="N805" s="7">
        <v>7.0000000000000007E-2</v>
      </c>
      <c r="O805" s="7">
        <v>109.23</v>
      </c>
      <c r="P805" s="7" t="s">
        <v>23</v>
      </c>
      <c r="Q805" s="7" t="s">
        <v>32</v>
      </c>
      <c r="R805" s="7">
        <v>6</v>
      </c>
      <c r="S805" s="7">
        <f t="shared" si="37"/>
        <v>2025</v>
      </c>
      <c r="T805" s="7" t="str">
        <f t="shared" si="38"/>
        <v>Nov</v>
      </c>
    </row>
    <row r="806" spans="2:20" x14ac:dyDescent="0.3">
      <c r="B806" s="7">
        <v>805</v>
      </c>
      <c r="C806" s="7" t="s">
        <v>2136</v>
      </c>
      <c r="D806" s="7" t="s">
        <v>1233</v>
      </c>
      <c r="E806" s="7" t="str">
        <f t="shared" si="36"/>
        <v>Oct</v>
      </c>
      <c r="F806" s="7" t="s">
        <v>2137</v>
      </c>
      <c r="G806" s="7" t="s">
        <v>18</v>
      </c>
      <c r="H806" s="7" t="s">
        <v>19</v>
      </c>
      <c r="I806" s="7" t="s">
        <v>106</v>
      </c>
      <c r="J806" s="7" t="s">
        <v>47</v>
      </c>
      <c r="K806" s="7" t="s">
        <v>82</v>
      </c>
      <c r="L806" s="7">
        <v>911.33</v>
      </c>
      <c r="M806" s="7">
        <v>2</v>
      </c>
      <c r="N806" s="7">
        <v>0.26</v>
      </c>
      <c r="O806" s="7">
        <v>252.92</v>
      </c>
      <c r="P806" s="7" t="s">
        <v>23</v>
      </c>
      <c r="Q806" s="7" t="s">
        <v>40</v>
      </c>
      <c r="R806" s="7">
        <v>6</v>
      </c>
      <c r="S806" s="7">
        <f t="shared" si="37"/>
        <v>2025</v>
      </c>
      <c r="T806" s="7" t="str">
        <f t="shared" si="38"/>
        <v>Oct</v>
      </c>
    </row>
    <row r="807" spans="2:20" x14ac:dyDescent="0.3">
      <c r="B807" s="7">
        <v>806</v>
      </c>
      <c r="C807" s="7" t="s">
        <v>2138</v>
      </c>
      <c r="D807" s="7" t="s">
        <v>1210</v>
      </c>
      <c r="E807" s="7" t="str">
        <f t="shared" si="36"/>
        <v>Jul</v>
      </c>
      <c r="F807" s="7" t="s">
        <v>2139</v>
      </c>
      <c r="G807" s="7" t="s">
        <v>36</v>
      </c>
      <c r="H807" s="7" t="s">
        <v>37</v>
      </c>
      <c r="I807" s="7" t="s">
        <v>38</v>
      </c>
      <c r="J807" s="7" t="s">
        <v>81</v>
      </c>
      <c r="K807" s="7" t="s">
        <v>39</v>
      </c>
      <c r="L807" s="7">
        <v>1571.09</v>
      </c>
      <c r="M807" s="7">
        <v>3</v>
      </c>
      <c r="N807" s="7">
        <v>0.04</v>
      </c>
      <c r="O807" s="7">
        <v>417.28</v>
      </c>
      <c r="P807" s="7" t="s">
        <v>31</v>
      </c>
      <c r="Q807" s="7" t="s">
        <v>24</v>
      </c>
      <c r="R807" s="7">
        <v>2</v>
      </c>
      <c r="S807" s="7">
        <f t="shared" si="37"/>
        <v>2025</v>
      </c>
      <c r="T807" s="7" t="str">
        <f t="shared" si="38"/>
        <v>Jul</v>
      </c>
    </row>
    <row r="808" spans="2:20" x14ac:dyDescent="0.3">
      <c r="B808" s="7">
        <v>807</v>
      </c>
      <c r="C808" s="7" t="s">
        <v>2140</v>
      </c>
      <c r="D808" s="7" t="s">
        <v>1249</v>
      </c>
      <c r="E808" s="7" t="str">
        <f t="shared" si="36"/>
        <v>May</v>
      </c>
      <c r="F808" s="7" t="s">
        <v>2141</v>
      </c>
      <c r="G808" s="7" t="s">
        <v>44</v>
      </c>
      <c r="H808" s="7" t="s">
        <v>71</v>
      </c>
      <c r="I808" s="7" t="s">
        <v>20</v>
      </c>
      <c r="J808" s="7" t="s">
        <v>29</v>
      </c>
      <c r="K808" s="7" t="s">
        <v>22</v>
      </c>
      <c r="L808" s="7">
        <v>2568.34</v>
      </c>
      <c r="M808" s="7">
        <v>3</v>
      </c>
      <c r="N808" s="7">
        <v>0.16</v>
      </c>
      <c r="O808" s="7">
        <v>482.46</v>
      </c>
      <c r="P808" s="7" t="s">
        <v>23</v>
      </c>
      <c r="Q808" s="7" t="s">
        <v>24</v>
      </c>
      <c r="R808" s="7">
        <v>2</v>
      </c>
      <c r="S808" s="7">
        <f t="shared" si="37"/>
        <v>2025</v>
      </c>
      <c r="T808" s="7" t="str">
        <f t="shared" si="38"/>
        <v>May</v>
      </c>
    </row>
    <row r="809" spans="2:20" x14ac:dyDescent="0.3">
      <c r="B809" s="7">
        <v>808</v>
      </c>
      <c r="C809" s="7" t="s">
        <v>2142</v>
      </c>
      <c r="D809" s="7" t="s">
        <v>768</v>
      </c>
      <c r="E809" s="7" t="str">
        <f t="shared" si="36"/>
        <v>Jan</v>
      </c>
      <c r="F809" s="7" t="s">
        <v>2143</v>
      </c>
      <c r="G809" s="7" t="s">
        <v>102</v>
      </c>
      <c r="H809" s="7" t="s">
        <v>71</v>
      </c>
      <c r="I809" s="7" t="s">
        <v>116</v>
      </c>
      <c r="J809" s="7" t="s">
        <v>81</v>
      </c>
      <c r="K809" s="7" t="s">
        <v>30</v>
      </c>
      <c r="L809" s="7">
        <v>1393.53</v>
      </c>
      <c r="M809" s="7">
        <v>2</v>
      </c>
      <c r="N809" s="7">
        <v>0.03</v>
      </c>
      <c r="O809" s="7">
        <v>369.15</v>
      </c>
      <c r="P809" s="7" t="s">
        <v>54</v>
      </c>
      <c r="Q809" s="7" t="s">
        <v>40</v>
      </c>
      <c r="R809" s="7">
        <v>5</v>
      </c>
      <c r="S809" s="7">
        <f t="shared" si="37"/>
        <v>2025</v>
      </c>
      <c r="T809" s="7" t="str">
        <f t="shared" si="38"/>
        <v>Jan</v>
      </c>
    </row>
    <row r="810" spans="2:20" x14ac:dyDescent="0.3">
      <c r="B810" s="7">
        <v>809</v>
      </c>
      <c r="C810" s="7" t="s">
        <v>2144</v>
      </c>
      <c r="D810" s="7" t="s">
        <v>587</v>
      </c>
      <c r="E810" s="7" t="str">
        <f t="shared" si="36"/>
        <v>Nov</v>
      </c>
      <c r="F810" s="7" t="s">
        <v>2145</v>
      </c>
      <c r="G810" s="7" t="s">
        <v>44</v>
      </c>
      <c r="H810" s="7" t="s">
        <v>71</v>
      </c>
      <c r="I810" s="7" t="s">
        <v>116</v>
      </c>
      <c r="J810" s="7" t="s">
        <v>81</v>
      </c>
      <c r="K810" s="7" t="s">
        <v>82</v>
      </c>
      <c r="L810" s="7">
        <v>1788.04</v>
      </c>
      <c r="M810" s="7">
        <v>2</v>
      </c>
      <c r="N810" s="7">
        <v>0.23</v>
      </c>
      <c r="O810" s="7">
        <v>220.98</v>
      </c>
      <c r="P810" s="7" t="s">
        <v>54</v>
      </c>
      <c r="Q810" s="7" t="s">
        <v>86</v>
      </c>
      <c r="R810" s="7">
        <v>8</v>
      </c>
      <c r="S810" s="7">
        <f t="shared" si="37"/>
        <v>2024</v>
      </c>
      <c r="T810" s="7" t="str">
        <f t="shared" si="38"/>
        <v>Nov</v>
      </c>
    </row>
    <row r="811" spans="2:20" x14ac:dyDescent="0.3">
      <c r="B811" s="7">
        <v>810</v>
      </c>
      <c r="C811" s="7" t="s">
        <v>2146</v>
      </c>
      <c r="D811" s="7" t="s">
        <v>2147</v>
      </c>
      <c r="E811" s="7" t="str">
        <f t="shared" si="36"/>
        <v>Aug</v>
      </c>
      <c r="F811" s="7" t="s">
        <v>2148</v>
      </c>
      <c r="G811" s="7" t="s">
        <v>102</v>
      </c>
      <c r="H811" s="7" t="s">
        <v>65</v>
      </c>
      <c r="I811" s="7" t="s">
        <v>20</v>
      </c>
      <c r="J811" s="7" t="s">
        <v>29</v>
      </c>
      <c r="K811" s="7" t="s">
        <v>39</v>
      </c>
      <c r="L811" s="7">
        <v>2175.46</v>
      </c>
      <c r="M811" s="7">
        <v>3</v>
      </c>
      <c r="N811" s="7">
        <v>0.23</v>
      </c>
      <c r="O811" s="7">
        <v>736.6</v>
      </c>
      <c r="P811" s="7" t="s">
        <v>54</v>
      </c>
      <c r="Q811" s="7" t="s">
        <v>40</v>
      </c>
      <c r="R811" s="7">
        <v>2</v>
      </c>
      <c r="S811" s="7">
        <f t="shared" si="37"/>
        <v>2025</v>
      </c>
      <c r="T811" s="7" t="str">
        <f t="shared" si="38"/>
        <v>Aug</v>
      </c>
    </row>
    <row r="812" spans="2:20" x14ac:dyDescent="0.3">
      <c r="B812" s="7">
        <v>811</v>
      </c>
      <c r="C812" s="7" t="s">
        <v>2149</v>
      </c>
      <c r="D812" s="7" t="s">
        <v>2150</v>
      </c>
      <c r="E812" s="7" t="str">
        <f t="shared" si="36"/>
        <v>Jan</v>
      </c>
      <c r="F812" s="7" t="s">
        <v>2151</v>
      </c>
      <c r="G812" s="7" t="s">
        <v>18</v>
      </c>
      <c r="H812" s="7" t="s">
        <v>51</v>
      </c>
      <c r="I812" s="7" t="s">
        <v>28</v>
      </c>
      <c r="J812" s="7" t="s">
        <v>29</v>
      </c>
      <c r="K812" s="7" t="s">
        <v>30</v>
      </c>
      <c r="L812" s="7">
        <v>1138.6400000000001</v>
      </c>
      <c r="M812" s="7">
        <v>2</v>
      </c>
      <c r="N812" s="7">
        <v>0.23</v>
      </c>
      <c r="O812" s="7">
        <v>151.63</v>
      </c>
      <c r="P812" s="7" t="s">
        <v>23</v>
      </c>
      <c r="Q812" s="7" t="s">
        <v>77</v>
      </c>
      <c r="R812" s="7">
        <v>10</v>
      </c>
      <c r="S812" s="7">
        <f t="shared" si="37"/>
        <v>2024</v>
      </c>
      <c r="T812" s="7" t="str">
        <f t="shared" si="38"/>
        <v>Jan</v>
      </c>
    </row>
    <row r="813" spans="2:20" x14ac:dyDescent="0.3">
      <c r="B813" s="7">
        <v>812</v>
      </c>
      <c r="C813" s="7" t="s">
        <v>2152</v>
      </c>
      <c r="D813" s="7" t="s">
        <v>1527</v>
      </c>
      <c r="E813" s="7" t="str">
        <f t="shared" si="36"/>
        <v>Dec</v>
      </c>
      <c r="F813" s="7" t="s">
        <v>2153</v>
      </c>
      <c r="G813" s="7" t="s">
        <v>36</v>
      </c>
      <c r="H813" s="7" t="s">
        <v>45</v>
      </c>
      <c r="I813" s="7" t="s">
        <v>46</v>
      </c>
      <c r="J813" s="7" t="s">
        <v>66</v>
      </c>
      <c r="K813" s="7" t="s">
        <v>82</v>
      </c>
      <c r="L813" s="7">
        <v>4119.88</v>
      </c>
      <c r="M813" s="7">
        <v>5</v>
      </c>
      <c r="N813" s="7">
        <v>0.1</v>
      </c>
      <c r="O813" s="7">
        <v>745.54</v>
      </c>
      <c r="P813" s="7" t="s">
        <v>54</v>
      </c>
      <c r="Q813" s="7" t="s">
        <v>40</v>
      </c>
      <c r="R813" s="7">
        <v>10</v>
      </c>
      <c r="S813" s="7">
        <f t="shared" si="37"/>
        <v>2025</v>
      </c>
      <c r="T813" s="7" t="str">
        <f t="shared" si="38"/>
        <v>Dec</v>
      </c>
    </row>
    <row r="814" spans="2:20" x14ac:dyDescent="0.3">
      <c r="B814" s="7">
        <v>813</v>
      </c>
      <c r="C814" s="7" t="s">
        <v>2154</v>
      </c>
      <c r="D814" s="7" t="s">
        <v>2155</v>
      </c>
      <c r="E814" s="7" t="str">
        <f t="shared" si="36"/>
        <v>Aug</v>
      </c>
      <c r="F814" s="7" t="s">
        <v>2156</v>
      </c>
      <c r="G814" s="7" t="s">
        <v>36</v>
      </c>
      <c r="H814" s="7" t="s">
        <v>19</v>
      </c>
      <c r="I814" s="7" t="s">
        <v>116</v>
      </c>
      <c r="J814" s="7" t="s">
        <v>66</v>
      </c>
      <c r="K814" s="7" t="s">
        <v>67</v>
      </c>
      <c r="L814" s="7">
        <v>2501.5500000000002</v>
      </c>
      <c r="M814" s="7">
        <v>5</v>
      </c>
      <c r="N814" s="7">
        <v>0.09</v>
      </c>
      <c r="O814" s="7">
        <v>870.45</v>
      </c>
      <c r="P814" s="7" t="s">
        <v>23</v>
      </c>
      <c r="Q814" s="7" t="s">
        <v>32</v>
      </c>
      <c r="R814" s="7">
        <v>4</v>
      </c>
      <c r="S814" s="7">
        <f t="shared" si="37"/>
        <v>2025</v>
      </c>
      <c r="T814" s="7" t="str">
        <f t="shared" si="38"/>
        <v>Aug</v>
      </c>
    </row>
    <row r="815" spans="2:20" x14ac:dyDescent="0.3">
      <c r="B815" s="7">
        <v>814</v>
      </c>
      <c r="C815" s="7" t="s">
        <v>2157</v>
      </c>
      <c r="D815" s="7" t="s">
        <v>475</v>
      </c>
      <c r="E815" s="7" t="str">
        <f t="shared" si="36"/>
        <v>Aug</v>
      </c>
      <c r="F815" s="7" t="s">
        <v>2158</v>
      </c>
      <c r="G815" s="7" t="s">
        <v>44</v>
      </c>
      <c r="H815" s="7" t="s">
        <v>45</v>
      </c>
      <c r="I815" s="7" t="s">
        <v>38</v>
      </c>
      <c r="J815" s="7" t="s">
        <v>66</v>
      </c>
      <c r="K815" s="7" t="s">
        <v>67</v>
      </c>
      <c r="L815" s="7">
        <v>392.21</v>
      </c>
      <c r="M815" s="7">
        <v>1</v>
      </c>
      <c r="N815" s="7">
        <v>0.01</v>
      </c>
      <c r="O815" s="7">
        <v>47.64</v>
      </c>
      <c r="P815" s="7" t="s">
        <v>54</v>
      </c>
      <c r="Q815" s="7" t="s">
        <v>24</v>
      </c>
      <c r="R815" s="7">
        <v>2</v>
      </c>
      <c r="S815" s="7">
        <f t="shared" si="37"/>
        <v>2025</v>
      </c>
      <c r="T815" s="7" t="str">
        <f t="shared" si="38"/>
        <v>Aug</v>
      </c>
    </row>
    <row r="816" spans="2:20" x14ac:dyDescent="0.3">
      <c r="B816" s="7">
        <v>815</v>
      </c>
      <c r="C816" s="7" t="s">
        <v>2159</v>
      </c>
      <c r="D816" s="7" t="s">
        <v>1796</v>
      </c>
      <c r="E816" s="7" t="str">
        <f t="shared" si="36"/>
        <v>Apr</v>
      </c>
      <c r="F816" s="7" t="s">
        <v>2160</v>
      </c>
      <c r="G816" s="7" t="s">
        <v>102</v>
      </c>
      <c r="H816" s="7" t="s">
        <v>37</v>
      </c>
      <c r="I816" s="7" t="s">
        <v>59</v>
      </c>
      <c r="J816" s="7" t="s">
        <v>81</v>
      </c>
      <c r="K816" s="7" t="s">
        <v>67</v>
      </c>
      <c r="L816" s="7">
        <v>211.21</v>
      </c>
      <c r="M816" s="7">
        <v>1</v>
      </c>
      <c r="N816" s="7">
        <v>0.24</v>
      </c>
      <c r="O816" s="7">
        <v>57.54</v>
      </c>
      <c r="P816" s="7" t="s">
        <v>31</v>
      </c>
      <c r="Q816" s="7" t="s">
        <v>32</v>
      </c>
      <c r="R816" s="7">
        <v>5</v>
      </c>
      <c r="S816" s="7">
        <f t="shared" si="37"/>
        <v>2024</v>
      </c>
      <c r="T816" s="7" t="str">
        <f t="shared" si="38"/>
        <v>Apr</v>
      </c>
    </row>
    <row r="817" spans="2:20" x14ac:dyDescent="0.3">
      <c r="B817" s="7">
        <v>816</v>
      </c>
      <c r="C817" s="7" t="s">
        <v>2161</v>
      </c>
      <c r="D817" s="7" t="s">
        <v>1728</v>
      </c>
      <c r="E817" s="7" t="str">
        <f t="shared" si="36"/>
        <v>Sep</v>
      </c>
      <c r="F817" s="7" t="s">
        <v>2162</v>
      </c>
      <c r="G817" s="7" t="s">
        <v>18</v>
      </c>
      <c r="H817" s="7" t="s">
        <v>65</v>
      </c>
      <c r="I817" s="7" t="s">
        <v>52</v>
      </c>
      <c r="J817" s="7" t="s">
        <v>81</v>
      </c>
      <c r="K817" s="7" t="s">
        <v>39</v>
      </c>
      <c r="L817" s="7">
        <v>2290.4499999999998</v>
      </c>
      <c r="M817" s="7">
        <v>3</v>
      </c>
      <c r="N817" s="7">
        <v>0.28999999999999998</v>
      </c>
      <c r="O817" s="7">
        <v>255.74</v>
      </c>
      <c r="P817" s="7" t="s">
        <v>31</v>
      </c>
      <c r="Q817" s="7" t="s">
        <v>77</v>
      </c>
      <c r="R817" s="7">
        <v>10</v>
      </c>
      <c r="S817" s="7">
        <f t="shared" si="37"/>
        <v>2024</v>
      </c>
      <c r="T817" s="7" t="str">
        <f t="shared" si="38"/>
        <v>Sep</v>
      </c>
    </row>
    <row r="818" spans="2:20" x14ac:dyDescent="0.3">
      <c r="B818" s="7">
        <v>817</v>
      </c>
      <c r="C818" s="7" t="s">
        <v>2163</v>
      </c>
      <c r="D818" s="7" t="s">
        <v>1413</v>
      </c>
      <c r="E818" s="7" t="str">
        <f t="shared" si="36"/>
        <v>Aug</v>
      </c>
      <c r="F818" s="7" t="s">
        <v>2164</v>
      </c>
      <c r="G818" s="7" t="s">
        <v>36</v>
      </c>
      <c r="H818" s="7" t="s">
        <v>51</v>
      </c>
      <c r="I818" s="7" t="s">
        <v>20</v>
      </c>
      <c r="J818" s="7" t="s">
        <v>29</v>
      </c>
      <c r="K818" s="7" t="s">
        <v>22</v>
      </c>
      <c r="L818" s="7">
        <v>920.3</v>
      </c>
      <c r="M818" s="7">
        <v>3</v>
      </c>
      <c r="N818" s="7">
        <v>0.24</v>
      </c>
      <c r="O818" s="7">
        <v>291.89</v>
      </c>
      <c r="P818" s="7" t="s">
        <v>54</v>
      </c>
      <c r="Q818" s="7" t="s">
        <v>32</v>
      </c>
      <c r="R818" s="7">
        <v>7</v>
      </c>
      <c r="S818" s="7">
        <f t="shared" si="37"/>
        <v>2024</v>
      </c>
      <c r="T818" s="7" t="str">
        <f t="shared" si="38"/>
        <v>Aug</v>
      </c>
    </row>
    <row r="819" spans="2:20" x14ac:dyDescent="0.3">
      <c r="B819" s="7">
        <v>818</v>
      </c>
      <c r="C819" s="7" t="s">
        <v>2165</v>
      </c>
      <c r="D819" s="7" t="s">
        <v>62</v>
      </c>
      <c r="E819" s="7" t="str">
        <f t="shared" si="36"/>
        <v>Jul</v>
      </c>
      <c r="F819" s="7" t="s">
        <v>2166</v>
      </c>
      <c r="G819" s="7" t="s">
        <v>18</v>
      </c>
      <c r="H819" s="7" t="s">
        <v>37</v>
      </c>
      <c r="I819" s="7" t="s">
        <v>59</v>
      </c>
      <c r="J819" s="7" t="s">
        <v>29</v>
      </c>
      <c r="K819" s="7" t="s">
        <v>60</v>
      </c>
      <c r="L819" s="7">
        <v>189.83</v>
      </c>
      <c r="M819" s="7">
        <v>1</v>
      </c>
      <c r="N819" s="7">
        <v>0.3</v>
      </c>
      <c r="O819" s="7">
        <v>53.95</v>
      </c>
      <c r="P819" s="7" t="s">
        <v>23</v>
      </c>
      <c r="Q819" s="7" t="s">
        <v>77</v>
      </c>
      <c r="R819" s="7">
        <v>7</v>
      </c>
      <c r="S819" s="7">
        <f t="shared" si="37"/>
        <v>2024</v>
      </c>
      <c r="T819" s="7" t="str">
        <f t="shared" si="38"/>
        <v>Jul</v>
      </c>
    </row>
    <row r="820" spans="2:20" x14ac:dyDescent="0.3">
      <c r="B820" s="7">
        <v>819</v>
      </c>
      <c r="C820" s="7" t="s">
        <v>2167</v>
      </c>
      <c r="D820" s="7" t="s">
        <v>2168</v>
      </c>
      <c r="E820" s="7" t="str">
        <f t="shared" si="36"/>
        <v>Apr</v>
      </c>
      <c r="F820" s="7" t="s">
        <v>2169</v>
      </c>
      <c r="G820" s="7" t="s">
        <v>36</v>
      </c>
      <c r="H820" s="7" t="s">
        <v>65</v>
      </c>
      <c r="I820" s="7" t="s">
        <v>59</v>
      </c>
      <c r="J820" s="7" t="s">
        <v>66</v>
      </c>
      <c r="K820" s="7" t="s">
        <v>39</v>
      </c>
      <c r="L820" s="7">
        <v>689.66</v>
      </c>
      <c r="M820" s="7">
        <v>1</v>
      </c>
      <c r="N820" s="7">
        <v>0.16</v>
      </c>
      <c r="O820" s="7">
        <v>156.11000000000001</v>
      </c>
      <c r="P820" s="7" t="s">
        <v>31</v>
      </c>
      <c r="Q820" s="7" t="s">
        <v>40</v>
      </c>
      <c r="R820" s="7">
        <v>1</v>
      </c>
      <c r="S820" s="7">
        <f t="shared" si="37"/>
        <v>2024</v>
      </c>
      <c r="T820" s="7" t="str">
        <f t="shared" si="38"/>
        <v>Apr</v>
      </c>
    </row>
    <row r="821" spans="2:20" x14ac:dyDescent="0.3">
      <c r="B821" s="7">
        <v>820</v>
      </c>
      <c r="C821" s="7" t="s">
        <v>2170</v>
      </c>
      <c r="D821" s="7" t="s">
        <v>2171</v>
      </c>
      <c r="E821" s="7" t="str">
        <f t="shared" si="36"/>
        <v>Oct</v>
      </c>
      <c r="F821" s="7" t="s">
        <v>2172</v>
      </c>
      <c r="G821" s="7" t="s">
        <v>18</v>
      </c>
      <c r="H821" s="7" t="s">
        <v>51</v>
      </c>
      <c r="I821" s="7" t="s">
        <v>38</v>
      </c>
      <c r="J821" s="7" t="s">
        <v>47</v>
      </c>
      <c r="K821" s="7" t="s">
        <v>22</v>
      </c>
      <c r="L821" s="7">
        <v>2350.16</v>
      </c>
      <c r="M821" s="7">
        <v>5</v>
      </c>
      <c r="N821" s="7">
        <v>0.17</v>
      </c>
      <c r="O821" s="7">
        <v>266.43</v>
      </c>
      <c r="P821" s="7" t="s">
        <v>23</v>
      </c>
      <c r="Q821" s="7" t="s">
        <v>77</v>
      </c>
      <c r="R821" s="7">
        <v>5</v>
      </c>
      <c r="S821" s="7">
        <f t="shared" si="37"/>
        <v>2025</v>
      </c>
      <c r="T821" s="7" t="str">
        <f t="shared" si="38"/>
        <v>Oct</v>
      </c>
    </row>
    <row r="822" spans="2:20" x14ac:dyDescent="0.3">
      <c r="B822" s="7">
        <v>821</v>
      </c>
      <c r="C822" s="7" t="s">
        <v>2173</v>
      </c>
      <c r="D822" s="7" t="s">
        <v>2174</v>
      </c>
      <c r="E822" s="7" t="str">
        <f t="shared" si="36"/>
        <v>Oct</v>
      </c>
      <c r="F822" s="7" t="s">
        <v>2175</v>
      </c>
      <c r="G822" s="7" t="s">
        <v>64</v>
      </c>
      <c r="H822" s="7" t="s">
        <v>51</v>
      </c>
      <c r="I822" s="7" t="s">
        <v>59</v>
      </c>
      <c r="J822" s="7" t="s">
        <v>29</v>
      </c>
      <c r="K822" s="7" t="s">
        <v>72</v>
      </c>
      <c r="L822" s="7">
        <v>2279.2399999999998</v>
      </c>
      <c r="M822" s="7">
        <v>3</v>
      </c>
      <c r="N822" s="7">
        <v>0.19</v>
      </c>
      <c r="O822" s="7">
        <v>443.83</v>
      </c>
      <c r="P822" s="7" t="s">
        <v>54</v>
      </c>
      <c r="Q822" s="7" t="s">
        <v>86</v>
      </c>
      <c r="R822" s="7">
        <v>10</v>
      </c>
      <c r="S822" s="7">
        <f t="shared" si="37"/>
        <v>2024</v>
      </c>
      <c r="T822" s="7" t="str">
        <f t="shared" si="38"/>
        <v>Oct</v>
      </c>
    </row>
    <row r="823" spans="2:20" x14ac:dyDescent="0.3">
      <c r="B823" s="7">
        <v>822</v>
      </c>
      <c r="C823" s="7" t="s">
        <v>2176</v>
      </c>
      <c r="D823" s="7" t="s">
        <v>2177</v>
      </c>
      <c r="E823" s="7" t="str">
        <f t="shared" si="36"/>
        <v>May</v>
      </c>
      <c r="F823" s="7" t="s">
        <v>2178</v>
      </c>
      <c r="G823" s="7" t="s">
        <v>44</v>
      </c>
      <c r="H823" s="7" t="s">
        <v>37</v>
      </c>
      <c r="I823" s="7" t="s">
        <v>116</v>
      </c>
      <c r="J823" s="7" t="s">
        <v>21</v>
      </c>
      <c r="K823" s="7" t="s">
        <v>53</v>
      </c>
      <c r="L823" s="7">
        <v>699.63</v>
      </c>
      <c r="M823" s="7">
        <v>1</v>
      </c>
      <c r="N823" s="7">
        <v>0.16</v>
      </c>
      <c r="O823" s="7">
        <v>110.95</v>
      </c>
      <c r="P823" s="7" t="s">
        <v>31</v>
      </c>
      <c r="Q823" s="7" t="s">
        <v>86</v>
      </c>
      <c r="R823" s="7">
        <v>6</v>
      </c>
      <c r="S823" s="7">
        <f t="shared" si="37"/>
        <v>2024</v>
      </c>
      <c r="T823" s="7" t="str">
        <f t="shared" si="38"/>
        <v>May</v>
      </c>
    </row>
    <row r="824" spans="2:20" x14ac:dyDescent="0.3">
      <c r="B824" s="7">
        <v>823</v>
      </c>
      <c r="C824" s="7" t="s">
        <v>2179</v>
      </c>
      <c r="D824" s="7" t="s">
        <v>2180</v>
      </c>
      <c r="E824" s="7" t="str">
        <f t="shared" si="36"/>
        <v>Mar</v>
      </c>
      <c r="F824" s="7" t="s">
        <v>2181</v>
      </c>
      <c r="G824" s="7" t="s">
        <v>44</v>
      </c>
      <c r="H824" s="7" t="s">
        <v>71</v>
      </c>
      <c r="I824" s="7" t="s">
        <v>28</v>
      </c>
      <c r="J824" s="7" t="s">
        <v>81</v>
      </c>
      <c r="K824" s="7" t="s">
        <v>22</v>
      </c>
      <c r="L824" s="7">
        <v>1187.21</v>
      </c>
      <c r="M824" s="7">
        <v>2</v>
      </c>
      <c r="N824" s="7">
        <v>0.04</v>
      </c>
      <c r="O824" s="7">
        <v>327.97</v>
      </c>
      <c r="P824" s="7" t="s">
        <v>31</v>
      </c>
      <c r="Q824" s="7" t="s">
        <v>86</v>
      </c>
      <c r="R824" s="7">
        <v>10</v>
      </c>
      <c r="S824" s="7">
        <f t="shared" si="37"/>
        <v>2024</v>
      </c>
      <c r="T824" s="7" t="str">
        <f t="shared" si="38"/>
        <v>Mar</v>
      </c>
    </row>
    <row r="825" spans="2:20" x14ac:dyDescent="0.3">
      <c r="B825" s="7">
        <v>824</v>
      </c>
      <c r="C825" s="7" t="s">
        <v>2182</v>
      </c>
      <c r="D825" s="7" t="s">
        <v>189</v>
      </c>
      <c r="E825" s="7" t="str">
        <f t="shared" si="36"/>
        <v>May</v>
      </c>
      <c r="F825" s="7" t="s">
        <v>1231</v>
      </c>
      <c r="G825" s="7" t="s">
        <v>102</v>
      </c>
      <c r="H825" s="7" t="s">
        <v>65</v>
      </c>
      <c r="I825" s="7" t="s">
        <v>38</v>
      </c>
      <c r="J825" s="7" t="s">
        <v>81</v>
      </c>
      <c r="K825" s="7" t="s">
        <v>30</v>
      </c>
      <c r="L825" s="7">
        <v>626.89</v>
      </c>
      <c r="M825" s="7">
        <v>1</v>
      </c>
      <c r="N825" s="7">
        <v>0.01</v>
      </c>
      <c r="O825" s="7">
        <v>205.04</v>
      </c>
      <c r="P825" s="7" t="s">
        <v>31</v>
      </c>
      <c r="Q825" s="7" t="s">
        <v>40</v>
      </c>
      <c r="R825" s="7">
        <v>10</v>
      </c>
      <c r="S825" s="7">
        <f t="shared" si="37"/>
        <v>2024</v>
      </c>
      <c r="T825" s="7" t="str">
        <f t="shared" si="38"/>
        <v>May</v>
      </c>
    </row>
    <row r="826" spans="2:20" x14ac:dyDescent="0.3">
      <c r="B826" s="7">
        <v>825</v>
      </c>
      <c r="C826" s="7" t="s">
        <v>2183</v>
      </c>
      <c r="D826" s="7" t="s">
        <v>1602</v>
      </c>
      <c r="E826" s="7" t="str">
        <f t="shared" si="36"/>
        <v>Jan</v>
      </c>
      <c r="F826" s="7" t="s">
        <v>2184</v>
      </c>
      <c r="G826" s="7" t="s">
        <v>64</v>
      </c>
      <c r="H826" s="7" t="s">
        <v>71</v>
      </c>
      <c r="I826" s="7" t="s">
        <v>59</v>
      </c>
      <c r="J826" s="7" t="s">
        <v>66</v>
      </c>
      <c r="K826" s="7" t="s">
        <v>39</v>
      </c>
      <c r="L826" s="7">
        <v>3461.64</v>
      </c>
      <c r="M826" s="7">
        <v>4</v>
      </c>
      <c r="N826" s="7">
        <v>0.05</v>
      </c>
      <c r="O826" s="7">
        <v>543.21</v>
      </c>
      <c r="P826" s="7" t="s">
        <v>31</v>
      </c>
      <c r="Q826" s="7" t="s">
        <v>86</v>
      </c>
      <c r="R826" s="7">
        <v>1</v>
      </c>
      <c r="S826" s="7">
        <f t="shared" si="37"/>
        <v>2025</v>
      </c>
      <c r="T826" s="7" t="str">
        <f t="shared" si="38"/>
        <v>Jan</v>
      </c>
    </row>
    <row r="827" spans="2:20" x14ac:dyDescent="0.3">
      <c r="B827" s="7">
        <v>826</v>
      </c>
      <c r="C827" s="7" t="s">
        <v>2185</v>
      </c>
      <c r="D827" s="7" t="s">
        <v>393</v>
      </c>
      <c r="E827" s="7" t="str">
        <f t="shared" si="36"/>
        <v>Nov</v>
      </c>
      <c r="F827" s="7" t="s">
        <v>1349</v>
      </c>
      <c r="G827" s="7" t="s">
        <v>44</v>
      </c>
      <c r="H827" s="7" t="s">
        <v>65</v>
      </c>
      <c r="I827" s="7" t="s">
        <v>46</v>
      </c>
      <c r="J827" s="7" t="s">
        <v>81</v>
      </c>
      <c r="K827" s="7" t="s">
        <v>76</v>
      </c>
      <c r="L827" s="7">
        <v>611.42999999999995</v>
      </c>
      <c r="M827" s="7">
        <v>5</v>
      </c>
      <c r="N827" s="7">
        <v>0.17</v>
      </c>
      <c r="O827" s="7">
        <v>114.15</v>
      </c>
      <c r="P827" s="7" t="s">
        <v>54</v>
      </c>
      <c r="Q827" s="7" t="s">
        <v>86</v>
      </c>
      <c r="R827" s="7">
        <v>7</v>
      </c>
      <c r="S827" s="7">
        <f t="shared" si="37"/>
        <v>2025</v>
      </c>
      <c r="T827" s="7" t="str">
        <f t="shared" si="38"/>
        <v>Nov</v>
      </c>
    </row>
    <row r="828" spans="2:20" x14ac:dyDescent="0.3">
      <c r="B828" s="7">
        <v>827</v>
      </c>
      <c r="C828" s="7" t="s">
        <v>2186</v>
      </c>
      <c r="D828" s="7" t="s">
        <v>2187</v>
      </c>
      <c r="E828" s="7" t="str">
        <f t="shared" si="36"/>
        <v>Feb</v>
      </c>
      <c r="F828" s="7" t="s">
        <v>2188</v>
      </c>
      <c r="G828" s="7" t="s">
        <v>44</v>
      </c>
      <c r="H828" s="7" t="s">
        <v>58</v>
      </c>
      <c r="I828" s="7" t="s">
        <v>28</v>
      </c>
      <c r="J828" s="7" t="s">
        <v>81</v>
      </c>
      <c r="K828" s="7" t="s">
        <v>67</v>
      </c>
      <c r="L828" s="7">
        <v>4020.51</v>
      </c>
      <c r="M828" s="7">
        <v>5</v>
      </c>
      <c r="N828" s="7">
        <v>0.21</v>
      </c>
      <c r="O828" s="7">
        <v>852.91</v>
      </c>
      <c r="P828" s="7" t="s">
        <v>31</v>
      </c>
      <c r="Q828" s="7" t="s">
        <v>77</v>
      </c>
      <c r="R828" s="7">
        <v>5</v>
      </c>
      <c r="S828" s="7">
        <f t="shared" si="37"/>
        <v>2025</v>
      </c>
      <c r="T828" s="7" t="str">
        <f t="shared" si="38"/>
        <v>Feb</v>
      </c>
    </row>
    <row r="829" spans="2:20" x14ac:dyDescent="0.3">
      <c r="B829" s="7">
        <v>828</v>
      </c>
      <c r="C829" s="7" t="s">
        <v>2189</v>
      </c>
      <c r="D829" s="7" t="s">
        <v>1051</v>
      </c>
      <c r="E829" s="7" t="str">
        <f t="shared" si="36"/>
        <v>May</v>
      </c>
      <c r="F829" s="7" t="s">
        <v>2190</v>
      </c>
      <c r="G829" s="7" t="s">
        <v>36</v>
      </c>
      <c r="H829" s="7" t="s">
        <v>51</v>
      </c>
      <c r="I829" s="7" t="s">
        <v>106</v>
      </c>
      <c r="J829" s="7" t="s">
        <v>29</v>
      </c>
      <c r="K829" s="7" t="s">
        <v>30</v>
      </c>
      <c r="L829" s="7">
        <v>2285.33</v>
      </c>
      <c r="M829" s="7">
        <v>3</v>
      </c>
      <c r="N829" s="7">
        <v>0.3</v>
      </c>
      <c r="O829" s="7">
        <v>558.66</v>
      </c>
      <c r="P829" s="7" t="s">
        <v>31</v>
      </c>
      <c r="Q829" s="7" t="s">
        <v>77</v>
      </c>
      <c r="R829" s="7">
        <v>7</v>
      </c>
      <c r="S829" s="7">
        <f t="shared" si="37"/>
        <v>2025</v>
      </c>
      <c r="T829" s="7" t="str">
        <f t="shared" si="38"/>
        <v>May</v>
      </c>
    </row>
    <row r="830" spans="2:20" x14ac:dyDescent="0.3">
      <c r="B830" s="7">
        <v>829</v>
      </c>
      <c r="C830" s="7" t="s">
        <v>2191</v>
      </c>
      <c r="D830" s="7" t="s">
        <v>717</v>
      </c>
      <c r="E830" s="7" t="str">
        <f t="shared" si="36"/>
        <v>Jun</v>
      </c>
      <c r="F830" s="7" t="s">
        <v>2192</v>
      </c>
      <c r="G830" s="7" t="s">
        <v>18</v>
      </c>
      <c r="H830" s="7" t="s">
        <v>37</v>
      </c>
      <c r="I830" s="7" t="s">
        <v>38</v>
      </c>
      <c r="J830" s="7" t="s">
        <v>29</v>
      </c>
      <c r="K830" s="7" t="s">
        <v>72</v>
      </c>
      <c r="L830" s="7">
        <v>102.3</v>
      </c>
      <c r="M830" s="7">
        <v>1</v>
      </c>
      <c r="N830" s="7">
        <v>0.09</v>
      </c>
      <c r="O830" s="7">
        <v>22.82</v>
      </c>
      <c r="P830" s="7" t="s">
        <v>23</v>
      </c>
      <c r="Q830" s="7" t="s">
        <v>77</v>
      </c>
      <c r="R830" s="7">
        <v>10</v>
      </c>
      <c r="S830" s="7">
        <f t="shared" si="37"/>
        <v>2025</v>
      </c>
      <c r="T830" s="7" t="str">
        <f t="shared" si="38"/>
        <v>Jun</v>
      </c>
    </row>
    <row r="831" spans="2:20" x14ac:dyDescent="0.3">
      <c r="B831" s="7">
        <v>830</v>
      </c>
      <c r="C831" s="7" t="s">
        <v>2193</v>
      </c>
      <c r="D831" s="7" t="s">
        <v>824</v>
      </c>
      <c r="E831" s="7" t="str">
        <f t="shared" si="36"/>
        <v>Feb</v>
      </c>
      <c r="F831" s="7" t="s">
        <v>2194</v>
      </c>
      <c r="G831" s="7" t="s">
        <v>36</v>
      </c>
      <c r="H831" s="7" t="s">
        <v>45</v>
      </c>
      <c r="I831" s="7" t="s">
        <v>38</v>
      </c>
      <c r="J831" s="7" t="s">
        <v>29</v>
      </c>
      <c r="K831" s="7" t="s">
        <v>67</v>
      </c>
      <c r="L831" s="7">
        <v>1529.95</v>
      </c>
      <c r="M831" s="7">
        <v>3</v>
      </c>
      <c r="N831" s="7">
        <v>0.04</v>
      </c>
      <c r="O831" s="7">
        <v>474.44</v>
      </c>
      <c r="P831" s="7" t="s">
        <v>31</v>
      </c>
      <c r="Q831" s="7" t="s">
        <v>24</v>
      </c>
      <c r="R831" s="7">
        <v>6</v>
      </c>
      <c r="S831" s="7">
        <f t="shared" si="37"/>
        <v>2025</v>
      </c>
      <c r="T831" s="7" t="str">
        <f t="shared" si="38"/>
        <v>Feb</v>
      </c>
    </row>
    <row r="832" spans="2:20" x14ac:dyDescent="0.3">
      <c r="B832" s="7">
        <v>831</v>
      </c>
      <c r="C832" s="7" t="s">
        <v>2195</v>
      </c>
      <c r="D832" s="7" t="s">
        <v>997</v>
      </c>
      <c r="E832" s="7" t="str">
        <f t="shared" si="36"/>
        <v>Feb</v>
      </c>
      <c r="F832" s="7" t="s">
        <v>2196</v>
      </c>
      <c r="G832" s="7" t="s">
        <v>18</v>
      </c>
      <c r="H832" s="7" t="s">
        <v>71</v>
      </c>
      <c r="I832" s="7" t="s">
        <v>28</v>
      </c>
      <c r="J832" s="7" t="s">
        <v>21</v>
      </c>
      <c r="K832" s="7" t="s">
        <v>60</v>
      </c>
      <c r="L832" s="7">
        <v>416.16</v>
      </c>
      <c r="M832" s="7">
        <v>1</v>
      </c>
      <c r="N832" s="7">
        <v>7.0000000000000007E-2</v>
      </c>
      <c r="O832" s="7">
        <v>110.66</v>
      </c>
      <c r="P832" s="7" t="s">
        <v>31</v>
      </c>
      <c r="Q832" s="7" t="s">
        <v>40</v>
      </c>
      <c r="R832" s="7">
        <v>2</v>
      </c>
      <c r="S832" s="7">
        <f t="shared" si="37"/>
        <v>2024</v>
      </c>
      <c r="T832" s="7" t="str">
        <f t="shared" si="38"/>
        <v>Feb</v>
      </c>
    </row>
    <row r="833" spans="2:20" x14ac:dyDescent="0.3">
      <c r="B833" s="7">
        <v>832</v>
      </c>
      <c r="C833" s="7" t="s">
        <v>2197</v>
      </c>
      <c r="D833" s="7" t="s">
        <v>157</v>
      </c>
      <c r="E833" s="7" t="str">
        <f t="shared" si="36"/>
        <v>May</v>
      </c>
      <c r="F833" s="7" t="s">
        <v>2198</v>
      </c>
      <c r="G833" s="7" t="s">
        <v>102</v>
      </c>
      <c r="H833" s="7" t="s">
        <v>45</v>
      </c>
      <c r="I833" s="7" t="s">
        <v>38</v>
      </c>
      <c r="J833" s="7" t="s">
        <v>21</v>
      </c>
      <c r="K833" s="7" t="s">
        <v>53</v>
      </c>
      <c r="L833" s="7">
        <v>468.35</v>
      </c>
      <c r="M833" s="7">
        <v>2</v>
      </c>
      <c r="N833" s="7">
        <v>0.17</v>
      </c>
      <c r="O833" s="7">
        <v>132.30000000000001</v>
      </c>
      <c r="P833" s="7" t="s">
        <v>54</v>
      </c>
      <c r="Q833" s="7" t="s">
        <v>32</v>
      </c>
      <c r="R833" s="7">
        <v>6</v>
      </c>
      <c r="S833" s="7">
        <f t="shared" si="37"/>
        <v>2024</v>
      </c>
      <c r="T833" s="7" t="str">
        <f t="shared" si="38"/>
        <v>May</v>
      </c>
    </row>
    <row r="834" spans="2:20" x14ac:dyDescent="0.3">
      <c r="B834" s="7">
        <v>833</v>
      </c>
      <c r="C834" s="7" t="s">
        <v>2199</v>
      </c>
      <c r="D834" s="7" t="s">
        <v>2200</v>
      </c>
      <c r="E834" s="7" t="str">
        <f t="shared" si="36"/>
        <v>May</v>
      </c>
      <c r="F834" s="7" t="s">
        <v>2201</v>
      </c>
      <c r="G834" s="7" t="s">
        <v>36</v>
      </c>
      <c r="H834" s="7" t="s">
        <v>51</v>
      </c>
      <c r="I834" s="7" t="s">
        <v>20</v>
      </c>
      <c r="J834" s="7" t="s">
        <v>81</v>
      </c>
      <c r="K834" s="7" t="s">
        <v>82</v>
      </c>
      <c r="L834" s="7">
        <v>444.41</v>
      </c>
      <c r="M834" s="7">
        <v>1</v>
      </c>
      <c r="N834" s="7">
        <v>0.12</v>
      </c>
      <c r="O834" s="7">
        <v>138.19999999999999</v>
      </c>
      <c r="P834" s="7" t="s">
        <v>54</v>
      </c>
      <c r="Q834" s="7" t="s">
        <v>32</v>
      </c>
      <c r="R834" s="7">
        <v>9</v>
      </c>
      <c r="S834" s="7">
        <f t="shared" si="37"/>
        <v>2025</v>
      </c>
      <c r="T834" s="7" t="str">
        <f t="shared" si="38"/>
        <v>May</v>
      </c>
    </row>
    <row r="835" spans="2:20" x14ac:dyDescent="0.3">
      <c r="B835" s="7">
        <v>834</v>
      </c>
      <c r="C835" s="7" t="s">
        <v>2202</v>
      </c>
      <c r="D835" s="7" t="s">
        <v>1391</v>
      </c>
      <c r="E835" s="7" t="str">
        <f t="shared" ref="E835:E898" si="39">TEXT(D835,"mmm")</f>
        <v>Aug</v>
      </c>
      <c r="F835" s="7" t="s">
        <v>2203</v>
      </c>
      <c r="G835" s="7" t="s">
        <v>36</v>
      </c>
      <c r="H835" s="7" t="s">
        <v>45</v>
      </c>
      <c r="I835" s="7" t="s">
        <v>52</v>
      </c>
      <c r="J835" s="7" t="s">
        <v>81</v>
      </c>
      <c r="K835" s="7" t="s">
        <v>67</v>
      </c>
      <c r="L835" s="7">
        <v>2907.58</v>
      </c>
      <c r="M835" s="7">
        <v>3</v>
      </c>
      <c r="N835" s="7">
        <v>0.28000000000000003</v>
      </c>
      <c r="O835" s="7">
        <v>747.42</v>
      </c>
      <c r="P835" s="7" t="s">
        <v>31</v>
      </c>
      <c r="Q835" s="7" t="s">
        <v>40</v>
      </c>
      <c r="R835" s="7">
        <v>1</v>
      </c>
      <c r="S835" s="7">
        <f t="shared" ref="S835:S898" si="40">YEAR(D835)</f>
        <v>2025</v>
      </c>
      <c r="T835" s="7" t="str">
        <f t="shared" ref="T835:T898" si="41">TEXT(D835,"mmm")</f>
        <v>Aug</v>
      </c>
    </row>
    <row r="836" spans="2:20" x14ac:dyDescent="0.3">
      <c r="B836" s="7">
        <v>835</v>
      </c>
      <c r="C836" s="7" t="s">
        <v>2204</v>
      </c>
      <c r="D836" s="7" t="s">
        <v>1672</v>
      </c>
      <c r="E836" s="7" t="str">
        <f t="shared" si="39"/>
        <v>Nov</v>
      </c>
      <c r="F836" s="7" t="s">
        <v>2205</v>
      </c>
      <c r="G836" s="7" t="s">
        <v>44</v>
      </c>
      <c r="H836" s="7" t="s">
        <v>19</v>
      </c>
      <c r="I836" s="7" t="s">
        <v>20</v>
      </c>
      <c r="J836" s="7" t="s">
        <v>81</v>
      </c>
      <c r="K836" s="7" t="s">
        <v>60</v>
      </c>
      <c r="L836" s="7">
        <v>934.96</v>
      </c>
      <c r="M836" s="7">
        <v>1</v>
      </c>
      <c r="N836" s="7">
        <v>0.17</v>
      </c>
      <c r="O836" s="7">
        <v>128.18</v>
      </c>
      <c r="P836" s="7" t="s">
        <v>54</v>
      </c>
      <c r="Q836" s="7" t="s">
        <v>77</v>
      </c>
      <c r="R836" s="7">
        <v>6</v>
      </c>
      <c r="S836" s="7">
        <f t="shared" si="40"/>
        <v>2025</v>
      </c>
      <c r="T836" s="7" t="str">
        <f t="shared" si="41"/>
        <v>Nov</v>
      </c>
    </row>
    <row r="837" spans="2:20" x14ac:dyDescent="0.3">
      <c r="B837" s="7">
        <v>836</v>
      </c>
      <c r="C837" s="7" t="s">
        <v>2206</v>
      </c>
      <c r="D837" s="7" t="s">
        <v>2207</v>
      </c>
      <c r="E837" s="7" t="str">
        <f t="shared" si="39"/>
        <v>Feb</v>
      </c>
      <c r="F837" s="7" t="s">
        <v>2208</v>
      </c>
      <c r="G837" s="7" t="s">
        <v>44</v>
      </c>
      <c r="H837" s="7" t="s">
        <v>45</v>
      </c>
      <c r="I837" s="7" t="s">
        <v>59</v>
      </c>
      <c r="J837" s="7" t="s">
        <v>66</v>
      </c>
      <c r="K837" s="7" t="s">
        <v>72</v>
      </c>
      <c r="L837" s="7">
        <v>3711.63</v>
      </c>
      <c r="M837" s="7">
        <v>5</v>
      </c>
      <c r="N837" s="7">
        <v>0.01</v>
      </c>
      <c r="O837" s="7">
        <v>896.97</v>
      </c>
      <c r="P837" s="7" t="s">
        <v>31</v>
      </c>
      <c r="Q837" s="7" t="s">
        <v>40</v>
      </c>
      <c r="R837" s="7">
        <v>2</v>
      </c>
      <c r="S837" s="7">
        <f t="shared" si="40"/>
        <v>2025</v>
      </c>
      <c r="T837" s="7" t="str">
        <f t="shared" si="41"/>
        <v>Feb</v>
      </c>
    </row>
    <row r="838" spans="2:20" x14ac:dyDescent="0.3">
      <c r="B838" s="7">
        <v>837</v>
      </c>
      <c r="C838" s="7" t="s">
        <v>2209</v>
      </c>
      <c r="D838" s="7" t="s">
        <v>2210</v>
      </c>
      <c r="E838" s="7" t="str">
        <f t="shared" si="39"/>
        <v>Jan</v>
      </c>
      <c r="F838" s="7" t="s">
        <v>2211</v>
      </c>
      <c r="G838" s="7" t="s">
        <v>44</v>
      </c>
      <c r="H838" s="7" t="s">
        <v>19</v>
      </c>
      <c r="I838" s="7" t="s">
        <v>20</v>
      </c>
      <c r="J838" s="7" t="s">
        <v>29</v>
      </c>
      <c r="K838" s="7" t="s">
        <v>53</v>
      </c>
      <c r="L838" s="7">
        <v>863.48</v>
      </c>
      <c r="M838" s="7">
        <v>2</v>
      </c>
      <c r="N838" s="7">
        <v>0.26</v>
      </c>
      <c r="O838" s="7">
        <v>131.78</v>
      </c>
      <c r="P838" s="7" t="s">
        <v>31</v>
      </c>
      <c r="Q838" s="7" t="s">
        <v>40</v>
      </c>
      <c r="R838" s="7">
        <v>3</v>
      </c>
      <c r="S838" s="7">
        <f t="shared" si="40"/>
        <v>2024</v>
      </c>
      <c r="T838" s="7" t="str">
        <f t="shared" si="41"/>
        <v>Jan</v>
      </c>
    </row>
    <row r="839" spans="2:20" x14ac:dyDescent="0.3">
      <c r="B839" s="7">
        <v>838</v>
      </c>
      <c r="C839" s="7" t="s">
        <v>2212</v>
      </c>
      <c r="D839" s="7" t="s">
        <v>373</v>
      </c>
      <c r="E839" s="7" t="str">
        <f t="shared" si="39"/>
        <v>Mar</v>
      </c>
      <c r="F839" s="7" t="s">
        <v>2213</v>
      </c>
      <c r="G839" s="7" t="s">
        <v>44</v>
      </c>
      <c r="H839" s="7" t="s">
        <v>19</v>
      </c>
      <c r="I839" s="7" t="s">
        <v>28</v>
      </c>
      <c r="J839" s="7" t="s">
        <v>81</v>
      </c>
      <c r="K839" s="7" t="s">
        <v>39</v>
      </c>
      <c r="L839" s="7">
        <v>655.92</v>
      </c>
      <c r="M839" s="7">
        <v>1</v>
      </c>
      <c r="N839" s="7">
        <v>0</v>
      </c>
      <c r="O839" s="7">
        <v>129.41</v>
      </c>
      <c r="P839" s="7" t="s">
        <v>23</v>
      </c>
      <c r="Q839" s="7" t="s">
        <v>86</v>
      </c>
      <c r="R839" s="7">
        <v>3</v>
      </c>
      <c r="S839" s="7">
        <f t="shared" si="40"/>
        <v>2025</v>
      </c>
      <c r="T839" s="7" t="str">
        <f t="shared" si="41"/>
        <v>Mar</v>
      </c>
    </row>
    <row r="840" spans="2:20" x14ac:dyDescent="0.3">
      <c r="B840" s="7">
        <v>839</v>
      </c>
      <c r="C840" s="7" t="s">
        <v>2214</v>
      </c>
      <c r="D840" s="7" t="s">
        <v>2038</v>
      </c>
      <c r="E840" s="7" t="str">
        <f t="shared" si="39"/>
        <v>Mar</v>
      </c>
      <c r="F840" s="7" t="s">
        <v>2215</v>
      </c>
      <c r="G840" s="7" t="s">
        <v>18</v>
      </c>
      <c r="H840" s="7" t="s">
        <v>37</v>
      </c>
      <c r="I840" s="7" t="s">
        <v>46</v>
      </c>
      <c r="J840" s="7" t="s">
        <v>47</v>
      </c>
      <c r="K840" s="7" t="s">
        <v>60</v>
      </c>
      <c r="L840" s="7">
        <v>1837.41</v>
      </c>
      <c r="M840" s="7">
        <v>3</v>
      </c>
      <c r="N840" s="7">
        <v>7.0000000000000007E-2</v>
      </c>
      <c r="O840" s="7">
        <v>284.43</v>
      </c>
      <c r="P840" s="7" t="s">
        <v>31</v>
      </c>
      <c r="Q840" s="7" t="s">
        <v>86</v>
      </c>
      <c r="R840" s="7">
        <v>3</v>
      </c>
      <c r="S840" s="7">
        <f t="shared" si="40"/>
        <v>2025</v>
      </c>
      <c r="T840" s="7" t="str">
        <f t="shared" si="41"/>
        <v>Mar</v>
      </c>
    </row>
    <row r="841" spans="2:20" x14ac:dyDescent="0.3">
      <c r="B841" s="7">
        <v>840</v>
      </c>
      <c r="C841" s="7" t="s">
        <v>2216</v>
      </c>
      <c r="D841" s="7" t="s">
        <v>575</v>
      </c>
      <c r="E841" s="7" t="str">
        <f t="shared" si="39"/>
        <v>Mar</v>
      </c>
      <c r="F841" s="7" t="s">
        <v>2217</v>
      </c>
      <c r="G841" s="7" t="s">
        <v>18</v>
      </c>
      <c r="H841" s="7" t="s">
        <v>45</v>
      </c>
      <c r="I841" s="7" t="s">
        <v>106</v>
      </c>
      <c r="J841" s="7" t="s">
        <v>81</v>
      </c>
      <c r="K841" s="7" t="s">
        <v>53</v>
      </c>
      <c r="L841" s="7">
        <v>895.27</v>
      </c>
      <c r="M841" s="7">
        <v>3</v>
      </c>
      <c r="N841" s="7">
        <v>0.24</v>
      </c>
      <c r="O841" s="7">
        <v>119.81</v>
      </c>
      <c r="P841" s="7" t="s">
        <v>23</v>
      </c>
      <c r="Q841" s="7" t="s">
        <v>32</v>
      </c>
      <c r="R841" s="7">
        <v>5</v>
      </c>
      <c r="S841" s="7">
        <f t="shared" si="40"/>
        <v>2024</v>
      </c>
      <c r="T841" s="7" t="str">
        <f t="shared" si="41"/>
        <v>Mar</v>
      </c>
    </row>
    <row r="842" spans="2:20" x14ac:dyDescent="0.3">
      <c r="B842" s="7">
        <v>841</v>
      </c>
      <c r="C842" s="7" t="s">
        <v>2218</v>
      </c>
      <c r="D842" s="7" t="s">
        <v>1143</v>
      </c>
      <c r="E842" s="7" t="str">
        <f t="shared" si="39"/>
        <v>Apr</v>
      </c>
      <c r="F842" s="7" t="s">
        <v>2219</v>
      </c>
      <c r="G842" s="7" t="s">
        <v>44</v>
      </c>
      <c r="H842" s="7" t="s">
        <v>45</v>
      </c>
      <c r="I842" s="7" t="s">
        <v>59</v>
      </c>
      <c r="J842" s="7" t="s">
        <v>81</v>
      </c>
      <c r="K842" s="7" t="s">
        <v>30</v>
      </c>
      <c r="L842" s="7">
        <v>2459.48</v>
      </c>
      <c r="M842" s="7">
        <v>5</v>
      </c>
      <c r="N842" s="7">
        <v>0.27</v>
      </c>
      <c r="O842" s="7">
        <v>756.34</v>
      </c>
      <c r="P842" s="7" t="s">
        <v>31</v>
      </c>
      <c r="Q842" s="7" t="s">
        <v>77</v>
      </c>
      <c r="R842" s="7">
        <v>7</v>
      </c>
      <c r="S842" s="7">
        <f t="shared" si="40"/>
        <v>2025</v>
      </c>
      <c r="T842" s="7" t="str">
        <f t="shared" si="41"/>
        <v>Apr</v>
      </c>
    </row>
    <row r="843" spans="2:20" x14ac:dyDescent="0.3">
      <c r="B843" s="7">
        <v>842</v>
      </c>
      <c r="C843" s="7" t="s">
        <v>2220</v>
      </c>
      <c r="D843" s="7" t="s">
        <v>2221</v>
      </c>
      <c r="E843" s="7" t="str">
        <f t="shared" si="39"/>
        <v>Mar</v>
      </c>
      <c r="F843" s="7" t="s">
        <v>2222</v>
      </c>
      <c r="G843" s="7" t="s">
        <v>44</v>
      </c>
      <c r="H843" s="7" t="s">
        <v>71</v>
      </c>
      <c r="I843" s="7" t="s">
        <v>20</v>
      </c>
      <c r="J843" s="7" t="s">
        <v>81</v>
      </c>
      <c r="K843" s="7" t="s">
        <v>67</v>
      </c>
      <c r="L843" s="7">
        <v>2868.28</v>
      </c>
      <c r="M843" s="7">
        <v>4</v>
      </c>
      <c r="N843" s="7">
        <v>0.17</v>
      </c>
      <c r="O843" s="7">
        <v>351.61</v>
      </c>
      <c r="P843" s="7" t="s">
        <v>23</v>
      </c>
      <c r="Q843" s="7" t="s">
        <v>24</v>
      </c>
      <c r="R843" s="7">
        <v>3</v>
      </c>
      <c r="S843" s="7">
        <f t="shared" si="40"/>
        <v>2025</v>
      </c>
      <c r="T843" s="7" t="str">
        <f t="shared" si="41"/>
        <v>Mar</v>
      </c>
    </row>
    <row r="844" spans="2:20" x14ac:dyDescent="0.3">
      <c r="B844" s="7">
        <v>843</v>
      </c>
      <c r="C844" s="7" t="s">
        <v>2223</v>
      </c>
      <c r="D844" s="7" t="s">
        <v>1271</v>
      </c>
      <c r="E844" s="7" t="str">
        <f t="shared" si="39"/>
        <v>Dec</v>
      </c>
      <c r="F844" s="7" t="s">
        <v>2224</v>
      </c>
      <c r="G844" s="7" t="s">
        <v>18</v>
      </c>
      <c r="H844" s="7" t="s">
        <v>71</v>
      </c>
      <c r="I844" s="7" t="s">
        <v>52</v>
      </c>
      <c r="J844" s="7" t="s">
        <v>81</v>
      </c>
      <c r="K844" s="7" t="s">
        <v>22</v>
      </c>
      <c r="L844" s="7">
        <v>1880.34</v>
      </c>
      <c r="M844" s="7">
        <v>4</v>
      </c>
      <c r="N844" s="7">
        <v>0.16</v>
      </c>
      <c r="O844" s="7">
        <v>190.11</v>
      </c>
      <c r="P844" s="7" t="s">
        <v>31</v>
      </c>
      <c r="Q844" s="7" t="s">
        <v>24</v>
      </c>
      <c r="R844" s="7">
        <v>2</v>
      </c>
      <c r="S844" s="7">
        <f t="shared" si="40"/>
        <v>2025</v>
      </c>
      <c r="T844" s="7" t="str">
        <f t="shared" si="41"/>
        <v>Dec</v>
      </c>
    </row>
    <row r="845" spans="2:20" x14ac:dyDescent="0.3">
      <c r="B845" s="7">
        <v>844</v>
      </c>
      <c r="C845" s="7" t="s">
        <v>2225</v>
      </c>
      <c r="D845" s="7" t="s">
        <v>1961</v>
      </c>
      <c r="E845" s="7" t="str">
        <f t="shared" si="39"/>
        <v>Nov</v>
      </c>
      <c r="F845" s="7" t="s">
        <v>2226</v>
      </c>
      <c r="G845" s="7" t="s">
        <v>18</v>
      </c>
      <c r="H845" s="7" t="s">
        <v>71</v>
      </c>
      <c r="I845" s="7" t="s">
        <v>106</v>
      </c>
      <c r="J845" s="7" t="s">
        <v>81</v>
      </c>
      <c r="K845" s="7" t="s">
        <v>60</v>
      </c>
      <c r="L845" s="7">
        <v>552.91</v>
      </c>
      <c r="M845" s="7">
        <v>1</v>
      </c>
      <c r="N845" s="7">
        <v>0.21</v>
      </c>
      <c r="O845" s="7">
        <v>177.42</v>
      </c>
      <c r="P845" s="7" t="s">
        <v>31</v>
      </c>
      <c r="Q845" s="7" t="s">
        <v>86</v>
      </c>
      <c r="R845" s="7">
        <v>8</v>
      </c>
      <c r="S845" s="7">
        <f t="shared" si="40"/>
        <v>2024</v>
      </c>
      <c r="T845" s="7" t="str">
        <f t="shared" si="41"/>
        <v>Nov</v>
      </c>
    </row>
    <row r="846" spans="2:20" x14ac:dyDescent="0.3">
      <c r="B846" s="7">
        <v>845</v>
      </c>
      <c r="C846" s="7" t="s">
        <v>2227</v>
      </c>
      <c r="D846" s="7" t="s">
        <v>1082</v>
      </c>
      <c r="E846" s="7" t="str">
        <f t="shared" si="39"/>
        <v>Oct</v>
      </c>
      <c r="F846" s="7" t="s">
        <v>2228</v>
      </c>
      <c r="G846" s="7" t="s">
        <v>36</v>
      </c>
      <c r="H846" s="7" t="s">
        <v>19</v>
      </c>
      <c r="I846" s="7" t="s">
        <v>106</v>
      </c>
      <c r="J846" s="7" t="s">
        <v>47</v>
      </c>
      <c r="K846" s="7" t="s">
        <v>60</v>
      </c>
      <c r="L846" s="7">
        <v>1410.45</v>
      </c>
      <c r="M846" s="7">
        <v>5</v>
      </c>
      <c r="N846" s="7">
        <v>0.25</v>
      </c>
      <c r="O846" s="7">
        <v>324.48</v>
      </c>
      <c r="P846" s="7" t="s">
        <v>23</v>
      </c>
      <c r="Q846" s="7" t="s">
        <v>77</v>
      </c>
      <c r="R846" s="7">
        <v>8</v>
      </c>
      <c r="S846" s="7">
        <f t="shared" si="40"/>
        <v>2024</v>
      </c>
      <c r="T846" s="7" t="str">
        <f t="shared" si="41"/>
        <v>Oct</v>
      </c>
    </row>
    <row r="847" spans="2:20" x14ac:dyDescent="0.3">
      <c r="B847" s="7">
        <v>846</v>
      </c>
      <c r="C847" s="7" t="s">
        <v>2229</v>
      </c>
      <c r="D847" s="7" t="s">
        <v>304</v>
      </c>
      <c r="E847" s="7" t="str">
        <f t="shared" si="39"/>
        <v>Jan</v>
      </c>
      <c r="F847" s="7" t="s">
        <v>2230</v>
      </c>
      <c r="G847" s="7" t="s">
        <v>18</v>
      </c>
      <c r="H847" s="7" t="s">
        <v>19</v>
      </c>
      <c r="I847" s="7" t="s">
        <v>59</v>
      </c>
      <c r="J847" s="7" t="s">
        <v>81</v>
      </c>
      <c r="K847" s="7" t="s">
        <v>72</v>
      </c>
      <c r="L847" s="7">
        <v>1994.14</v>
      </c>
      <c r="M847" s="7">
        <v>2</v>
      </c>
      <c r="N847" s="7">
        <v>0.25</v>
      </c>
      <c r="O847" s="7">
        <v>663.75</v>
      </c>
      <c r="P847" s="7" t="s">
        <v>31</v>
      </c>
      <c r="Q847" s="7" t="s">
        <v>32</v>
      </c>
      <c r="R847" s="7">
        <v>6</v>
      </c>
      <c r="S847" s="7">
        <f t="shared" si="40"/>
        <v>2025</v>
      </c>
      <c r="T847" s="7" t="str">
        <f t="shared" si="41"/>
        <v>Jan</v>
      </c>
    </row>
    <row r="848" spans="2:20" x14ac:dyDescent="0.3">
      <c r="B848" s="7">
        <v>847</v>
      </c>
      <c r="C848" s="7" t="s">
        <v>2231</v>
      </c>
      <c r="D848" s="7" t="s">
        <v>2232</v>
      </c>
      <c r="E848" s="7" t="str">
        <f t="shared" si="39"/>
        <v>Jan</v>
      </c>
      <c r="F848" s="7" t="s">
        <v>2233</v>
      </c>
      <c r="G848" s="7" t="s">
        <v>102</v>
      </c>
      <c r="H848" s="7" t="s">
        <v>71</v>
      </c>
      <c r="I848" s="7" t="s">
        <v>116</v>
      </c>
      <c r="J848" s="7" t="s">
        <v>81</v>
      </c>
      <c r="K848" s="7" t="s">
        <v>22</v>
      </c>
      <c r="L848" s="7">
        <v>821.65</v>
      </c>
      <c r="M848" s="7">
        <v>4</v>
      </c>
      <c r="N848" s="7">
        <v>0.16</v>
      </c>
      <c r="O848" s="7">
        <v>286.02999999999997</v>
      </c>
      <c r="P848" s="7" t="s">
        <v>54</v>
      </c>
      <c r="Q848" s="7" t="s">
        <v>86</v>
      </c>
      <c r="R848" s="7">
        <v>8</v>
      </c>
      <c r="S848" s="7">
        <f t="shared" si="40"/>
        <v>2025</v>
      </c>
      <c r="T848" s="7" t="str">
        <f t="shared" si="41"/>
        <v>Jan</v>
      </c>
    </row>
    <row r="849" spans="2:20" x14ac:dyDescent="0.3">
      <c r="B849" s="7">
        <v>848</v>
      </c>
      <c r="C849" s="7" t="s">
        <v>2234</v>
      </c>
      <c r="D849" s="7" t="s">
        <v>133</v>
      </c>
      <c r="E849" s="7" t="str">
        <f t="shared" si="39"/>
        <v>Sep</v>
      </c>
      <c r="F849" s="7" t="s">
        <v>2235</v>
      </c>
      <c r="G849" s="7" t="s">
        <v>36</v>
      </c>
      <c r="H849" s="7" t="s">
        <v>45</v>
      </c>
      <c r="I849" s="7" t="s">
        <v>46</v>
      </c>
      <c r="J849" s="7" t="s">
        <v>47</v>
      </c>
      <c r="K849" s="7" t="s">
        <v>30</v>
      </c>
      <c r="L849" s="7">
        <v>395.81</v>
      </c>
      <c r="M849" s="7">
        <v>1</v>
      </c>
      <c r="N849" s="7">
        <v>0.01</v>
      </c>
      <c r="O849" s="7">
        <v>97.85</v>
      </c>
      <c r="P849" s="7" t="s">
        <v>23</v>
      </c>
      <c r="Q849" s="7" t="s">
        <v>86</v>
      </c>
      <c r="R849" s="7">
        <v>10</v>
      </c>
      <c r="S849" s="7">
        <f t="shared" si="40"/>
        <v>2025</v>
      </c>
      <c r="T849" s="7" t="str">
        <f t="shared" si="41"/>
        <v>Sep</v>
      </c>
    </row>
    <row r="850" spans="2:20" x14ac:dyDescent="0.3">
      <c r="B850" s="7">
        <v>849</v>
      </c>
      <c r="C850" s="7" t="s">
        <v>2236</v>
      </c>
      <c r="D850" s="7" t="s">
        <v>2237</v>
      </c>
      <c r="E850" s="7" t="str">
        <f t="shared" si="39"/>
        <v>Sep</v>
      </c>
      <c r="F850" s="7" t="s">
        <v>2238</v>
      </c>
      <c r="G850" s="7" t="s">
        <v>102</v>
      </c>
      <c r="H850" s="7" t="s">
        <v>58</v>
      </c>
      <c r="I850" s="7" t="s">
        <v>116</v>
      </c>
      <c r="J850" s="7" t="s">
        <v>66</v>
      </c>
      <c r="K850" s="7" t="s">
        <v>22</v>
      </c>
      <c r="L850" s="7">
        <v>1555.34</v>
      </c>
      <c r="M850" s="7">
        <v>2</v>
      </c>
      <c r="N850" s="7">
        <v>0.17</v>
      </c>
      <c r="O850" s="7">
        <v>190.14</v>
      </c>
      <c r="P850" s="7" t="s">
        <v>31</v>
      </c>
      <c r="Q850" s="7" t="s">
        <v>40</v>
      </c>
      <c r="R850" s="7">
        <v>5</v>
      </c>
      <c r="S850" s="7">
        <f t="shared" si="40"/>
        <v>2025</v>
      </c>
      <c r="T850" s="7" t="str">
        <f t="shared" si="41"/>
        <v>Sep</v>
      </c>
    </row>
    <row r="851" spans="2:20" x14ac:dyDescent="0.3">
      <c r="B851" s="7">
        <v>850</v>
      </c>
      <c r="C851" s="7" t="s">
        <v>2239</v>
      </c>
      <c r="D851" s="7" t="s">
        <v>563</v>
      </c>
      <c r="E851" s="7" t="str">
        <f t="shared" si="39"/>
        <v>Sep</v>
      </c>
      <c r="F851" s="7" t="s">
        <v>2240</v>
      </c>
      <c r="G851" s="7" t="s">
        <v>102</v>
      </c>
      <c r="H851" s="7" t="s">
        <v>71</v>
      </c>
      <c r="I851" s="7" t="s">
        <v>52</v>
      </c>
      <c r="J851" s="7" t="s">
        <v>29</v>
      </c>
      <c r="K851" s="7" t="s">
        <v>60</v>
      </c>
      <c r="L851" s="7">
        <v>1550.13</v>
      </c>
      <c r="M851" s="7">
        <v>2</v>
      </c>
      <c r="N851" s="7">
        <v>0.06</v>
      </c>
      <c r="O851" s="7">
        <v>245.97</v>
      </c>
      <c r="P851" s="7" t="s">
        <v>31</v>
      </c>
      <c r="Q851" s="7" t="s">
        <v>40</v>
      </c>
      <c r="R851" s="7">
        <v>10</v>
      </c>
      <c r="S851" s="7">
        <f t="shared" si="40"/>
        <v>2024</v>
      </c>
      <c r="T851" s="7" t="str">
        <f t="shared" si="41"/>
        <v>Sep</v>
      </c>
    </row>
    <row r="852" spans="2:20" x14ac:dyDescent="0.3">
      <c r="B852" s="7">
        <v>851</v>
      </c>
      <c r="C852" s="7" t="s">
        <v>2241</v>
      </c>
      <c r="D852" s="7" t="s">
        <v>1613</v>
      </c>
      <c r="E852" s="7" t="str">
        <f t="shared" si="39"/>
        <v>Oct</v>
      </c>
      <c r="F852" s="7" t="s">
        <v>2242</v>
      </c>
      <c r="G852" s="7" t="s">
        <v>44</v>
      </c>
      <c r="H852" s="7" t="s">
        <v>71</v>
      </c>
      <c r="I852" s="7" t="s">
        <v>20</v>
      </c>
      <c r="J852" s="7" t="s">
        <v>66</v>
      </c>
      <c r="K852" s="7" t="s">
        <v>76</v>
      </c>
      <c r="L852" s="7">
        <v>1777.45</v>
      </c>
      <c r="M852" s="7">
        <v>4</v>
      </c>
      <c r="N852" s="7">
        <v>0.03</v>
      </c>
      <c r="O852" s="7">
        <v>558.6</v>
      </c>
      <c r="P852" s="7" t="s">
        <v>23</v>
      </c>
      <c r="Q852" s="7" t="s">
        <v>32</v>
      </c>
      <c r="R852" s="7">
        <v>7</v>
      </c>
      <c r="S852" s="7">
        <f t="shared" si="40"/>
        <v>2024</v>
      </c>
      <c r="T852" s="7" t="str">
        <f t="shared" si="41"/>
        <v>Oct</v>
      </c>
    </row>
    <row r="853" spans="2:20" x14ac:dyDescent="0.3">
      <c r="B853" s="7">
        <v>852</v>
      </c>
      <c r="C853" s="7" t="s">
        <v>2243</v>
      </c>
      <c r="D853" s="7" t="s">
        <v>2244</v>
      </c>
      <c r="E853" s="7" t="str">
        <f t="shared" si="39"/>
        <v>Feb</v>
      </c>
      <c r="F853" s="7" t="s">
        <v>2245</v>
      </c>
      <c r="G853" s="7" t="s">
        <v>64</v>
      </c>
      <c r="H853" s="7" t="s">
        <v>71</v>
      </c>
      <c r="I853" s="7" t="s">
        <v>20</v>
      </c>
      <c r="J853" s="7" t="s">
        <v>21</v>
      </c>
      <c r="K853" s="7" t="s">
        <v>22</v>
      </c>
      <c r="L853" s="7">
        <v>1318.69</v>
      </c>
      <c r="M853" s="7">
        <v>5</v>
      </c>
      <c r="N853" s="7">
        <v>0.1</v>
      </c>
      <c r="O853" s="7">
        <v>385.07</v>
      </c>
      <c r="P853" s="7" t="s">
        <v>31</v>
      </c>
      <c r="Q853" s="7" t="s">
        <v>86</v>
      </c>
      <c r="R853" s="7">
        <v>6</v>
      </c>
      <c r="S853" s="7">
        <f t="shared" si="40"/>
        <v>2025</v>
      </c>
      <c r="T853" s="7" t="str">
        <f t="shared" si="41"/>
        <v>Feb</v>
      </c>
    </row>
    <row r="854" spans="2:20" x14ac:dyDescent="0.3">
      <c r="B854" s="7">
        <v>853</v>
      </c>
      <c r="C854" s="7" t="s">
        <v>2246</v>
      </c>
      <c r="D854" s="7" t="s">
        <v>894</v>
      </c>
      <c r="E854" s="7" t="str">
        <f t="shared" si="39"/>
        <v>May</v>
      </c>
      <c r="F854" s="7" t="s">
        <v>2247</v>
      </c>
      <c r="G854" s="7" t="s">
        <v>102</v>
      </c>
      <c r="H854" s="7" t="s">
        <v>37</v>
      </c>
      <c r="I854" s="7" t="s">
        <v>59</v>
      </c>
      <c r="J854" s="7" t="s">
        <v>21</v>
      </c>
      <c r="K854" s="7" t="s">
        <v>76</v>
      </c>
      <c r="L854" s="7">
        <v>815.09</v>
      </c>
      <c r="M854" s="7">
        <v>2</v>
      </c>
      <c r="N854" s="7">
        <v>0.14000000000000001</v>
      </c>
      <c r="O854" s="7">
        <v>245.37</v>
      </c>
      <c r="P854" s="7" t="s">
        <v>54</v>
      </c>
      <c r="Q854" s="7" t="s">
        <v>77</v>
      </c>
      <c r="R854" s="7">
        <v>1</v>
      </c>
      <c r="S854" s="7">
        <f t="shared" si="40"/>
        <v>2024</v>
      </c>
      <c r="T854" s="7" t="str">
        <f t="shared" si="41"/>
        <v>May</v>
      </c>
    </row>
    <row r="855" spans="2:20" x14ac:dyDescent="0.3">
      <c r="B855" s="7">
        <v>854</v>
      </c>
      <c r="C855" s="7" t="s">
        <v>2248</v>
      </c>
      <c r="D855" s="7" t="s">
        <v>1543</v>
      </c>
      <c r="E855" s="7" t="str">
        <f t="shared" si="39"/>
        <v>Jan</v>
      </c>
      <c r="F855" s="7" t="s">
        <v>2249</v>
      </c>
      <c r="G855" s="7" t="s">
        <v>18</v>
      </c>
      <c r="H855" s="7" t="s">
        <v>71</v>
      </c>
      <c r="I855" s="7" t="s">
        <v>20</v>
      </c>
      <c r="J855" s="7" t="s">
        <v>81</v>
      </c>
      <c r="K855" s="7" t="s">
        <v>67</v>
      </c>
      <c r="L855" s="7">
        <v>3144.96</v>
      </c>
      <c r="M855" s="7">
        <v>4</v>
      </c>
      <c r="N855" s="7">
        <v>0.21</v>
      </c>
      <c r="O855" s="7">
        <v>682.64</v>
      </c>
      <c r="P855" s="7" t="s">
        <v>31</v>
      </c>
      <c r="Q855" s="7" t="s">
        <v>86</v>
      </c>
      <c r="R855" s="7">
        <v>6</v>
      </c>
      <c r="S855" s="7">
        <f t="shared" si="40"/>
        <v>2025</v>
      </c>
      <c r="T855" s="7" t="str">
        <f t="shared" si="41"/>
        <v>Jan</v>
      </c>
    </row>
    <row r="856" spans="2:20" x14ac:dyDescent="0.3">
      <c r="B856" s="7">
        <v>855</v>
      </c>
      <c r="C856" s="7" t="s">
        <v>2250</v>
      </c>
      <c r="D856" s="7" t="s">
        <v>2251</v>
      </c>
      <c r="E856" s="7" t="str">
        <f t="shared" si="39"/>
        <v>Jun</v>
      </c>
      <c r="F856" s="7" t="s">
        <v>2252</v>
      </c>
      <c r="G856" s="7" t="s">
        <v>64</v>
      </c>
      <c r="H856" s="7" t="s">
        <v>37</v>
      </c>
      <c r="I856" s="7" t="s">
        <v>52</v>
      </c>
      <c r="J856" s="7" t="s">
        <v>81</v>
      </c>
      <c r="K856" s="7" t="s">
        <v>67</v>
      </c>
      <c r="L856" s="7">
        <v>2935.72</v>
      </c>
      <c r="M856" s="7">
        <v>3</v>
      </c>
      <c r="N856" s="7">
        <v>0.09</v>
      </c>
      <c r="O856" s="7">
        <v>535.05999999999995</v>
      </c>
      <c r="P856" s="7" t="s">
        <v>54</v>
      </c>
      <c r="Q856" s="7" t="s">
        <v>40</v>
      </c>
      <c r="R856" s="7">
        <v>3</v>
      </c>
      <c r="S856" s="7">
        <f t="shared" si="40"/>
        <v>2025</v>
      </c>
      <c r="T856" s="7" t="str">
        <f t="shared" si="41"/>
        <v>Jun</v>
      </c>
    </row>
    <row r="857" spans="2:20" x14ac:dyDescent="0.3">
      <c r="B857" s="7">
        <v>856</v>
      </c>
      <c r="C857" s="7" t="s">
        <v>2253</v>
      </c>
      <c r="D857" s="7" t="s">
        <v>2041</v>
      </c>
      <c r="E857" s="7" t="str">
        <f t="shared" si="39"/>
        <v>Jan</v>
      </c>
      <c r="F857" s="7" t="s">
        <v>2254</v>
      </c>
      <c r="G857" s="7" t="s">
        <v>36</v>
      </c>
      <c r="H857" s="7" t="s">
        <v>58</v>
      </c>
      <c r="I857" s="7" t="s">
        <v>106</v>
      </c>
      <c r="J857" s="7" t="s">
        <v>81</v>
      </c>
      <c r="K857" s="7" t="s">
        <v>76</v>
      </c>
      <c r="L857" s="7">
        <v>2571.27</v>
      </c>
      <c r="M857" s="7">
        <v>3</v>
      </c>
      <c r="N857" s="7">
        <v>0.14000000000000001</v>
      </c>
      <c r="O857" s="7">
        <v>618.76</v>
      </c>
      <c r="P857" s="7" t="s">
        <v>31</v>
      </c>
      <c r="Q857" s="7" t="s">
        <v>40</v>
      </c>
      <c r="R857" s="7">
        <v>8</v>
      </c>
      <c r="S857" s="7">
        <f t="shared" si="40"/>
        <v>2024</v>
      </c>
      <c r="T857" s="7" t="str">
        <f t="shared" si="41"/>
        <v>Jan</v>
      </c>
    </row>
    <row r="858" spans="2:20" x14ac:dyDescent="0.3">
      <c r="B858" s="7">
        <v>857</v>
      </c>
      <c r="C858" s="7" t="s">
        <v>2255</v>
      </c>
      <c r="D858" s="7" t="s">
        <v>1289</v>
      </c>
      <c r="E858" s="7" t="str">
        <f t="shared" si="39"/>
        <v>Sep</v>
      </c>
      <c r="F858" s="7" t="s">
        <v>2256</v>
      </c>
      <c r="G858" s="7" t="s">
        <v>44</v>
      </c>
      <c r="H858" s="7" t="s">
        <v>19</v>
      </c>
      <c r="I858" s="7" t="s">
        <v>106</v>
      </c>
      <c r="J858" s="7" t="s">
        <v>66</v>
      </c>
      <c r="K858" s="7" t="s">
        <v>76</v>
      </c>
      <c r="L858" s="7">
        <v>1555.05</v>
      </c>
      <c r="M858" s="7">
        <v>3</v>
      </c>
      <c r="N858" s="7">
        <v>0.04</v>
      </c>
      <c r="O858" s="7">
        <v>318.11</v>
      </c>
      <c r="P858" s="7" t="s">
        <v>23</v>
      </c>
      <c r="Q858" s="7" t="s">
        <v>24</v>
      </c>
      <c r="R858" s="7">
        <v>4</v>
      </c>
      <c r="S858" s="7">
        <f t="shared" si="40"/>
        <v>2024</v>
      </c>
      <c r="T858" s="7" t="str">
        <f t="shared" si="41"/>
        <v>Sep</v>
      </c>
    </row>
    <row r="859" spans="2:20" x14ac:dyDescent="0.3">
      <c r="B859" s="7">
        <v>858</v>
      </c>
      <c r="C859" s="7" t="s">
        <v>2257</v>
      </c>
      <c r="D859" s="7" t="s">
        <v>701</v>
      </c>
      <c r="E859" s="7" t="str">
        <f t="shared" si="39"/>
        <v>Mar</v>
      </c>
      <c r="F859" s="7" t="s">
        <v>2258</v>
      </c>
      <c r="G859" s="7" t="s">
        <v>102</v>
      </c>
      <c r="H859" s="7" t="s">
        <v>71</v>
      </c>
      <c r="I859" s="7" t="s">
        <v>46</v>
      </c>
      <c r="J859" s="7" t="s">
        <v>66</v>
      </c>
      <c r="K859" s="7" t="s">
        <v>30</v>
      </c>
      <c r="L859" s="7">
        <v>977.5</v>
      </c>
      <c r="M859" s="7">
        <v>2</v>
      </c>
      <c r="N859" s="7">
        <v>0.04</v>
      </c>
      <c r="O859" s="7">
        <v>104.45</v>
      </c>
      <c r="P859" s="7" t="s">
        <v>54</v>
      </c>
      <c r="Q859" s="7" t="s">
        <v>32</v>
      </c>
      <c r="R859" s="7">
        <v>6</v>
      </c>
      <c r="S859" s="7">
        <f t="shared" si="40"/>
        <v>2024</v>
      </c>
      <c r="T859" s="7" t="str">
        <f t="shared" si="41"/>
        <v>Mar</v>
      </c>
    </row>
    <row r="860" spans="2:20" x14ac:dyDescent="0.3">
      <c r="B860" s="7">
        <v>859</v>
      </c>
      <c r="C860" s="7" t="s">
        <v>2259</v>
      </c>
      <c r="D860" s="7" t="s">
        <v>1198</v>
      </c>
      <c r="E860" s="7" t="str">
        <f t="shared" si="39"/>
        <v>Dec</v>
      </c>
      <c r="F860" s="7" t="s">
        <v>2260</v>
      </c>
      <c r="G860" s="7" t="s">
        <v>44</v>
      </c>
      <c r="H860" s="7" t="s">
        <v>37</v>
      </c>
      <c r="I860" s="7" t="s">
        <v>52</v>
      </c>
      <c r="J860" s="7" t="s">
        <v>66</v>
      </c>
      <c r="K860" s="7" t="s">
        <v>22</v>
      </c>
      <c r="L860" s="7">
        <v>1329.75</v>
      </c>
      <c r="M860" s="7">
        <v>4</v>
      </c>
      <c r="N860" s="7">
        <v>0.04</v>
      </c>
      <c r="O860" s="7">
        <v>172.64</v>
      </c>
      <c r="P860" s="7" t="s">
        <v>31</v>
      </c>
      <c r="Q860" s="7" t="s">
        <v>77</v>
      </c>
      <c r="R860" s="7">
        <v>7</v>
      </c>
      <c r="S860" s="7">
        <f t="shared" si="40"/>
        <v>2024</v>
      </c>
      <c r="T860" s="7" t="str">
        <f t="shared" si="41"/>
        <v>Dec</v>
      </c>
    </row>
    <row r="861" spans="2:20" x14ac:dyDescent="0.3">
      <c r="B861" s="7">
        <v>860</v>
      </c>
      <c r="C861" s="7" t="s">
        <v>2261</v>
      </c>
      <c r="D861" s="7" t="s">
        <v>2046</v>
      </c>
      <c r="E861" s="7" t="str">
        <f t="shared" si="39"/>
        <v>Jul</v>
      </c>
      <c r="F861" s="7" t="s">
        <v>2262</v>
      </c>
      <c r="G861" s="7" t="s">
        <v>18</v>
      </c>
      <c r="H861" s="7" t="s">
        <v>58</v>
      </c>
      <c r="I861" s="7" t="s">
        <v>28</v>
      </c>
      <c r="J861" s="7" t="s">
        <v>47</v>
      </c>
      <c r="K861" s="7" t="s">
        <v>53</v>
      </c>
      <c r="L861" s="7">
        <v>292.95999999999998</v>
      </c>
      <c r="M861" s="7">
        <v>1</v>
      </c>
      <c r="N861" s="7">
        <v>0.25</v>
      </c>
      <c r="O861" s="7">
        <v>47.7</v>
      </c>
      <c r="P861" s="7" t="s">
        <v>54</v>
      </c>
      <c r="Q861" s="7" t="s">
        <v>32</v>
      </c>
      <c r="R861" s="7">
        <v>2</v>
      </c>
      <c r="S861" s="7">
        <f t="shared" si="40"/>
        <v>2025</v>
      </c>
      <c r="T861" s="7" t="str">
        <f t="shared" si="41"/>
        <v>Jul</v>
      </c>
    </row>
    <row r="862" spans="2:20" x14ac:dyDescent="0.3">
      <c r="B862" s="7">
        <v>861</v>
      </c>
      <c r="C862" s="7" t="s">
        <v>2263</v>
      </c>
      <c r="D862" s="7" t="s">
        <v>2264</v>
      </c>
      <c r="E862" s="7" t="str">
        <f t="shared" si="39"/>
        <v>Mar</v>
      </c>
      <c r="F862" s="7" t="s">
        <v>2265</v>
      </c>
      <c r="G862" s="7" t="s">
        <v>64</v>
      </c>
      <c r="H862" s="7" t="s">
        <v>37</v>
      </c>
      <c r="I862" s="7" t="s">
        <v>28</v>
      </c>
      <c r="J862" s="7" t="s">
        <v>66</v>
      </c>
      <c r="K862" s="7" t="s">
        <v>39</v>
      </c>
      <c r="L862" s="7">
        <v>518.95000000000005</v>
      </c>
      <c r="M862" s="7">
        <v>1</v>
      </c>
      <c r="N862" s="7">
        <v>0.02</v>
      </c>
      <c r="O862" s="7">
        <v>158.56</v>
      </c>
      <c r="P862" s="7" t="s">
        <v>23</v>
      </c>
      <c r="Q862" s="7" t="s">
        <v>32</v>
      </c>
      <c r="R862" s="7">
        <v>1</v>
      </c>
      <c r="S862" s="7">
        <f t="shared" si="40"/>
        <v>2024</v>
      </c>
      <c r="T862" s="7" t="str">
        <f t="shared" si="41"/>
        <v>Mar</v>
      </c>
    </row>
    <row r="863" spans="2:20" x14ac:dyDescent="0.3">
      <c r="B863" s="7">
        <v>862</v>
      </c>
      <c r="C863" s="7" t="s">
        <v>2266</v>
      </c>
      <c r="D863" s="7" t="s">
        <v>596</v>
      </c>
      <c r="E863" s="7" t="str">
        <f t="shared" si="39"/>
        <v>Jan</v>
      </c>
      <c r="F863" s="7" t="s">
        <v>2267</v>
      </c>
      <c r="G863" s="7" t="s">
        <v>36</v>
      </c>
      <c r="H863" s="7" t="s">
        <v>65</v>
      </c>
      <c r="I863" s="7" t="s">
        <v>20</v>
      </c>
      <c r="J863" s="7" t="s">
        <v>47</v>
      </c>
      <c r="K863" s="7" t="s">
        <v>30</v>
      </c>
      <c r="L863" s="7">
        <v>136.35</v>
      </c>
      <c r="M863" s="7">
        <v>2</v>
      </c>
      <c r="N863" s="7">
        <v>0.05</v>
      </c>
      <c r="O863" s="7">
        <v>40.78</v>
      </c>
      <c r="P863" s="7" t="s">
        <v>31</v>
      </c>
      <c r="Q863" s="7" t="s">
        <v>86</v>
      </c>
      <c r="R863" s="7">
        <v>6</v>
      </c>
      <c r="S863" s="7">
        <f t="shared" si="40"/>
        <v>2024</v>
      </c>
      <c r="T863" s="7" t="str">
        <f t="shared" si="41"/>
        <v>Jan</v>
      </c>
    </row>
    <row r="864" spans="2:20" x14ac:dyDescent="0.3">
      <c r="B864" s="7">
        <v>863</v>
      </c>
      <c r="C864" s="7" t="s">
        <v>2268</v>
      </c>
      <c r="D864" s="7" t="s">
        <v>133</v>
      </c>
      <c r="E864" s="7" t="str">
        <f t="shared" si="39"/>
        <v>Sep</v>
      </c>
      <c r="F864" s="7" t="s">
        <v>2269</v>
      </c>
      <c r="G864" s="7" t="s">
        <v>64</v>
      </c>
      <c r="H864" s="7" t="s">
        <v>51</v>
      </c>
      <c r="I864" s="7" t="s">
        <v>28</v>
      </c>
      <c r="J864" s="7" t="s">
        <v>21</v>
      </c>
      <c r="K864" s="7" t="s">
        <v>53</v>
      </c>
      <c r="L864" s="7">
        <v>874.34</v>
      </c>
      <c r="M864" s="7">
        <v>1</v>
      </c>
      <c r="N864" s="7">
        <v>0.15</v>
      </c>
      <c r="O864" s="7">
        <v>232.43</v>
      </c>
      <c r="P864" s="7" t="s">
        <v>31</v>
      </c>
      <c r="Q864" s="7" t="s">
        <v>24</v>
      </c>
      <c r="R864" s="7">
        <v>8</v>
      </c>
      <c r="S864" s="7">
        <f t="shared" si="40"/>
        <v>2025</v>
      </c>
      <c r="T864" s="7" t="str">
        <f t="shared" si="41"/>
        <v>Sep</v>
      </c>
    </row>
    <row r="865" spans="2:20" x14ac:dyDescent="0.3">
      <c r="B865" s="7">
        <v>864</v>
      </c>
      <c r="C865" s="7" t="s">
        <v>2270</v>
      </c>
      <c r="D865" s="7" t="s">
        <v>2271</v>
      </c>
      <c r="E865" s="7" t="str">
        <f t="shared" si="39"/>
        <v>Dec</v>
      </c>
      <c r="F865" s="7" t="s">
        <v>2272</v>
      </c>
      <c r="G865" s="7" t="s">
        <v>102</v>
      </c>
      <c r="H865" s="7" t="s">
        <v>19</v>
      </c>
      <c r="I865" s="7" t="s">
        <v>46</v>
      </c>
      <c r="J865" s="7" t="s">
        <v>47</v>
      </c>
      <c r="K865" s="7" t="s">
        <v>82</v>
      </c>
      <c r="L865" s="7">
        <v>1244.3</v>
      </c>
      <c r="M865" s="7">
        <v>4</v>
      </c>
      <c r="N865" s="7">
        <v>0.1</v>
      </c>
      <c r="O865" s="7">
        <v>145.6</v>
      </c>
      <c r="P865" s="7" t="s">
        <v>23</v>
      </c>
      <c r="Q865" s="7" t="s">
        <v>86</v>
      </c>
      <c r="R865" s="7">
        <v>3</v>
      </c>
      <c r="S865" s="7">
        <f t="shared" si="40"/>
        <v>2024</v>
      </c>
      <c r="T865" s="7" t="str">
        <f t="shared" si="41"/>
        <v>Dec</v>
      </c>
    </row>
    <row r="866" spans="2:20" x14ac:dyDescent="0.3">
      <c r="B866" s="7">
        <v>865</v>
      </c>
      <c r="C866" s="7" t="s">
        <v>2273</v>
      </c>
      <c r="D866" s="7" t="s">
        <v>2274</v>
      </c>
      <c r="E866" s="7" t="str">
        <f t="shared" si="39"/>
        <v>Nov</v>
      </c>
      <c r="F866" s="7" t="s">
        <v>2275</v>
      </c>
      <c r="G866" s="7" t="s">
        <v>36</v>
      </c>
      <c r="H866" s="7" t="s">
        <v>51</v>
      </c>
      <c r="I866" s="7" t="s">
        <v>28</v>
      </c>
      <c r="J866" s="7" t="s">
        <v>21</v>
      </c>
      <c r="K866" s="7" t="s">
        <v>67</v>
      </c>
      <c r="L866" s="7">
        <v>3009.49</v>
      </c>
      <c r="M866" s="7">
        <v>4</v>
      </c>
      <c r="N866" s="7">
        <v>0.16</v>
      </c>
      <c r="O866" s="7">
        <v>308.73</v>
      </c>
      <c r="P866" s="7" t="s">
        <v>54</v>
      </c>
      <c r="Q866" s="7" t="s">
        <v>40</v>
      </c>
      <c r="R866" s="7">
        <v>9</v>
      </c>
      <c r="S866" s="7">
        <f t="shared" si="40"/>
        <v>2025</v>
      </c>
      <c r="T866" s="7" t="str">
        <f t="shared" si="41"/>
        <v>Nov</v>
      </c>
    </row>
    <row r="867" spans="2:20" x14ac:dyDescent="0.3">
      <c r="B867" s="7">
        <v>866</v>
      </c>
      <c r="C867" s="7" t="s">
        <v>2276</v>
      </c>
      <c r="D867" s="7" t="s">
        <v>997</v>
      </c>
      <c r="E867" s="7" t="str">
        <f t="shared" si="39"/>
        <v>Feb</v>
      </c>
      <c r="F867" s="7" t="s">
        <v>2277</v>
      </c>
      <c r="G867" s="7" t="s">
        <v>36</v>
      </c>
      <c r="H867" s="7" t="s">
        <v>19</v>
      </c>
      <c r="I867" s="7" t="s">
        <v>52</v>
      </c>
      <c r="J867" s="7" t="s">
        <v>29</v>
      </c>
      <c r="K867" s="7" t="s">
        <v>30</v>
      </c>
      <c r="L867" s="7">
        <v>3845.73</v>
      </c>
      <c r="M867" s="7">
        <v>4</v>
      </c>
      <c r="N867" s="7">
        <v>0.28999999999999998</v>
      </c>
      <c r="O867" s="7">
        <v>688.31</v>
      </c>
      <c r="P867" s="7" t="s">
        <v>54</v>
      </c>
      <c r="Q867" s="7" t="s">
        <v>32</v>
      </c>
      <c r="R867" s="7">
        <v>5</v>
      </c>
      <c r="S867" s="7">
        <f t="shared" si="40"/>
        <v>2024</v>
      </c>
      <c r="T867" s="7" t="str">
        <f t="shared" si="41"/>
        <v>Feb</v>
      </c>
    </row>
    <row r="868" spans="2:20" x14ac:dyDescent="0.3">
      <c r="B868" s="7">
        <v>867</v>
      </c>
      <c r="C868" s="7" t="s">
        <v>2278</v>
      </c>
      <c r="D868" s="7" t="s">
        <v>2279</v>
      </c>
      <c r="E868" s="7" t="str">
        <f t="shared" si="39"/>
        <v>Mar</v>
      </c>
      <c r="F868" s="7" t="s">
        <v>2280</v>
      </c>
      <c r="G868" s="7" t="s">
        <v>44</v>
      </c>
      <c r="H868" s="7" t="s">
        <v>45</v>
      </c>
      <c r="I868" s="7" t="s">
        <v>28</v>
      </c>
      <c r="J868" s="7" t="s">
        <v>29</v>
      </c>
      <c r="K868" s="7" t="s">
        <v>22</v>
      </c>
      <c r="L868" s="7">
        <v>2245.48</v>
      </c>
      <c r="M868" s="7">
        <v>3</v>
      </c>
      <c r="N868" s="7">
        <v>0.11</v>
      </c>
      <c r="O868" s="7">
        <v>707.71</v>
      </c>
      <c r="P868" s="7" t="s">
        <v>23</v>
      </c>
      <c r="Q868" s="7" t="s">
        <v>40</v>
      </c>
      <c r="R868" s="7">
        <v>7</v>
      </c>
      <c r="S868" s="7">
        <f t="shared" si="40"/>
        <v>2024</v>
      </c>
      <c r="T868" s="7" t="str">
        <f t="shared" si="41"/>
        <v>Mar</v>
      </c>
    </row>
    <row r="869" spans="2:20" x14ac:dyDescent="0.3">
      <c r="B869" s="7">
        <v>868</v>
      </c>
      <c r="C869" s="7" t="s">
        <v>2281</v>
      </c>
      <c r="D869" s="7" t="s">
        <v>2131</v>
      </c>
      <c r="E869" s="7" t="str">
        <f t="shared" si="39"/>
        <v>Apr</v>
      </c>
      <c r="F869" s="7" t="s">
        <v>2282</v>
      </c>
      <c r="G869" s="7" t="s">
        <v>102</v>
      </c>
      <c r="H869" s="7" t="s">
        <v>65</v>
      </c>
      <c r="I869" s="7" t="s">
        <v>52</v>
      </c>
      <c r="J869" s="7" t="s">
        <v>66</v>
      </c>
      <c r="K869" s="7" t="s">
        <v>60</v>
      </c>
      <c r="L869" s="7">
        <v>123.44</v>
      </c>
      <c r="M869" s="7">
        <v>5</v>
      </c>
      <c r="N869" s="7">
        <v>0.28000000000000003</v>
      </c>
      <c r="O869" s="7">
        <v>40.69</v>
      </c>
      <c r="P869" s="7" t="s">
        <v>31</v>
      </c>
      <c r="Q869" s="7" t="s">
        <v>24</v>
      </c>
      <c r="R869" s="7">
        <v>10</v>
      </c>
      <c r="S869" s="7">
        <f t="shared" si="40"/>
        <v>2024</v>
      </c>
      <c r="T869" s="7" t="str">
        <f t="shared" si="41"/>
        <v>Apr</v>
      </c>
    </row>
    <row r="870" spans="2:20" x14ac:dyDescent="0.3">
      <c r="B870" s="7">
        <v>869</v>
      </c>
      <c r="C870" s="7" t="s">
        <v>2283</v>
      </c>
      <c r="D870" s="7" t="s">
        <v>1076</v>
      </c>
      <c r="E870" s="7" t="str">
        <f t="shared" si="39"/>
        <v>Feb</v>
      </c>
      <c r="F870" s="7" t="s">
        <v>2284</v>
      </c>
      <c r="G870" s="7" t="s">
        <v>44</v>
      </c>
      <c r="H870" s="7" t="s">
        <v>19</v>
      </c>
      <c r="I870" s="7" t="s">
        <v>106</v>
      </c>
      <c r="J870" s="7" t="s">
        <v>66</v>
      </c>
      <c r="K870" s="7" t="s">
        <v>72</v>
      </c>
      <c r="L870" s="7">
        <v>3770.27</v>
      </c>
      <c r="M870" s="7">
        <v>5</v>
      </c>
      <c r="N870" s="7">
        <v>0.17</v>
      </c>
      <c r="O870" s="7">
        <v>784.95</v>
      </c>
      <c r="P870" s="7" t="s">
        <v>31</v>
      </c>
      <c r="Q870" s="7" t="s">
        <v>86</v>
      </c>
      <c r="R870" s="7">
        <v>2</v>
      </c>
      <c r="S870" s="7">
        <f t="shared" si="40"/>
        <v>2025</v>
      </c>
      <c r="T870" s="7" t="str">
        <f t="shared" si="41"/>
        <v>Feb</v>
      </c>
    </row>
    <row r="871" spans="2:20" x14ac:dyDescent="0.3">
      <c r="B871" s="7">
        <v>870</v>
      </c>
      <c r="C871" s="7" t="s">
        <v>2285</v>
      </c>
      <c r="D871" s="7" t="s">
        <v>2286</v>
      </c>
      <c r="E871" s="7" t="str">
        <f t="shared" si="39"/>
        <v>Oct</v>
      </c>
      <c r="F871" s="7" t="s">
        <v>1236</v>
      </c>
      <c r="G871" s="7" t="s">
        <v>18</v>
      </c>
      <c r="H871" s="7" t="s">
        <v>45</v>
      </c>
      <c r="I871" s="7" t="s">
        <v>116</v>
      </c>
      <c r="J871" s="7" t="s">
        <v>29</v>
      </c>
      <c r="K871" s="7" t="s">
        <v>39</v>
      </c>
      <c r="L871" s="7">
        <v>2939.88</v>
      </c>
      <c r="M871" s="7">
        <v>3</v>
      </c>
      <c r="N871" s="7">
        <v>0.12</v>
      </c>
      <c r="O871" s="7">
        <v>940.96</v>
      </c>
      <c r="P871" s="7" t="s">
        <v>54</v>
      </c>
      <c r="Q871" s="7" t="s">
        <v>24</v>
      </c>
      <c r="R871" s="7">
        <v>7</v>
      </c>
      <c r="S871" s="7">
        <f t="shared" si="40"/>
        <v>2025</v>
      </c>
      <c r="T871" s="7" t="str">
        <f t="shared" si="41"/>
        <v>Oct</v>
      </c>
    </row>
    <row r="872" spans="2:20" x14ac:dyDescent="0.3">
      <c r="B872" s="7">
        <v>871</v>
      </c>
      <c r="C872" s="7" t="s">
        <v>2287</v>
      </c>
      <c r="D872" s="7" t="s">
        <v>2288</v>
      </c>
      <c r="E872" s="7" t="str">
        <f t="shared" si="39"/>
        <v>Nov</v>
      </c>
      <c r="F872" s="7" t="s">
        <v>2289</v>
      </c>
      <c r="G872" s="7" t="s">
        <v>102</v>
      </c>
      <c r="H872" s="7" t="s">
        <v>51</v>
      </c>
      <c r="I872" s="7" t="s">
        <v>52</v>
      </c>
      <c r="J872" s="7" t="s">
        <v>21</v>
      </c>
      <c r="K872" s="7" t="s">
        <v>39</v>
      </c>
      <c r="L872" s="7">
        <v>756.44</v>
      </c>
      <c r="M872" s="7">
        <v>1</v>
      </c>
      <c r="N872" s="7">
        <v>0.28000000000000003</v>
      </c>
      <c r="O872" s="7">
        <v>257.37</v>
      </c>
      <c r="P872" s="7" t="s">
        <v>23</v>
      </c>
      <c r="Q872" s="7" t="s">
        <v>32</v>
      </c>
      <c r="R872" s="7">
        <v>5</v>
      </c>
      <c r="S872" s="7">
        <f t="shared" si="40"/>
        <v>2025</v>
      </c>
      <c r="T872" s="7" t="str">
        <f t="shared" si="41"/>
        <v>Nov</v>
      </c>
    </row>
    <row r="873" spans="2:20" x14ac:dyDescent="0.3">
      <c r="B873" s="7">
        <v>872</v>
      </c>
      <c r="C873" s="7" t="s">
        <v>2290</v>
      </c>
      <c r="D873" s="7" t="s">
        <v>355</v>
      </c>
      <c r="E873" s="7" t="str">
        <f t="shared" si="39"/>
        <v>Sep</v>
      </c>
      <c r="F873" s="7" t="s">
        <v>2291</v>
      </c>
      <c r="G873" s="7" t="s">
        <v>36</v>
      </c>
      <c r="H873" s="7" t="s">
        <v>71</v>
      </c>
      <c r="I873" s="7" t="s">
        <v>52</v>
      </c>
      <c r="J873" s="7" t="s">
        <v>29</v>
      </c>
      <c r="K873" s="7" t="s">
        <v>76</v>
      </c>
      <c r="L873" s="7">
        <v>3397.38</v>
      </c>
      <c r="M873" s="7">
        <v>5</v>
      </c>
      <c r="N873" s="7">
        <v>0.03</v>
      </c>
      <c r="O873" s="7">
        <v>690.62</v>
      </c>
      <c r="P873" s="7" t="s">
        <v>54</v>
      </c>
      <c r="Q873" s="7" t="s">
        <v>40</v>
      </c>
      <c r="R873" s="7">
        <v>3</v>
      </c>
      <c r="S873" s="7">
        <f t="shared" si="40"/>
        <v>2024</v>
      </c>
      <c r="T873" s="7" t="str">
        <f t="shared" si="41"/>
        <v>Sep</v>
      </c>
    </row>
    <row r="874" spans="2:20" x14ac:dyDescent="0.3">
      <c r="B874" s="7">
        <v>873</v>
      </c>
      <c r="C874" s="7" t="s">
        <v>2292</v>
      </c>
      <c r="D874" s="7" t="s">
        <v>756</v>
      </c>
      <c r="E874" s="7" t="str">
        <f t="shared" si="39"/>
        <v>Oct</v>
      </c>
      <c r="F874" s="7" t="s">
        <v>2293</v>
      </c>
      <c r="G874" s="7" t="s">
        <v>64</v>
      </c>
      <c r="H874" s="7" t="s">
        <v>51</v>
      </c>
      <c r="I874" s="7" t="s">
        <v>116</v>
      </c>
      <c r="J874" s="7" t="s">
        <v>29</v>
      </c>
      <c r="K874" s="7" t="s">
        <v>67</v>
      </c>
      <c r="L874" s="7">
        <v>2492.08</v>
      </c>
      <c r="M874" s="7">
        <v>5</v>
      </c>
      <c r="N874" s="7">
        <v>0.09</v>
      </c>
      <c r="O874" s="7">
        <v>618.32000000000005</v>
      </c>
      <c r="P874" s="7" t="s">
        <v>23</v>
      </c>
      <c r="Q874" s="7" t="s">
        <v>40</v>
      </c>
      <c r="R874" s="7">
        <v>4</v>
      </c>
      <c r="S874" s="7">
        <f t="shared" si="40"/>
        <v>2025</v>
      </c>
      <c r="T874" s="7" t="str">
        <f t="shared" si="41"/>
        <v>Oct</v>
      </c>
    </row>
    <row r="875" spans="2:20" x14ac:dyDescent="0.3">
      <c r="B875" s="7">
        <v>874</v>
      </c>
      <c r="C875" s="7" t="s">
        <v>2294</v>
      </c>
      <c r="D875" s="7" t="s">
        <v>1167</v>
      </c>
      <c r="E875" s="7" t="str">
        <f t="shared" si="39"/>
        <v>Aug</v>
      </c>
      <c r="F875" s="7" t="s">
        <v>2295</v>
      </c>
      <c r="G875" s="7" t="s">
        <v>64</v>
      </c>
      <c r="H875" s="7" t="s">
        <v>37</v>
      </c>
      <c r="I875" s="7" t="s">
        <v>116</v>
      </c>
      <c r="J875" s="7" t="s">
        <v>66</v>
      </c>
      <c r="K875" s="7" t="s">
        <v>39</v>
      </c>
      <c r="L875" s="7">
        <v>841.97</v>
      </c>
      <c r="M875" s="7">
        <v>1</v>
      </c>
      <c r="N875" s="7">
        <v>0.14000000000000001</v>
      </c>
      <c r="O875" s="7">
        <v>199.8</v>
      </c>
      <c r="P875" s="7" t="s">
        <v>54</v>
      </c>
      <c r="Q875" s="7" t="s">
        <v>24</v>
      </c>
      <c r="R875" s="7">
        <v>10</v>
      </c>
      <c r="S875" s="7">
        <f t="shared" si="40"/>
        <v>2024</v>
      </c>
      <c r="T875" s="7" t="str">
        <f t="shared" si="41"/>
        <v>Aug</v>
      </c>
    </row>
    <row r="876" spans="2:20" x14ac:dyDescent="0.3">
      <c r="B876" s="7">
        <v>875</v>
      </c>
      <c r="C876" s="7" t="s">
        <v>2296</v>
      </c>
      <c r="D876" s="7" t="s">
        <v>2297</v>
      </c>
      <c r="E876" s="7" t="str">
        <f t="shared" si="39"/>
        <v>Feb</v>
      </c>
      <c r="F876" s="7" t="s">
        <v>2298</v>
      </c>
      <c r="G876" s="7" t="s">
        <v>18</v>
      </c>
      <c r="H876" s="7" t="s">
        <v>19</v>
      </c>
      <c r="I876" s="7" t="s">
        <v>52</v>
      </c>
      <c r="J876" s="7" t="s">
        <v>47</v>
      </c>
      <c r="K876" s="7" t="s">
        <v>53</v>
      </c>
      <c r="L876" s="7">
        <v>3082.67</v>
      </c>
      <c r="M876" s="7">
        <v>4</v>
      </c>
      <c r="N876" s="7">
        <v>0.2</v>
      </c>
      <c r="O876" s="7">
        <v>1049.98</v>
      </c>
      <c r="P876" s="7" t="s">
        <v>31</v>
      </c>
      <c r="Q876" s="7" t="s">
        <v>86</v>
      </c>
      <c r="R876" s="7">
        <v>4</v>
      </c>
      <c r="S876" s="7">
        <f t="shared" si="40"/>
        <v>2024</v>
      </c>
      <c r="T876" s="7" t="str">
        <f t="shared" si="41"/>
        <v>Feb</v>
      </c>
    </row>
    <row r="877" spans="2:20" x14ac:dyDescent="0.3">
      <c r="B877" s="7">
        <v>876</v>
      </c>
      <c r="C877" s="7" t="s">
        <v>2299</v>
      </c>
      <c r="D877" s="7" t="s">
        <v>2300</v>
      </c>
      <c r="E877" s="7" t="str">
        <f t="shared" si="39"/>
        <v>May</v>
      </c>
      <c r="F877" s="7" t="s">
        <v>2301</v>
      </c>
      <c r="G877" s="7" t="s">
        <v>18</v>
      </c>
      <c r="H877" s="7" t="s">
        <v>45</v>
      </c>
      <c r="I877" s="7" t="s">
        <v>52</v>
      </c>
      <c r="J877" s="7" t="s">
        <v>81</v>
      </c>
      <c r="K877" s="7" t="s">
        <v>30</v>
      </c>
      <c r="L877" s="7">
        <v>2188.0100000000002</v>
      </c>
      <c r="M877" s="7">
        <v>3</v>
      </c>
      <c r="N877" s="7">
        <v>0.12</v>
      </c>
      <c r="O877" s="7">
        <v>425.43</v>
      </c>
      <c r="P877" s="7" t="s">
        <v>23</v>
      </c>
      <c r="Q877" s="7" t="s">
        <v>24</v>
      </c>
      <c r="R877" s="7">
        <v>8</v>
      </c>
      <c r="S877" s="7">
        <f t="shared" si="40"/>
        <v>2024</v>
      </c>
      <c r="T877" s="7" t="str">
        <f t="shared" si="41"/>
        <v>May</v>
      </c>
    </row>
    <row r="878" spans="2:20" x14ac:dyDescent="0.3">
      <c r="B878" s="7">
        <v>877</v>
      </c>
      <c r="C878" s="7" t="s">
        <v>2302</v>
      </c>
      <c r="D878" s="7" t="s">
        <v>2303</v>
      </c>
      <c r="E878" s="7" t="str">
        <f t="shared" si="39"/>
        <v>Mar</v>
      </c>
      <c r="F878" s="7" t="s">
        <v>2304</v>
      </c>
      <c r="G878" s="7" t="s">
        <v>18</v>
      </c>
      <c r="H878" s="7" t="s">
        <v>45</v>
      </c>
      <c r="I878" s="7" t="s">
        <v>20</v>
      </c>
      <c r="J878" s="7" t="s">
        <v>66</v>
      </c>
      <c r="K878" s="7" t="s">
        <v>22</v>
      </c>
      <c r="L878" s="7">
        <v>3323.88</v>
      </c>
      <c r="M878" s="7">
        <v>4</v>
      </c>
      <c r="N878" s="7">
        <v>0.24</v>
      </c>
      <c r="O878" s="7">
        <v>1156.6199999999999</v>
      </c>
      <c r="P878" s="7" t="s">
        <v>31</v>
      </c>
      <c r="Q878" s="7" t="s">
        <v>40</v>
      </c>
      <c r="R878" s="7">
        <v>4</v>
      </c>
      <c r="S878" s="7">
        <f t="shared" si="40"/>
        <v>2025</v>
      </c>
      <c r="T878" s="7" t="str">
        <f t="shared" si="41"/>
        <v>Mar</v>
      </c>
    </row>
    <row r="879" spans="2:20" x14ac:dyDescent="0.3">
      <c r="B879" s="7">
        <v>878</v>
      </c>
      <c r="C879" s="7" t="s">
        <v>2305</v>
      </c>
      <c r="D879" s="7" t="s">
        <v>241</v>
      </c>
      <c r="E879" s="7" t="str">
        <f t="shared" si="39"/>
        <v>Dec</v>
      </c>
      <c r="F879" s="7" t="s">
        <v>2306</v>
      </c>
      <c r="G879" s="7" t="s">
        <v>44</v>
      </c>
      <c r="H879" s="7" t="s">
        <v>65</v>
      </c>
      <c r="I879" s="7" t="s">
        <v>46</v>
      </c>
      <c r="J879" s="7" t="s">
        <v>29</v>
      </c>
      <c r="K879" s="7" t="s">
        <v>76</v>
      </c>
      <c r="L879" s="7">
        <v>44.56</v>
      </c>
      <c r="M879" s="7">
        <v>1</v>
      </c>
      <c r="N879" s="7">
        <v>0.14000000000000001</v>
      </c>
      <c r="O879" s="7">
        <v>6.62</v>
      </c>
      <c r="P879" s="7" t="s">
        <v>54</v>
      </c>
      <c r="Q879" s="7" t="s">
        <v>40</v>
      </c>
      <c r="R879" s="7">
        <v>10</v>
      </c>
      <c r="S879" s="7">
        <f t="shared" si="40"/>
        <v>2024</v>
      </c>
      <c r="T879" s="7" t="str">
        <f t="shared" si="41"/>
        <v>Dec</v>
      </c>
    </row>
    <row r="880" spans="2:20" x14ac:dyDescent="0.3">
      <c r="B880" s="7">
        <v>879</v>
      </c>
      <c r="C880" s="7" t="s">
        <v>2307</v>
      </c>
      <c r="D880" s="7" t="s">
        <v>793</v>
      </c>
      <c r="E880" s="7" t="str">
        <f t="shared" si="39"/>
        <v>Dec</v>
      </c>
      <c r="F880" s="7" t="s">
        <v>2308</v>
      </c>
      <c r="G880" s="7" t="s">
        <v>44</v>
      </c>
      <c r="H880" s="7" t="s">
        <v>51</v>
      </c>
      <c r="I880" s="7" t="s">
        <v>116</v>
      </c>
      <c r="J880" s="7" t="s">
        <v>81</v>
      </c>
      <c r="K880" s="7" t="s">
        <v>22</v>
      </c>
      <c r="L880" s="7">
        <v>1772.32</v>
      </c>
      <c r="M880" s="7">
        <v>2</v>
      </c>
      <c r="N880" s="7">
        <v>0.18</v>
      </c>
      <c r="O880" s="7">
        <v>464.44</v>
      </c>
      <c r="P880" s="7" t="s">
        <v>23</v>
      </c>
      <c r="Q880" s="7" t="s">
        <v>40</v>
      </c>
      <c r="R880" s="7">
        <v>10</v>
      </c>
      <c r="S880" s="7">
        <f t="shared" si="40"/>
        <v>2025</v>
      </c>
      <c r="T880" s="7" t="str">
        <f t="shared" si="41"/>
        <v>Dec</v>
      </c>
    </row>
    <row r="881" spans="2:20" x14ac:dyDescent="0.3">
      <c r="B881" s="7">
        <v>880</v>
      </c>
      <c r="C881" s="7" t="s">
        <v>2309</v>
      </c>
      <c r="D881" s="7" t="s">
        <v>2300</v>
      </c>
      <c r="E881" s="7" t="str">
        <f t="shared" si="39"/>
        <v>May</v>
      </c>
      <c r="F881" s="7" t="s">
        <v>2310</v>
      </c>
      <c r="G881" s="7" t="s">
        <v>64</v>
      </c>
      <c r="H881" s="7" t="s">
        <v>19</v>
      </c>
      <c r="I881" s="7" t="s">
        <v>59</v>
      </c>
      <c r="J881" s="7" t="s">
        <v>21</v>
      </c>
      <c r="K881" s="7" t="s">
        <v>67</v>
      </c>
      <c r="L881" s="7">
        <v>1622.23</v>
      </c>
      <c r="M881" s="7">
        <v>3</v>
      </c>
      <c r="N881" s="7">
        <v>0.28000000000000003</v>
      </c>
      <c r="O881" s="7">
        <v>347.5</v>
      </c>
      <c r="P881" s="7" t="s">
        <v>23</v>
      </c>
      <c r="Q881" s="7" t="s">
        <v>86</v>
      </c>
      <c r="R881" s="7">
        <v>7</v>
      </c>
      <c r="S881" s="7">
        <f t="shared" si="40"/>
        <v>2024</v>
      </c>
      <c r="T881" s="7" t="str">
        <f t="shared" si="41"/>
        <v>May</v>
      </c>
    </row>
    <row r="882" spans="2:20" x14ac:dyDescent="0.3">
      <c r="B882" s="7">
        <v>881</v>
      </c>
      <c r="C882" s="7" t="s">
        <v>2311</v>
      </c>
      <c r="D882" s="7" t="s">
        <v>2312</v>
      </c>
      <c r="E882" s="7" t="str">
        <f t="shared" si="39"/>
        <v>Apr</v>
      </c>
      <c r="F882" s="7" t="s">
        <v>2313</v>
      </c>
      <c r="G882" s="7" t="s">
        <v>102</v>
      </c>
      <c r="H882" s="7" t="s">
        <v>71</v>
      </c>
      <c r="I882" s="7" t="s">
        <v>46</v>
      </c>
      <c r="J882" s="7" t="s">
        <v>66</v>
      </c>
      <c r="K882" s="7" t="s">
        <v>53</v>
      </c>
      <c r="L882" s="7">
        <v>56.17</v>
      </c>
      <c r="M882" s="7">
        <v>1</v>
      </c>
      <c r="N882" s="7">
        <v>0.08</v>
      </c>
      <c r="O882" s="7">
        <v>15.5</v>
      </c>
      <c r="P882" s="7" t="s">
        <v>23</v>
      </c>
      <c r="Q882" s="7" t="s">
        <v>24</v>
      </c>
      <c r="R882" s="7">
        <v>4</v>
      </c>
      <c r="S882" s="7">
        <f t="shared" si="40"/>
        <v>2025</v>
      </c>
      <c r="T882" s="7" t="str">
        <f t="shared" si="41"/>
        <v>Apr</v>
      </c>
    </row>
    <row r="883" spans="2:20" x14ac:dyDescent="0.3">
      <c r="B883" s="7">
        <v>882</v>
      </c>
      <c r="C883" s="7" t="s">
        <v>2314</v>
      </c>
      <c r="D883" s="7" t="s">
        <v>2117</v>
      </c>
      <c r="E883" s="7" t="str">
        <f t="shared" si="39"/>
        <v>Oct</v>
      </c>
      <c r="F883" s="7" t="s">
        <v>2315</v>
      </c>
      <c r="G883" s="7" t="s">
        <v>18</v>
      </c>
      <c r="H883" s="7" t="s">
        <v>19</v>
      </c>
      <c r="I883" s="7" t="s">
        <v>59</v>
      </c>
      <c r="J883" s="7" t="s">
        <v>66</v>
      </c>
      <c r="K883" s="7" t="s">
        <v>30</v>
      </c>
      <c r="L883" s="7">
        <v>237.4</v>
      </c>
      <c r="M883" s="7">
        <v>3</v>
      </c>
      <c r="N883" s="7">
        <v>0.05</v>
      </c>
      <c r="O883" s="7">
        <v>48</v>
      </c>
      <c r="P883" s="7" t="s">
        <v>31</v>
      </c>
      <c r="Q883" s="7" t="s">
        <v>86</v>
      </c>
      <c r="R883" s="7">
        <v>6</v>
      </c>
      <c r="S883" s="7">
        <f t="shared" si="40"/>
        <v>2025</v>
      </c>
      <c r="T883" s="7" t="str">
        <f t="shared" si="41"/>
        <v>Oct</v>
      </c>
    </row>
    <row r="884" spans="2:20" x14ac:dyDescent="0.3">
      <c r="B884" s="7">
        <v>883</v>
      </c>
      <c r="C884" s="7" t="s">
        <v>2316</v>
      </c>
      <c r="D884" s="7" t="s">
        <v>2317</v>
      </c>
      <c r="E884" s="7" t="str">
        <f t="shared" si="39"/>
        <v>Dec</v>
      </c>
      <c r="F884" s="7" t="s">
        <v>2318</v>
      </c>
      <c r="G884" s="7" t="s">
        <v>18</v>
      </c>
      <c r="H884" s="7" t="s">
        <v>65</v>
      </c>
      <c r="I884" s="7" t="s">
        <v>106</v>
      </c>
      <c r="J884" s="7" t="s">
        <v>21</v>
      </c>
      <c r="K884" s="7" t="s">
        <v>67</v>
      </c>
      <c r="L884" s="7">
        <v>878.78</v>
      </c>
      <c r="M884" s="7">
        <v>4</v>
      </c>
      <c r="N884" s="7">
        <v>0</v>
      </c>
      <c r="O884" s="7">
        <v>191.75</v>
      </c>
      <c r="P884" s="7" t="s">
        <v>31</v>
      </c>
      <c r="Q884" s="7" t="s">
        <v>40</v>
      </c>
      <c r="R884" s="7">
        <v>6</v>
      </c>
      <c r="S884" s="7">
        <f t="shared" si="40"/>
        <v>2025</v>
      </c>
      <c r="T884" s="7" t="str">
        <f t="shared" si="41"/>
        <v>Dec</v>
      </c>
    </row>
    <row r="885" spans="2:20" x14ac:dyDescent="0.3">
      <c r="B885" s="7">
        <v>884</v>
      </c>
      <c r="C885" s="7" t="s">
        <v>2319</v>
      </c>
      <c r="D885" s="7" t="s">
        <v>1356</v>
      </c>
      <c r="E885" s="7" t="str">
        <f t="shared" si="39"/>
        <v>Jul</v>
      </c>
      <c r="F885" s="7" t="s">
        <v>2320</v>
      </c>
      <c r="G885" s="7" t="s">
        <v>18</v>
      </c>
      <c r="H885" s="7" t="s">
        <v>71</v>
      </c>
      <c r="I885" s="7" t="s">
        <v>106</v>
      </c>
      <c r="J885" s="7" t="s">
        <v>29</v>
      </c>
      <c r="K885" s="7" t="s">
        <v>53</v>
      </c>
      <c r="L885" s="7">
        <v>4054.74</v>
      </c>
      <c r="M885" s="7">
        <v>5</v>
      </c>
      <c r="N885" s="7">
        <v>0.02</v>
      </c>
      <c r="O885" s="7">
        <v>999.96</v>
      </c>
      <c r="P885" s="7" t="s">
        <v>31</v>
      </c>
      <c r="Q885" s="7" t="s">
        <v>24</v>
      </c>
      <c r="R885" s="7">
        <v>9</v>
      </c>
      <c r="S885" s="7">
        <f t="shared" si="40"/>
        <v>2024</v>
      </c>
      <c r="T885" s="7" t="str">
        <f t="shared" si="41"/>
        <v>Jul</v>
      </c>
    </row>
    <row r="886" spans="2:20" x14ac:dyDescent="0.3">
      <c r="B886" s="7">
        <v>885</v>
      </c>
      <c r="C886" s="7" t="s">
        <v>2321</v>
      </c>
      <c r="D886" s="7" t="s">
        <v>2077</v>
      </c>
      <c r="E886" s="7" t="str">
        <f t="shared" si="39"/>
        <v>Dec</v>
      </c>
      <c r="F886" s="7" t="s">
        <v>2322</v>
      </c>
      <c r="G886" s="7" t="s">
        <v>102</v>
      </c>
      <c r="H886" s="7" t="s">
        <v>51</v>
      </c>
      <c r="I886" s="7" t="s">
        <v>106</v>
      </c>
      <c r="J886" s="7" t="s">
        <v>81</v>
      </c>
      <c r="K886" s="7" t="s">
        <v>53</v>
      </c>
      <c r="L886" s="7">
        <v>1100.57</v>
      </c>
      <c r="M886" s="7">
        <v>3</v>
      </c>
      <c r="N886" s="7">
        <v>0.03</v>
      </c>
      <c r="O886" s="7">
        <v>266.82</v>
      </c>
      <c r="P886" s="7" t="s">
        <v>54</v>
      </c>
      <c r="Q886" s="7" t="s">
        <v>24</v>
      </c>
      <c r="R886" s="7">
        <v>1</v>
      </c>
      <c r="S886" s="7">
        <f t="shared" si="40"/>
        <v>2025</v>
      </c>
      <c r="T886" s="7" t="str">
        <f t="shared" si="41"/>
        <v>Dec</v>
      </c>
    </row>
    <row r="887" spans="2:20" x14ac:dyDescent="0.3">
      <c r="B887" s="7">
        <v>886</v>
      </c>
      <c r="C887" s="7" t="s">
        <v>2323</v>
      </c>
      <c r="D887" s="7" t="s">
        <v>2324</v>
      </c>
      <c r="E887" s="7" t="str">
        <f t="shared" si="39"/>
        <v>Dec</v>
      </c>
      <c r="F887" s="7" t="s">
        <v>2325</v>
      </c>
      <c r="G887" s="7" t="s">
        <v>44</v>
      </c>
      <c r="H887" s="7" t="s">
        <v>37</v>
      </c>
      <c r="I887" s="7" t="s">
        <v>38</v>
      </c>
      <c r="J887" s="7" t="s">
        <v>81</v>
      </c>
      <c r="K887" s="7" t="s">
        <v>60</v>
      </c>
      <c r="L887" s="7">
        <v>614.79</v>
      </c>
      <c r="M887" s="7">
        <v>1</v>
      </c>
      <c r="N887" s="7">
        <v>0.2</v>
      </c>
      <c r="O887" s="7">
        <v>212.36</v>
      </c>
      <c r="P887" s="7" t="s">
        <v>54</v>
      </c>
      <c r="Q887" s="7" t="s">
        <v>32</v>
      </c>
      <c r="R887" s="7">
        <v>7</v>
      </c>
      <c r="S887" s="7">
        <f t="shared" si="40"/>
        <v>2024</v>
      </c>
      <c r="T887" s="7" t="str">
        <f t="shared" si="41"/>
        <v>Dec</v>
      </c>
    </row>
    <row r="888" spans="2:20" x14ac:dyDescent="0.3">
      <c r="B888" s="7">
        <v>887</v>
      </c>
      <c r="C888" s="7" t="s">
        <v>2326</v>
      </c>
      <c r="D888" s="7" t="s">
        <v>2083</v>
      </c>
      <c r="E888" s="7" t="str">
        <f t="shared" si="39"/>
        <v>Sep</v>
      </c>
      <c r="F888" s="7" t="s">
        <v>2327</v>
      </c>
      <c r="G888" s="7" t="s">
        <v>44</v>
      </c>
      <c r="H888" s="7" t="s">
        <v>19</v>
      </c>
      <c r="I888" s="7" t="s">
        <v>59</v>
      </c>
      <c r="J888" s="7" t="s">
        <v>29</v>
      </c>
      <c r="K888" s="7" t="s">
        <v>67</v>
      </c>
      <c r="L888" s="7">
        <v>61.43</v>
      </c>
      <c r="M888" s="7">
        <v>1</v>
      </c>
      <c r="N888" s="7">
        <v>0.28000000000000003</v>
      </c>
      <c r="O888" s="7">
        <v>14.64</v>
      </c>
      <c r="P888" s="7" t="s">
        <v>23</v>
      </c>
      <c r="Q888" s="7" t="s">
        <v>24</v>
      </c>
      <c r="R888" s="7">
        <v>2</v>
      </c>
      <c r="S888" s="7">
        <f t="shared" si="40"/>
        <v>2024</v>
      </c>
      <c r="T888" s="7" t="str">
        <f t="shared" si="41"/>
        <v>Sep</v>
      </c>
    </row>
    <row r="889" spans="2:20" x14ac:dyDescent="0.3">
      <c r="B889" s="7">
        <v>888</v>
      </c>
      <c r="C889" s="7" t="s">
        <v>2328</v>
      </c>
      <c r="D889" s="7" t="s">
        <v>490</v>
      </c>
      <c r="E889" s="7" t="str">
        <f t="shared" si="39"/>
        <v>Jan</v>
      </c>
      <c r="F889" s="7" t="s">
        <v>2329</v>
      </c>
      <c r="G889" s="7" t="s">
        <v>44</v>
      </c>
      <c r="H889" s="7" t="s">
        <v>45</v>
      </c>
      <c r="I889" s="7" t="s">
        <v>46</v>
      </c>
      <c r="J889" s="7" t="s">
        <v>66</v>
      </c>
      <c r="K889" s="7" t="s">
        <v>76</v>
      </c>
      <c r="L889" s="7">
        <v>3879.51</v>
      </c>
      <c r="M889" s="7">
        <v>4</v>
      </c>
      <c r="N889" s="7">
        <v>0.22</v>
      </c>
      <c r="O889" s="7">
        <v>603.53</v>
      </c>
      <c r="P889" s="7" t="s">
        <v>23</v>
      </c>
      <c r="Q889" s="7" t="s">
        <v>40</v>
      </c>
      <c r="R889" s="7">
        <v>3</v>
      </c>
      <c r="S889" s="7">
        <f t="shared" si="40"/>
        <v>2025</v>
      </c>
      <c r="T889" s="7" t="str">
        <f t="shared" si="41"/>
        <v>Jan</v>
      </c>
    </row>
    <row r="890" spans="2:20" x14ac:dyDescent="0.3">
      <c r="B890" s="7">
        <v>889</v>
      </c>
      <c r="C890" s="7" t="s">
        <v>2330</v>
      </c>
      <c r="D890" s="7" t="s">
        <v>326</v>
      </c>
      <c r="E890" s="7" t="str">
        <f t="shared" si="39"/>
        <v>Jun</v>
      </c>
      <c r="F890" s="7" t="s">
        <v>2331</v>
      </c>
      <c r="G890" s="7" t="s">
        <v>18</v>
      </c>
      <c r="H890" s="7" t="s">
        <v>45</v>
      </c>
      <c r="I890" s="7" t="s">
        <v>52</v>
      </c>
      <c r="J890" s="7" t="s">
        <v>47</v>
      </c>
      <c r="K890" s="7" t="s">
        <v>82</v>
      </c>
      <c r="L890" s="7">
        <v>1190.18</v>
      </c>
      <c r="M890" s="7">
        <v>4</v>
      </c>
      <c r="N890" s="7">
        <v>0.17</v>
      </c>
      <c r="O890" s="7">
        <v>156.66999999999999</v>
      </c>
      <c r="P890" s="7" t="s">
        <v>31</v>
      </c>
      <c r="Q890" s="7" t="s">
        <v>86</v>
      </c>
      <c r="R890" s="7">
        <v>10</v>
      </c>
      <c r="S890" s="7">
        <f t="shared" si="40"/>
        <v>2024</v>
      </c>
      <c r="T890" s="7" t="str">
        <f t="shared" si="41"/>
        <v>Jun</v>
      </c>
    </row>
    <row r="891" spans="2:20" x14ac:dyDescent="0.3">
      <c r="B891" s="7">
        <v>890</v>
      </c>
      <c r="C891" s="7" t="s">
        <v>2332</v>
      </c>
      <c r="D891" s="7" t="s">
        <v>847</v>
      </c>
      <c r="E891" s="7" t="str">
        <f t="shared" si="39"/>
        <v>Apr</v>
      </c>
      <c r="F891" s="7" t="s">
        <v>2333</v>
      </c>
      <c r="G891" s="7" t="s">
        <v>36</v>
      </c>
      <c r="H891" s="7" t="s">
        <v>58</v>
      </c>
      <c r="I891" s="7" t="s">
        <v>52</v>
      </c>
      <c r="J891" s="7" t="s">
        <v>21</v>
      </c>
      <c r="K891" s="7" t="s">
        <v>53</v>
      </c>
      <c r="L891" s="7">
        <v>1370.56</v>
      </c>
      <c r="M891" s="7">
        <v>3</v>
      </c>
      <c r="N891" s="7">
        <v>0.02</v>
      </c>
      <c r="O891" s="7">
        <v>188.25</v>
      </c>
      <c r="P891" s="7" t="s">
        <v>31</v>
      </c>
      <c r="Q891" s="7" t="s">
        <v>32</v>
      </c>
      <c r="R891" s="7">
        <v>4</v>
      </c>
      <c r="S891" s="7">
        <f t="shared" si="40"/>
        <v>2024</v>
      </c>
      <c r="T891" s="7" t="str">
        <f t="shared" si="41"/>
        <v>Apr</v>
      </c>
    </row>
    <row r="892" spans="2:20" x14ac:dyDescent="0.3">
      <c r="B892" s="7">
        <v>891</v>
      </c>
      <c r="C892" s="7" t="s">
        <v>2334</v>
      </c>
      <c r="D892" s="7" t="s">
        <v>1051</v>
      </c>
      <c r="E892" s="7" t="str">
        <f t="shared" si="39"/>
        <v>May</v>
      </c>
      <c r="F892" s="7" t="s">
        <v>2335</v>
      </c>
      <c r="G892" s="7" t="s">
        <v>102</v>
      </c>
      <c r="H892" s="7" t="s">
        <v>71</v>
      </c>
      <c r="I892" s="7" t="s">
        <v>59</v>
      </c>
      <c r="J892" s="7" t="s">
        <v>66</v>
      </c>
      <c r="K892" s="7" t="s">
        <v>67</v>
      </c>
      <c r="L892" s="7">
        <v>112.16</v>
      </c>
      <c r="M892" s="7">
        <v>1</v>
      </c>
      <c r="N892" s="7">
        <v>0.17</v>
      </c>
      <c r="O892" s="7">
        <v>31.26</v>
      </c>
      <c r="P892" s="7" t="s">
        <v>31</v>
      </c>
      <c r="Q892" s="7" t="s">
        <v>24</v>
      </c>
      <c r="R892" s="7">
        <v>10</v>
      </c>
      <c r="S892" s="7">
        <f t="shared" si="40"/>
        <v>2025</v>
      </c>
      <c r="T892" s="7" t="str">
        <f t="shared" si="41"/>
        <v>May</v>
      </c>
    </row>
    <row r="893" spans="2:20" x14ac:dyDescent="0.3">
      <c r="B893" s="7">
        <v>892</v>
      </c>
      <c r="C893" s="7" t="s">
        <v>2336</v>
      </c>
      <c r="D893" s="7" t="s">
        <v>2337</v>
      </c>
      <c r="E893" s="7" t="str">
        <f t="shared" si="39"/>
        <v>Dec</v>
      </c>
      <c r="F893" s="7" t="s">
        <v>2338</v>
      </c>
      <c r="G893" s="7" t="s">
        <v>44</v>
      </c>
      <c r="H893" s="7" t="s">
        <v>71</v>
      </c>
      <c r="I893" s="7" t="s">
        <v>20</v>
      </c>
      <c r="J893" s="7" t="s">
        <v>47</v>
      </c>
      <c r="K893" s="7" t="s">
        <v>76</v>
      </c>
      <c r="L893" s="7">
        <v>2817.66</v>
      </c>
      <c r="M893" s="7">
        <v>4</v>
      </c>
      <c r="N893" s="7">
        <v>0.27</v>
      </c>
      <c r="O893" s="7">
        <v>849.71</v>
      </c>
      <c r="P893" s="7" t="s">
        <v>23</v>
      </c>
      <c r="Q893" s="7" t="s">
        <v>77</v>
      </c>
      <c r="R893" s="7">
        <v>9</v>
      </c>
      <c r="S893" s="7">
        <f t="shared" si="40"/>
        <v>2025</v>
      </c>
      <c r="T893" s="7" t="str">
        <f t="shared" si="41"/>
        <v>Dec</v>
      </c>
    </row>
    <row r="894" spans="2:20" x14ac:dyDescent="0.3">
      <c r="B894" s="7">
        <v>893</v>
      </c>
      <c r="C894" s="7" t="s">
        <v>2339</v>
      </c>
      <c r="D894" s="7" t="s">
        <v>124</v>
      </c>
      <c r="E894" s="7" t="str">
        <f t="shared" si="39"/>
        <v>Mar</v>
      </c>
      <c r="F894" s="7" t="s">
        <v>2340</v>
      </c>
      <c r="G894" s="7" t="s">
        <v>18</v>
      </c>
      <c r="H894" s="7" t="s">
        <v>19</v>
      </c>
      <c r="I894" s="7" t="s">
        <v>106</v>
      </c>
      <c r="J894" s="7" t="s">
        <v>47</v>
      </c>
      <c r="K894" s="7" t="s">
        <v>76</v>
      </c>
      <c r="L894" s="7">
        <v>1998.99</v>
      </c>
      <c r="M894" s="7">
        <v>3</v>
      </c>
      <c r="N894" s="7">
        <v>0.25</v>
      </c>
      <c r="O894" s="7">
        <v>686.62</v>
      </c>
      <c r="P894" s="7" t="s">
        <v>23</v>
      </c>
      <c r="Q894" s="7" t="s">
        <v>40</v>
      </c>
      <c r="R894" s="7">
        <v>8</v>
      </c>
      <c r="S894" s="7">
        <f t="shared" si="40"/>
        <v>2024</v>
      </c>
      <c r="T894" s="7" t="str">
        <f t="shared" si="41"/>
        <v>Mar</v>
      </c>
    </row>
    <row r="895" spans="2:20" x14ac:dyDescent="0.3">
      <c r="B895" s="7">
        <v>894</v>
      </c>
      <c r="C895" s="7" t="s">
        <v>2341</v>
      </c>
      <c r="D895" s="7" t="s">
        <v>127</v>
      </c>
      <c r="E895" s="7" t="str">
        <f t="shared" si="39"/>
        <v>Aug</v>
      </c>
      <c r="F895" s="7" t="s">
        <v>2342</v>
      </c>
      <c r="G895" s="7" t="s">
        <v>64</v>
      </c>
      <c r="H895" s="7" t="s">
        <v>51</v>
      </c>
      <c r="I895" s="7" t="s">
        <v>38</v>
      </c>
      <c r="J895" s="7" t="s">
        <v>66</v>
      </c>
      <c r="K895" s="7" t="s">
        <v>39</v>
      </c>
      <c r="L895" s="7">
        <v>745.06</v>
      </c>
      <c r="M895" s="7">
        <v>2</v>
      </c>
      <c r="N895" s="7">
        <v>0.12</v>
      </c>
      <c r="O895" s="7">
        <v>84.62</v>
      </c>
      <c r="P895" s="7" t="s">
        <v>23</v>
      </c>
      <c r="Q895" s="7" t="s">
        <v>77</v>
      </c>
      <c r="R895" s="7">
        <v>9</v>
      </c>
      <c r="S895" s="7">
        <f t="shared" si="40"/>
        <v>2025</v>
      </c>
      <c r="T895" s="7" t="str">
        <f t="shared" si="41"/>
        <v>Aug</v>
      </c>
    </row>
    <row r="896" spans="2:20" x14ac:dyDescent="0.3">
      <c r="B896" s="7">
        <v>895</v>
      </c>
      <c r="C896" s="7" t="s">
        <v>2343</v>
      </c>
      <c r="D896" s="7" t="s">
        <v>466</v>
      </c>
      <c r="E896" s="7" t="str">
        <f t="shared" si="39"/>
        <v>Nov</v>
      </c>
      <c r="F896" s="7" t="s">
        <v>2344</v>
      </c>
      <c r="G896" s="7" t="s">
        <v>36</v>
      </c>
      <c r="H896" s="7" t="s">
        <v>37</v>
      </c>
      <c r="I896" s="7" t="s">
        <v>28</v>
      </c>
      <c r="J896" s="7" t="s">
        <v>47</v>
      </c>
      <c r="K896" s="7" t="s">
        <v>39</v>
      </c>
      <c r="L896" s="7">
        <v>1619.45</v>
      </c>
      <c r="M896" s="7">
        <v>3</v>
      </c>
      <c r="N896" s="7">
        <v>0.03</v>
      </c>
      <c r="O896" s="7">
        <v>399.79</v>
      </c>
      <c r="P896" s="7" t="s">
        <v>23</v>
      </c>
      <c r="Q896" s="7" t="s">
        <v>32</v>
      </c>
      <c r="R896" s="7">
        <v>2</v>
      </c>
      <c r="S896" s="7">
        <f t="shared" si="40"/>
        <v>2025</v>
      </c>
      <c r="T896" s="7" t="str">
        <f t="shared" si="41"/>
        <v>Nov</v>
      </c>
    </row>
    <row r="897" spans="2:20" x14ac:dyDescent="0.3">
      <c r="B897" s="7">
        <v>896</v>
      </c>
      <c r="C897" s="7" t="s">
        <v>2345</v>
      </c>
      <c r="D897" s="7" t="s">
        <v>241</v>
      </c>
      <c r="E897" s="7" t="str">
        <f t="shared" si="39"/>
        <v>Dec</v>
      </c>
      <c r="F897" s="7" t="s">
        <v>1260</v>
      </c>
      <c r="G897" s="7" t="s">
        <v>18</v>
      </c>
      <c r="H897" s="7" t="s">
        <v>19</v>
      </c>
      <c r="I897" s="7" t="s">
        <v>52</v>
      </c>
      <c r="J897" s="7" t="s">
        <v>21</v>
      </c>
      <c r="K897" s="7" t="s">
        <v>82</v>
      </c>
      <c r="L897" s="7">
        <v>493.39</v>
      </c>
      <c r="M897" s="7">
        <v>1</v>
      </c>
      <c r="N897" s="7">
        <v>0.17</v>
      </c>
      <c r="O897" s="7">
        <v>155.58000000000001</v>
      </c>
      <c r="P897" s="7" t="s">
        <v>23</v>
      </c>
      <c r="Q897" s="7" t="s">
        <v>77</v>
      </c>
      <c r="R897" s="7">
        <v>4</v>
      </c>
      <c r="S897" s="7">
        <f t="shared" si="40"/>
        <v>2024</v>
      </c>
      <c r="T897" s="7" t="str">
        <f t="shared" si="41"/>
        <v>Dec</v>
      </c>
    </row>
    <row r="898" spans="2:20" x14ac:dyDescent="0.3">
      <c r="B898" s="7">
        <v>897</v>
      </c>
      <c r="C898" s="7" t="s">
        <v>2346</v>
      </c>
      <c r="D898" s="7" t="s">
        <v>1356</v>
      </c>
      <c r="E898" s="7" t="str">
        <f t="shared" si="39"/>
        <v>Jul</v>
      </c>
      <c r="F898" s="7" t="s">
        <v>2347</v>
      </c>
      <c r="G898" s="7" t="s">
        <v>36</v>
      </c>
      <c r="H898" s="7" t="s">
        <v>45</v>
      </c>
      <c r="I898" s="7" t="s">
        <v>20</v>
      </c>
      <c r="J898" s="7" t="s">
        <v>29</v>
      </c>
      <c r="K898" s="7" t="s">
        <v>30</v>
      </c>
      <c r="L898" s="7">
        <v>1393.38</v>
      </c>
      <c r="M898" s="7">
        <v>2</v>
      </c>
      <c r="N898" s="7">
        <v>0.11</v>
      </c>
      <c r="O898" s="7">
        <v>209.12</v>
      </c>
      <c r="P898" s="7" t="s">
        <v>31</v>
      </c>
      <c r="Q898" s="7" t="s">
        <v>24</v>
      </c>
      <c r="R898" s="7">
        <v>4</v>
      </c>
      <c r="S898" s="7">
        <f t="shared" si="40"/>
        <v>2024</v>
      </c>
      <c r="T898" s="7" t="str">
        <f t="shared" si="41"/>
        <v>Jul</v>
      </c>
    </row>
    <row r="899" spans="2:20" x14ac:dyDescent="0.3">
      <c r="B899" s="7">
        <v>898</v>
      </c>
      <c r="C899" s="7" t="s">
        <v>2348</v>
      </c>
      <c r="D899" s="7" t="s">
        <v>812</v>
      </c>
      <c r="E899" s="7" t="str">
        <f t="shared" ref="E899:E962" si="42">TEXT(D899,"mmm")</f>
        <v>Aug</v>
      </c>
      <c r="F899" s="7" t="s">
        <v>2349</v>
      </c>
      <c r="G899" s="7" t="s">
        <v>36</v>
      </c>
      <c r="H899" s="7" t="s">
        <v>37</v>
      </c>
      <c r="I899" s="7" t="s">
        <v>59</v>
      </c>
      <c r="J899" s="7" t="s">
        <v>29</v>
      </c>
      <c r="K899" s="7" t="s">
        <v>67</v>
      </c>
      <c r="L899" s="7">
        <v>860.7</v>
      </c>
      <c r="M899" s="7">
        <v>1</v>
      </c>
      <c r="N899" s="7">
        <v>0.02</v>
      </c>
      <c r="O899" s="7">
        <v>233.1</v>
      </c>
      <c r="P899" s="7" t="s">
        <v>23</v>
      </c>
      <c r="Q899" s="7" t="s">
        <v>40</v>
      </c>
      <c r="R899" s="7">
        <v>7</v>
      </c>
      <c r="S899" s="7">
        <f t="shared" ref="S899:S962" si="43">YEAR(D899)</f>
        <v>2024</v>
      </c>
      <c r="T899" s="7" t="str">
        <f t="shared" ref="T899:T962" si="44">TEXT(D899,"mmm")</f>
        <v>Aug</v>
      </c>
    </row>
    <row r="900" spans="2:20" x14ac:dyDescent="0.3">
      <c r="B900" s="7">
        <v>899</v>
      </c>
      <c r="C900" s="7" t="s">
        <v>2350</v>
      </c>
      <c r="D900" s="7" t="s">
        <v>724</v>
      </c>
      <c r="E900" s="7" t="str">
        <f t="shared" si="42"/>
        <v>Aug</v>
      </c>
      <c r="F900" s="7" t="s">
        <v>2351</v>
      </c>
      <c r="G900" s="7" t="s">
        <v>36</v>
      </c>
      <c r="H900" s="7" t="s">
        <v>37</v>
      </c>
      <c r="I900" s="7" t="s">
        <v>28</v>
      </c>
      <c r="J900" s="7" t="s">
        <v>21</v>
      </c>
      <c r="K900" s="7" t="s">
        <v>72</v>
      </c>
      <c r="L900" s="7">
        <v>188.5</v>
      </c>
      <c r="M900" s="7">
        <v>2</v>
      </c>
      <c r="N900" s="7">
        <v>0.13</v>
      </c>
      <c r="O900" s="7">
        <v>50.53</v>
      </c>
      <c r="P900" s="7" t="s">
        <v>23</v>
      </c>
      <c r="Q900" s="7" t="s">
        <v>40</v>
      </c>
      <c r="R900" s="7">
        <v>8</v>
      </c>
      <c r="S900" s="7">
        <f t="shared" si="43"/>
        <v>2024</v>
      </c>
      <c r="T900" s="7" t="str">
        <f t="shared" si="44"/>
        <v>Aug</v>
      </c>
    </row>
    <row r="901" spans="2:20" x14ac:dyDescent="0.3">
      <c r="B901" s="7">
        <v>900</v>
      </c>
      <c r="C901" s="7" t="s">
        <v>2352</v>
      </c>
      <c r="D901" s="7" t="s">
        <v>1469</v>
      </c>
      <c r="E901" s="7" t="str">
        <f t="shared" si="42"/>
        <v>Jun</v>
      </c>
      <c r="F901" s="7" t="s">
        <v>2353</v>
      </c>
      <c r="G901" s="7" t="s">
        <v>44</v>
      </c>
      <c r="H901" s="7" t="s">
        <v>58</v>
      </c>
      <c r="I901" s="7" t="s">
        <v>28</v>
      </c>
      <c r="J901" s="7" t="s">
        <v>21</v>
      </c>
      <c r="K901" s="7" t="s">
        <v>60</v>
      </c>
      <c r="L901" s="7">
        <v>912.97</v>
      </c>
      <c r="M901" s="7">
        <v>2</v>
      </c>
      <c r="N901" s="7">
        <v>0.1</v>
      </c>
      <c r="O901" s="7">
        <v>282</v>
      </c>
      <c r="P901" s="7" t="s">
        <v>31</v>
      </c>
      <c r="Q901" s="7" t="s">
        <v>86</v>
      </c>
      <c r="R901" s="7">
        <v>6</v>
      </c>
      <c r="S901" s="7">
        <f t="shared" si="43"/>
        <v>2025</v>
      </c>
      <c r="T901" s="7" t="str">
        <f t="shared" si="44"/>
        <v>Jun</v>
      </c>
    </row>
    <row r="902" spans="2:20" x14ac:dyDescent="0.3">
      <c r="B902" s="7">
        <v>901</v>
      </c>
      <c r="C902" s="7" t="s">
        <v>2354</v>
      </c>
      <c r="D902" s="7" t="s">
        <v>2355</v>
      </c>
      <c r="E902" s="7" t="str">
        <f t="shared" si="42"/>
        <v>Nov</v>
      </c>
      <c r="F902" s="7" t="s">
        <v>2356</v>
      </c>
      <c r="G902" s="7" t="s">
        <v>102</v>
      </c>
      <c r="H902" s="7" t="s">
        <v>65</v>
      </c>
      <c r="I902" s="7" t="s">
        <v>52</v>
      </c>
      <c r="J902" s="7" t="s">
        <v>29</v>
      </c>
      <c r="K902" s="7" t="s">
        <v>67</v>
      </c>
      <c r="L902" s="7">
        <v>3175.4</v>
      </c>
      <c r="M902" s="7">
        <v>4</v>
      </c>
      <c r="N902" s="7">
        <v>0.14000000000000001</v>
      </c>
      <c r="O902" s="7">
        <v>1045.1600000000001</v>
      </c>
      <c r="P902" s="7" t="s">
        <v>23</v>
      </c>
      <c r="Q902" s="7" t="s">
        <v>24</v>
      </c>
      <c r="R902" s="7">
        <v>6</v>
      </c>
      <c r="S902" s="7">
        <f t="shared" si="43"/>
        <v>2024</v>
      </c>
      <c r="T902" s="7" t="str">
        <f t="shared" si="44"/>
        <v>Nov</v>
      </c>
    </row>
    <row r="903" spans="2:20" x14ac:dyDescent="0.3">
      <c r="B903" s="7">
        <v>902</v>
      </c>
      <c r="C903" s="7" t="s">
        <v>2357</v>
      </c>
      <c r="D903" s="7" t="s">
        <v>2358</v>
      </c>
      <c r="E903" s="7" t="str">
        <f t="shared" si="42"/>
        <v>Nov</v>
      </c>
      <c r="F903" s="7" t="s">
        <v>2359</v>
      </c>
      <c r="G903" s="7" t="s">
        <v>64</v>
      </c>
      <c r="H903" s="7" t="s">
        <v>37</v>
      </c>
      <c r="I903" s="7" t="s">
        <v>38</v>
      </c>
      <c r="J903" s="7" t="s">
        <v>66</v>
      </c>
      <c r="K903" s="7" t="s">
        <v>53</v>
      </c>
      <c r="L903" s="7">
        <v>364.77</v>
      </c>
      <c r="M903" s="7">
        <v>1</v>
      </c>
      <c r="N903" s="7">
        <v>0.11</v>
      </c>
      <c r="O903" s="7">
        <v>84.9</v>
      </c>
      <c r="P903" s="7" t="s">
        <v>31</v>
      </c>
      <c r="Q903" s="7" t="s">
        <v>32</v>
      </c>
      <c r="R903" s="7">
        <v>10</v>
      </c>
      <c r="S903" s="7">
        <f t="shared" si="43"/>
        <v>2024</v>
      </c>
      <c r="T903" s="7" t="str">
        <f t="shared" si="44"/>
        <v>Nov</v>
      </c>
    </row>
    <row r="904" spans="2:20" x14ac:dyDescent="0.3">
      <c r="B904" s="7">
        <v>903</v>
      </c>
      <c r="C904" s="7" t="s">
        <v>2360</v>
      </c>
      <c r="D904" s="7" t="s">
        <v>142</v>
      </c>
      <c r="E904" s="7" t="str">
        <f t="shared" si="42"/>
        <v>Jan</v>
      </c>
      <c r="F904" s="7" t="s">
        <v>2361</v>
      </c>
      <c r="G904" s="7" t="s">
        <v>44</v>
      </c>
      <c r="H904" s="7" t="s">
        <v>65</v>
      </c>
      <c r="I904" s="7" t="s">
        <v>59</v>
      </c>
      <c r="J904" s="7" t="s">
        <v>66</v>
      </c>
      <c r="K904" s="7" t="s">
        <v>67</v>
      </c>
      <c r="L904" s="7">
        <v>113.31</v>
      </c>
      <c r="M904" s="7">
        <v>1</v>
      </c>
      <c r="N904" s="7">
        <v>0.05</v>
      </c>
      <c r="O904" s="7">
        <v>33.82</v>
      </c>
      <c r="P904" s="7" t="s">
        <v>54</v>
      </c>
      <c r="Q904" s="7" t="s">
        <v>77</v>
      </c>
      <c r="R904" s="7">
        <v>3</v>
      </c>
      <c r="S904" s="7">
        <f t="shared" si="43"/>
        <v>2024</v>
      </c>
      <c r="T904" s="7" t="str">
        <f t="shared" si="44"/>
        <v>Jan</v>
      </c>
    </row>
    <row r="905" spans="2:20" x14ac:dyDescent="0.3">
      <c r="B905" s="7">
        <v>904</v>
      </c>
      <c r="C905" s="7" t="s">
        <v>2362</v>
      </c>
      <c r="D905" s="7" t="s">
        <v>1943</v>
      </c>
      <c r="E905" s="7" t="str">
        <f t="shared" si="42"/>
        <v>Sep</v>
      </c>
      <c r="F905" s="7" t="s">
        <v>2363</v>
      </c>
      <c r="G905" s="7" t="s">
        <v>64</v>
      </c>
      <c r="H905" s="7" t="s">
        <v>58</v>
      </c>
      <c r="I905" s="7" t="s">
        <v>106</v>
      </c>
      <c r="J905" s="7" t="s">
        <v>29</v>
      </c>
      <c r="K905" s="7" t="s">
        <v>39</v>
      </c>
      <c r="L905" s="7">
        <v>1255.3699999999999</v>
      </c>
      <c r="M905" s="7">
        <v>2</v>
      </c>
      <c r="N905" s="7">
        <v>0.18</v>
      </c>
      <c r="O905" s="7">
        <v>243.06</v>
      </c>
      <c r="P905" s="7" t="s">
        <v>54</v>
      </c>
      <c r="Q905" s="7" t="s">
        <v>32</v>
      </c>
      <c r="R905" s="7">
        <v>1</v>
      </c>
      <c r="S905" s="7">
        <f t="shared" si="43"/>
        <v>2024</v>
      </c>
      <c r="T905" s="7" t="str">
        <f t="shared" si="44"/>
        <v>Sep</v>
      </c>
    </row>
    <row r="906" spans="2:20" x14ac:dyDescent="0.3">
      <c r="B906" s="7">
        <v>905</v>
      </c>
      <c r="C906" s="7" t="s">
        <v>2364</v>
      </c>
      <c r="D906" s="7" t="s">
        <v>1059</v>
      </c>
      <c r="E906" s="7" t="str">
        <f t="shared" si="42"/>
        <v>Dec</v>
      </c>
      <c r="F906" s="7" t="s">
        <v>2365</v>
      </c>
      <c r="G906" s="7" t="s">
        <v>64</v>
      </c>
      <c r="H906" s="7" t="s">
        <v>51</v>
      </c>
      <c r="I906" s="7" t="s">
        <v>46</v>
      </c>
      <c r="J906" s="7" t="s">
        <v>29</v>
      </c>
      <c r="K906" s="7" t="s">
        <v>53</v>
      </c>
      <c r="L906" s="7">
        <v>1992.84</v>
      </c>
      <c r="M906" s="7">
        <v>5</v>
      </c>
      <c r="N906" s="7">
        <v>0.09</v>
      </c>
      <c r="O906" s="7">
        <v>377.49</v>
      </c>
      <c r="P906" s="7" t="s">
        <v>31</v>
      </c>
      <c r="Q906" s="7" t="s">
        <v>77</v>
      </c>
      <c r="R906" s="7">
        <v>6</v>
      </c>
      <c r="S906" s="7">
        <f t="shared" si="43"/>
        <v>2025</v>
      </c>
      <c r="T906" s="7" t="str">
        <f t="shared" si="44"/>
        <v>Dec</v>
      </c>
    </row>
    <row r="907" spans="2:20" x14ac:dyDescent="0.3">
      <c r="B907" s="7">
        <v>906</v>
      </c>
      <c r="C907" s="7" t="s">
        <v>2366</v>
      </c>
      <c r="D907" s="7" t="s">
        <v>133</v>
      </c>
      <c r="E907" s="7" t="str">
        <f t="shared" si="42"/>
        <v>Sep</v>
      </c>
      <c r="F907" s="7" t="s">
        <v>2367</v>
      </c>
      <c r="G907" s="7" t="s">
        <v>44</v>
      </c>
      <c r="H907" s="7" t="s">
        <v>19</v>
      </c>
      <c r="I907" s="7" t="s">
        <v>38</v>
      </c>
      <c r="J907" s="7" t="s">
        <v>81</v>
      </c>
      <c r="K907" s="7" t="s">
        <v>60</v>
      </c>
      <c r="L907" s="7">
        <v>101</v>
      </c>
      <c r="M907" s="7">
        <v>1</v>
      </c>
      <c r="N907" s="7">
        <v>0.23</v>
      </c>
      <c r="O907" s="7">
        <v>24.02</v>
      </c>
      <c r="P907" s="7" t="s">
        <v>31</v>
      </c>
      <c r="Q907" s="7" t="s">
        <v>40</v>
      </c>
      <c r="R907" s="7">
        <v>4</v>
      </c>
      <c r="S907" s="7">
        <f t="shared" si="43"/>
        <v>2025</v>
      </c>
      <c r="T907" s="7" t="str">
        <f t="shared" si="44"/>
        <v>Sep</v>
      </c>
    </row>
    <row r="908" spans="2:20" x14ac:dyDescent="0.3">
      <c r="B908" s="7">
        <v>907</v>
      </c>
      <c r="C908" s="7" t="s">
        <v>2368</v>
      </c>
      <c r="D908" s="7" t="s">
        <v>2369</v>
      </c>
      <c r="E908" s="7" t="str">
        <f t="shared" si="42"/>
        <v>Dec</v>
      </c>
      <c r="F908" s="7" t="s">
        <v>2370</v>
      </c>
      <c r="G908" s="7" t="s">
        <v>64</v>
      </c>
      <c r="H908" s="7" t="s">
        <v>45</v>
      </c>
      <c r="I908" s="7" t="s">
        <v>28</v>
      </c>
      <c r="J908" s="7" t="s">
        <v>47</v>
      </c>
      <c r="K908" s="7" t="s">
        <v>72</v>
      </c>
      <c r="L908" s="7">
        <v>239.48</v>
      </c>
      <c r="M908" s="7">
        <v>1</v>
      </c>
      <c r="N908" s="7">
        <v>0.26</v>
      </c>
      <c r="O908" s="7">
        <v>32.5</v>
      </c>
      <c r="P908" s="7" t="s">
        <v>54</v>
      </c>
      <c r="Q908" s="7" t="s">
        <v>86</v>
      </c>
      <c r="R908" s="7">
        <v>8</v>
      </c>
      <c r="S908" s="7">
        <f t="shared" si="43"/>
        <v>2025</v>
      </c>
      <c r="T908" s="7" t="str">
        <f t="shared" si="44"/>
        <v>Dec</v>
      </c>
    </row>
    <row r="909" spans="2:20" x14ac:dyDescent="0.3">
      <c r="B909" s="7">
        <v>908</v>
      </c>
      <c r="C909" s="7" t="s">
        <v>2371</v>
      </c>
      <c r="D909" s="7" t="s">
        <v>2372</v>
      </c>
      <c r="E909" s="7" t="str">
        <f t="shared" si="42"/>
        <v>Jan</v>
      </c>
      <c r="F909" s="7" t="s">
        <v>2373</v>
      </c>
      <c r="G909" s="7" t="s">
        <v>102</v>
      </c>
      <c r="H909" s="7" t="s">
        <v>58</v>
      </c>
      <c r="I909" s="7" t="s">
        <v>116</v>
      </c>
      <c r="J909" s="7" t="s">
        <v>81</v>
      </c>
      <c r="K909" s="7" t="s">
        <v>82</v>
      </c>
      <c r="L909" s="7">
        <v>3320.33</v>
      </c>
      <c r="M909" s="7">
        <v>5</v>
      </c>
      <c r="N909" s="7">
        <v>0.02</v>
      </c>
      <c r="O909" s="7">
        <v>760.83</v>
      </c>
      <c r="P909" s="7" t="s">
        <v>23</v>
      </c>
      <c r="Q909" s="7" t="s">
        <v>24</v>
      </c>
      <c r="R909" s="7">
        <v>3</v>
      </c>
      <c r="S909" s="7">
        <f t="shared" si="43"/>
        <v>2024</v>
      </c>
      <c r="T909" s="7" t="str">
        <f t="shared" si="44"/>
        <v>Jan</v>
      </c>
    </row>
    <row r="910" spans="2:20" x14ac:dyDescent="0.3">
      <c r="B910" s="7">
        <v>909</v>
      </c>
      <c r="C910" s="7" t="s">
        <v>2374</v>
      </c>
      <c r="D910" s="7" t="s">
        <v>525</v>
      </c>
      <c r="E910" s="7" t="str">
        <f t="shared" si="42"/>
        <v>Feb</v>
      </c>
      <c r="F910" s="7" t="s">
        <v>2375</v>
      </c>
      <c r="G910" s="7" t="s">
        <v>18</v>
      </c>
      <c r="H910" s="7" t="s">
        <v>19</v>
      </c>
      <c r="I910" s="7" t="s">
        <v>59</v>
      </c>
      <c r="J910" s="7" t="s">
        <v>29</v>
      </c>
      <c r="K910" s="7" t="s">
        <v>76</v>
      </c>
      <c r="L910" s="7">
        <v>417.02</v>
      </c>
      <c r="M910" s="7">
        <v>3</v>
      </c>
      <c r="N910" s="7">
        <v>0.3</v>
      </c>
      <c r="O910" s="7">
        <v>122.68</v>
      </c>
      <c r="P910" s="7" t="s">
        <v>31</v>
      </c>
      <c r="Q910" s="7" t="s">
        <v>86</v>
      </c>
      <c r="R910" s="7">
        <v>5</v>
      </c>
      <c r="S910" s="7">
        <f t="shared" si="43"/>
        <v>2025</v>
      </c>
      <c r="T910" s="7" t="str">
        <f t="shared" si="44"/>
        <v>Feb</v>
      </c>
    </row>
    <row r="911" spans="2:20" x14ac:dyDescent="0.3">
      <c r="B911" s="7">
        <v>910</v>
      </c>
      <c r="C911" s="7" t="s">
        <v>2376</v>
      </c>
      <c r="D911" s="7" t="s">
        <v>1040</v>
      </c>
      <c r="E911" s="7" t="str">
        <f t="shared" si="42"/>
        <v>Oct</v>
      </c>
      <c r="F911" s="7" t="s">
        <v>2377</v>
      </c>
      <c r="G911" s="7" t="s">
        <v>44</v>
      </c>
      <c r="H911" s="7" t="s">
        <v>51</v>
      </c>
      <c r="I911" s="7" t="s">
        <v>52</v>
      </c>
      <c r="J911" s="7" t="s">
        <v>21</v>
      </c>
      <c r="K911" s="7" t="s">
        <v>76</v>
      </c>
      <c r="L911" s="7">
        <v>1257.19</v>
      </c>
      <c r="M911" s="7">
        <v>2</v>
      </c>
      <c r="N911" s="7">
        <v>0.2</v>
      </c>
      <c r="O911" s="7">
        <v>224.51</v>
      </c>
      <c r="P911" s="7" t="s">
        <v>31</v>
      </c>
      <c r="Q911" s="7" t="s">
        <v>77</v>
      </c>
      <c r="R911" s="7">
        <v>8</v>
      </c>
      <c r="S911" s="7">
        <f t="shared" si="43"/>
        <v>2024</v>
      </c>
      <c r="T911" s="7" t="str">
        <f t="shared" si="44"/>
        <v>Oct</v>
      </c>
    </row>
    <row r="912" spans="2:20" x14ac:dyDescent="0.3">
      <c r="B912" s="7">
        <v>911</v>
      </c>
      <c r="C912" s="7" t="s">
        <v>2378</v>
      </c>
      <c r="D912" s="7" t="s">
        <v>1110</v>
      </c>
      <c r="E912" s="7" t="str">
        <f t="shared" si="42"/>
        <v>Nov</v>
      </c>
      <c r="F912" s="7" t="s">
        <v>2379</v>
      </c>
      <c r="G912" s="7" t="s">
        <v>18</v>
      </c>
      <c r="H912" s="7" t="s">
        <v>45</v>
      </c>
      <c r="I912" s="7" t="s">
        <v>59</v>
      </c>
      <c r="J912" s="7" t="s">
        <v>29</v>
      </c>
      <c r="K912" s="7" t="s">
        <v>30</v>
      </c>
      <c r="L912" s="7">
        <v>950.12</v>
      </c>
      <c r="M912" s="7">
        <v>4</v>
      </c>
      <c r="N912" s="7">
        <v>0.17</v>
      </c>
      <c r="O912" s="7">
        <v>291.83999999999997</v>
      </c>
      <c r="P912" s="7" t="s">
        <v>54</v>
      </c>
      <c r="Q912" s="7" t="s">
        <v>24</v>
      </c>
      <c r="R912" s="7">
        <v>8</v>
      </c>
      <c r="S912" s="7">
        <f t="shared" si="43"/>
        <v>2025</v>
      </c>
      <c r="T912" s="7" t="str">
        <f t="shared" si="44"/>
        <v>Nov</v>
      </c>
    </row>
    <row r="913" spans="2:20" x14ac:dyDescent="0.3">
      <c r="B913" s="7">
        <v>912</v>
      </c>
      <c r="C913" s="7" t="s">
        <v>2380</v>
      </c>
      <c r="D913" s="7" t="s">
        <v>2381</v>
      </c>
      <c r="E913" s="7" t="str">
        <f t="shared" si="42"/>
        <v>Jan</v>
      </c>
      <c r="F913" s="7" t="s">
        <v>2382</v>
      </c>
      <c r="G913" s="7" t="s">
        <v>64</v>
      </c>
      <c r="H913" s="7" t="s">
        <v>19</v>
      </c>
      <c r="I913" s="7" t="s">
        <v>106</v>
      </c>
      <c r="J913" s="7" t="s">
        <v>21</v>
      </c>
      <c r="K913" s="7" t="s">
        <v>72</v>
      </c>
      <c r="L913" s="7">
        <v>2873.35</v>
      </c>
      <c r="M913" s="7">
        <v>3</v>
      </c>
      <c r="N913" s="7">
        <v>0.13</v>
      </c>
      <c r="O913" s="7">
        <v>540.47</v>
      </c>
      <c r="P913" s="7" t="s">
        <v>54</v>
      </c>
      <c r="Q913" s="7" t="s">
        <v>86</v>
      </c>
      <c r="R913" s="7">
        <v>3</v>
      </c>
      <c r="S913" s="7">
        <f t="shared" si="43"/>
        <v>2024</v>
      </c>
      <c r="T913" s="7" t="str">
        <f t="shared" si="44"/>
        <v>Jan</v>
      </c>
    </row>
    <row r="914" spans="2:20" x14ac:dyDescent="0.3">
      <c r="B914" s="7">
        <v>913</v>
      </c>
      <c r="C914" s="7" t="s">
        <v>2383</v>
      </c>
      <c r="D914" s="7" t="s">
        <v>2288</v>
      </c>
      <c r="E914" s="7" t="str">
        <f t="shared" si="42"/>
        <v>Nov</v>
      </c>
      <c r="F914" s="7" t="s">
        <v>2384</v>
      </c>
      <c r="G914" s="7" t="s">
        <v>44</v>
      </c>
      <c r="H914" s="7" t="s">
        <v>65</v>
      </c>
      <c r="I914" s="7" t="s">
        <v>52</v>
      </c>
      <c r="J914" s="7" t="s">
        <v>29</v>
      </c>
      <c r="K914" s="7" t="s">
        <v>30</v>
      </c>
      <c r="L914" s="7">
        <v>652</v>
      </c>
      <c r="M914" s="7">
        <v>2</v>
      </c>
      <c r="N914" s="7">
        <v>0.16</v>
      </c>
      <c r="O914" s="7">
        <v>123.44</v>
      </c>
      <c r="P914" s="7" t="s">
        <v>23</v>
      </c>
      <c r="Q914" s="7" t="s">
        <v>32</v>
      </c>
      <c r="R914" s="7">
        <v>3</v>
      </c>
      <c r="S914" s="7">
        <f t="shared" si="43"/>
        <v>2025</v>
      </c>
      <c r="T914" s="7" t="str">
        <f t="shared" si="44"/>
        <v>Nov</v>
      </c>
    </row>
    <row r="915" spans="2:20" x14ac:dyDescent="0.3">
      <c r="B915" s="7">
        <v>914</v>
      </c>
      <c r="C915" s="7" t="s">
        <v>2385</v>
      </c>
      <c r="D915" s="7" t="s">
        <v>2386</v>
      </c>
      <c r="E915" s="7" t="str">
        <f t="shared" si="42"/>
        <v>May</v>
      </c>
      <c r="F915" s="7" t="s">
        <v>1528</v>
      </c>
      <c r="G915" s="7" t="s">
        <v>44</v>
      </c>
      <c r="H915" s="7" t="s">
        <v>51</v>
      </c>
      <c r="I915" s="7" t="s">
        <v>116</v>
      </c>
      <c r="J915" s="7" t="s">
        <v>81</v>
      </c>
      <c r="K915" s="7" t="s">
        <v>60</v>
      </c>
      <c r="L915" s="7">
        <v>481.31</v>
      </c>
      <c r="M915" s="7">
        <v>1</v>
      </c>
      <c r="N915" s="7">
        <v>0.1</v>
      </c>
      <c r="O915" s="7">
        <v>122.78</v>
      </c>
      <c r="P915" s="7" t="s">
        <v>23</v>
      </c>
      <c r="Q915" s="7" t="s">
        <v>32</v>
      </c>
      <c r="R915" s="7">
        <v>8</v>
      </c>
      <c r="S915" s="7">
        <f t="shared" si="43"/>
        <v>2024</v>
      </c>
      <c r="T915" s="7" t="str">
        <f t="shared" si="44"/>
        <v>May</v>
      </c>
    </row>
    <row r="916" spans="2:20" x14ac:dyDescent="0.3">
      <c r="B916" s="7">
        <v>915</v>
      </c>
      <c r="C916" s="7" t="s">
        <v>2387</v>
      </c>
      <c r="D916" s="7" t="s">
        <v>49</v>
      </c>
      <c r="E916" s="7" t="str">
        <f t="shared" si="42"/>
        <v>May</v>
      </c>
      <c r="F916" s="7" t="s">
        <v>2388</v>
      </c>
      <c r="G916" s="7" t="s">
        <v>44</v>
      </c>
      <c r="H916" s="7" t="s">
        <v>71</v>
      </c>
      <c r="I916" s="7" t="s">
        <v>116</v>
      </c>
      <c r="J916" s="7" t="s">
        <v>21</v>
      </c>
      <c r="K916" s="7" t="s">
        <v>76</v>
      </c>
      <c r="L916" s="7">
        <v>2748.19</v>
      </c>
      <c r="M916" s="7">
        <v>3</v>
      </c>
      <c r="N916" s="7">
        <v>0.01</v>
      </c>
      <c r="O916" s="7">
        <v>407.44</v>
      </c>
      <c r="P916" s="7" t="s">
        <v>31</v>
      </c>
      <c r="Q916" s="7" t="s">
        <v>32</v>
      </c>
      <c r="R916" s="7">
        <v>6</v>
      </c>
      <c r="S916" s="7">
        <f t="shared" si="43"/>
        <v>2024</v>
      </c>
      <c r="T916" s="7" t="str">
        <f t="shared" si="44"/>
        <v>May</v>
      </c>
    </row>
    <row r="917" spans="2:20" x14ac:dyDescent="0.3">
      <c r="B917" s="7">
        <v>916</v>
      </c>
      <c r="C917" s="7" t="s">
        <v>2389</v>
      </c>
      <c r="D917" s="7" t="s">
        <v>927</v>
      </c>
      <c r="E917" s="7" t="str">
        <f t="shared" si="42"/>
        <v>Feb</v>
      </c>
      <c r="F917" s="7" t="s">
        <v>2390</v>
      </c>
      <c r="G917" s="7" t="s">
        <v>64</v>
      </c>
      <c r="H917" s="7" t="s">
        <v>19</v>
      </c>
      <c r="I917" s="7" t="s">
        <v>52</v>
      </c>
      <c r="J917" s="7" t="s">
        <v>21</v>
      </c>
      <c r="K917" s="7" t="s">
        <v>82</v>
      </c>
      <c r="L917" s="7">
        <v>2819.74</v>
      </c>
      <c r="M917" s="7">
        <v>3</v>
      </c>
      <c r="N917" s="7">
        <v>0.11</v>
      </c>
      <c r="O917" s="7">
        <v>374.03</v>
      </c>
      <c r="P917" s="7" t="s">
        <v>23</v>
      </c>
      <c r="Q917" s="7" t="s">
        <v>32</v>
      </c>
      <c r="R917" s="7">
        <v>9</v>
      </c>
      <c r="S917" s="7">
        <f t="shared" si="43"/>
        <v>2025</v>
      </c>
      <c r="T917" s="7" t="str">
        <f t="shared" si="44"/>
        <v>Feb</v>
      </c>
    </row>
    <row r="918" spans="2:20" x14ac:dyDescent="0.3">
      <c r="B918" s="7">
        <v>917</v>
      </c>
      <c r="C918" s="7" t="s">
        <v>2391</v>
      </c>
      <c r="D918" s="7" t="s">
        <v>426</v>
      </c>
      <c r="E918" s="7" t="str">
        <f t="shared" si="42"/>
        <v>Oct</v>
      </c>
      <c r="F918" s="7" t="s">
        <v>2392</v>
      </c>
      <c r="G918" s="7" t="s">
        <v>36</v>
      </c>
      <c r="H918" s="7" t="s">
        <v>58</v>
      </c>
      <c r="I918" s="7" t="s">
        <v>116</v>
      </c>
      <c r="J918" s="7" t="s">
        <v>21</v>
      </c>
      <c r="K918" s="7" t="s">
        <v>67</v>
      </c>
      <c r="L918" s="7">
        <v>1438.99</v>
      </c>
      <c r="M918" s="7">
        <v>2</v>
      </c>
      <c r="N918" s="7">
        <v>0.28999999999999998</v>
      </c>
      <c r="O918" s="7">
        <v>389.98</v>
      </c>
      <c r="P918" s="7" t="s">
        <v>54</v>
      </c>
      <c r="Q918" s="7" t="s">
        <v>32</v>
      </c>
      <c r="R918" s="7">
        <v>7</v>
      </c>
      <c r="S918" s="7">
        <f t="shared" si="43"/>
        <v>2025</v>
      </c>
      <c r="T918" s="7" t="str">
        <f t="shared" si="44"/>
        <v>Oct</v>
      </c>
    </row>
    <row r="919" spans="2:20" x14ac:dyDescent="0.3">
      <c r="B919" s="7">
        <v>918</v>
      </c>
      <c r="C919" s="7" t="s">
        <v>2393</v>
      </c>
      <c r="D919" s="7" t="s">
        <v>2394</v>
      </c>
      <c r="E919" s="7" t="str">
        <f t="shared" si="42"/>
        <v>Dec</v>
      </c>
      <c r="F919" s="7" t="s">
        <v>2395</v>
      </c>
      <c r="G919" s="7" t="s">
        <v>36</v>
      </c>
      <c r="H919" s="7" t="s">
        <v>71</v>
      </c>
      <c r="I919" s="7" t="s">
        <v>38</v>
      </c>
      <c r="J919" s="7" t="s">
        <v>81</v>
      </c>
      <c r="K919" s="7" t="s">
        <v>22</v>
      </c>
      <c r="L919" s="7">
        <v>3941.01</v>
      </c>
      <c r="M919" s="7">
        <v>5</v>
      </c>
      <c r="N919" s="7">
        <v>0</v>
      </c>
      <c r="O919" s="7">
        <v>949.64</v>
      </c>
      <c r="P919" s="7" t="s">
        <v>31</v>
      </c>
      <c r="Q919" s="7" t="s">
        <v>32</v>
      </c>
      <c r="R919" s="7">
        <v>8</v>
      </c>
      <c r="S919" s="7">
        <f t="shared" si="43"/>
        <v>2024</v>
      </c>
      <c r="T919" s="7" t="str">
        <f t="shared" si="44"/>
        <v>Dec</v>
      </c>
    </row>
    <row r="920" spans="2:20" x14ac:dyDescent="0.3">
      <c r="B920" s="7">
        <v>919</v>
      </c>
      <c r="C920" s="7" t="s">
        <v>2396</v>
      </c>
      <c r="D920" s="7" t="s">
        <v>349</v>
      </c>
      <c r="E920" s="7" t="str">
        <f t="shared" si="42"/>
        <v>Apr</v>
      </c>
      <c r="F920" s="7" t="s">
        <v>2397</v>
      </c>
      <c r="G920" s="7" t="s">
        <v>64</v>
      </c>
      <c r="H920" s="7" t="s">
        <v>37</v>
      </c>
      <c r="I920" s="7" t="s">
        <v>38</v>
      </c>
      <c r="J920" s="7" t="s">
        <v>21</v>
      </c>
      <c r="K920" s="7" t="s">
        <v>67</v>
      </c>
      <c r="L920" s="7">
        <v>2748.2</v>
      </c>
      <c r="M920" s="7">
        <v>4</v>
      </c>
      <c r="N920" s="7">
        <v>0.28000000000000003</v>
      </c>
      <c r="O920" s="7">
        <v>341.47</v>
      </c>
      <c r="P920" s="7" t="s">
        <v>23</v>
      </c>
      <c r="Q920" s="7" t="s">
        <v>24</v>
      </c>
      <c r="R920" s="7">
        <v>9</v>
      </c>
      <c r="S920" s="7">
        <f t="shared" si="43"/>
        <v>2024</v>
      </c>
      <c r="T920" s="7" t="str">
        <f t="shared" si="44"/>
        <v>Apr</v>
      </c>
    </row>
    <row r="921" spans="2:20" x14ac:dyDescent="0.3">
      <c r="B921" s="7">
        <v>920</v>
      </c>
      <c r="C921" s="7" t="s">
        <v>2398</v>
      </c>
      <c r="D921" s="7" t="s">
        <v>544</v>
      </c>
      <c r="E921" s="7" t="str">
        <f t="shared" si="42"/>
        <v>Aug</v>
      </c>
      <c r="F921" s="7" t="s">
        <v>2399</v>
      </c>
      <c r="G921" s="7" t="s">
        <v>18</v>
      </c>
      <c r="H921" s="7" t="s">
        <v>51</v>
      </c>
      <c r="I921" s="7" t="s">
        <v>38</v>
      </c>
      <c r="J921" s="7" t="s">
        <v>29</v>
      </c>
      <c r="K921" s="7" t="s">
        <v>39</v>
      </c>
      <c r="L921" s="7">
        <v>2200.21</v>
      </c>
      <c r="M921" s="7">
        <v>3</v>
      </c>
      <c r="N921" s="7">
        <v>0.28000000000000003</v>
      </c>
      <c r="O921" s="7">
        <v>328.04</v>
      </c>
      <c r="P921" s="7" t="s">
        <v>23</v>
      </c>
      <c r="Q921" s="7" t="s">
        <v>32</v>
      </c>
      <c r="R921" s="7">
        <v>4</v>
      </c>
      <c r="S921" s="7">
        <f t="shared" si="43"/>
        <v>2024</v>
      </c>
      <c r="T921" s="7" t="str">
        <f t="shared" si="44"/>
        <v>Aug</v>
      </c>
    </row>
    <row r="922" spans="2:20" x14ac:dyDescent="0.3">
      <c r="B922" s="7">
        <v>921</v>
      </c>
      <c r="C922" s="7" t="s">
        <v>2400</v>
      </c>
      <c r="D922" s="7" t="s">
        <v>426</v>
      </c>
      <c r="E922" s="7" t="str">
        <f t="shared" si="42"/>
        <v>Oct</v>
      </c>
      <c r="F922" s="7" t="s">
        <v>2401</v>
      </c>
      <c r="G922" s="7" t="s">
        <v>44</v>
      </c>
      <c r="H922" s="7" t="s">
        <v>71</v>
      </c>
      <c r="I922" s="7" t="s">
        <v>106</v>
      </c>
      <c r="J922" s="7" t="s">
        <v>47</v>
      </c>
      <c r="K922" s="7" t="s">
        <v>76</v>
      </c>
      <c r="L922" s="7">
        <v>2564.39</v>
      </c>
      <c r="M922" s="7">
        <v>3</v>
      </c>
      <c r="N922" s="7">
        <v>0.04</v>
      </c>
      <c r="O922" s="7">
        <v>875.2</v>
      </c>
      <c r="P922" s="7" t="s">
        <v>54</v>
      </c>
      <c r="Q922" s="7" t="s">
        <v>86</v>
      </c>
      <c r="R922" s="7">
        <v>3</v>
      </c>
      <c r="S922" s="7">
        <f t="shared" si="43"/>
        <v>2025</v>
      </c>
      <c r="T922" s="7" t="str">
        <f t="shared" si="44"/>
        <v>Oct</v>
      </c>
    </row>
    <row r="923" spans="2:20" x14ac:dyDescent="0.3">
      <c r="B923" s="7">
        <v>922</v>
      </c>
      <c r="C923" s="7" t="s">
        <v>2402</v>
      </c>
      <c r="D923" s="7" t="s">
        <v>1628</v>
      </c>
      <c r="E923" s="7" t="str">
        <f t="shared" si="42"/>
        <v>Jan</v>
      </c>
      <c r="F923" s="7" t="s">
        <v>2403</v>
      </c>
      <c r="G923" s="7" t="s">
        <v>44</v>
      </c>
      <c r="H923" s="7" t="s">
        <v>19</v>
      </c>
      <c r="I923" s="7" t="s">
        <v>59</v>
      </c>
      <c r="J923" s="7" t="s">
        <v>66</v>
      </c>
      <c r="K923" s="7" t="s">
        <v>53</v>
      </c>
      <c r="L923" s="7">
        <v>2456.7800000000002</v>
      </c>
      <c r="M923" s="7">
        <v>4</v>
      </c>
      <c r="N923" s="7">
        <v>0.22</v>
      </c>
      <c r="O923" s="7">
        <v>833.5</v>
      </c>
      <c r="P923" s="7" t="s">
        <v>31</v>
      </c>
      <c r="Q923" s="7" t="s">
        <v>77</v>
      </c>
      <c r="R923" s="7">
        <v>8</v>
      </c>
      <c r="S923" s="7">
        <f t="shared" si="43"/>
        <v>2024</v>
      </c>
      <c r="T923" s="7" t="str">
        <f t="shared" si="44"/>
        <v>Jan</v>
      </c>
    </row>
    <row r="924" spans="2:20" x14ac:dyDescent="0.3">
      <c r="B924" s="7">
        <v>923</v>
      </c>
      <c r="C924" s="7" t="s">
        <v>2404</v>
      </c>
      <c r="D924" s="7" t="s">
        <v>2405</v>
      </c>
      <c r="E924" s="7" t="str">
        <f t="shared" si="42"/>
        <v>Mar</v>
      </c>
      <c r="F924" s="7" t="s">
        <v>2406</v>
      </c>
      <c r="G924" s="7" t="s">
        <v>44</v>
      </c>
      <c r="H924" s="7" t="s">
        <v>45</v>
      </c>
      <c r="I924" s="7" t="s">
        <v>106</v>
      </c>
      <c r="J924" s="7" t="s">
        <v>21</v>
      </c>
      <c r="K924" s="7" t="s">
        <v>72</v>
      </c>
      <c r="L924" s="7">
        <v>151.47</v>
      </c>
      <c r="M924" s="7">
        <v>5</v>
      </c>
      <c r="N924" s="7">
        <v>0.18</v>
      </c>
      <c r="O924" s="7">
        <v>28.42</v>
      </c>
      <c r="P924" s="7" t="s">
        <v>31</v>
      </c>
      <c r="Q924" s="7" t="s">
        <v>86</v>
      </c>
      <c r="R924" s="7">
        <v>3</v>
      </c>
      <c r="S924" s="7">
        <f t="shared" si="43"/>
        <v>2025</v>
      </c>
      <c r="T924" s="7" t="str">
        <f t="shared" si="44"/>
        <v>Mar</v>
      </c>
    </row>
    <row r="925" spans="2:20" x14ac:dyDescent="0.3">
      <c r="B925" s="7">
        <v>924</v>
      </c>
      <c r="C925" s="7" t="s">
        <v>2407</v>
      </c>
      <c r="D925" s="7" t="s">
        <v>2408</v>
      </c>
      <c r="E925" s="7" t="str">
        <f t="shared" si="42"/>
        <v>Apr</v>
      </c>
      <c r="F925" s="7" t="s">
        <v>2409</v>
      </c>
      <c r="G925" s="7" t="s">
        <v>36</v>
      </c>
      <c r="H925" s="7" t="s">
        <v>65</v>
      </c>
      <c r="I925" s="7" t="s">
        <v>116</v>
      </c>
      <c r="J925" s="7" t="s">
        <v>81</v>
      </c>
      <c r="K925" s="7" t="s">
        <v>82</v>
      </c>
      <c r="L925" s="7">
        <v>1697.29</v>
      </c>
      <c r="M925" s="7">
        <v>5</v>
      </c>
      <c r="N925" s="7">
        <v>0.12</v>
      </c>
      <c r="O925" s="7">
        <v>554.37</v>
      </c>
      <c r="P925" s="7" t="s">
        <v>54</v>
      </c>
      <c r="Q925" s="7" t="s">
        <v>24</v>
      </c>
      <c r="R925" s="7">
        <v>6</v>
      </c>
      <c r="S925" s="7">
        <f t="shared" si="43"/>
        <v>2025</v>
      </c>
      <c r="T925" s="7" t="str">
        <f t="shared" si="44"/>
        <v>Apr</v>
      </c>
    </row>
    <row r="926" spans="2:20" x14ac:dyDescent="0.3">
      <c r="B926" s="7">
        <v>925</v>
      </c>
      <c r="C926" s="7" t="s">
        <v>2410</v>
      </c>
      <c r="D926" s="7" t="s">
        <v>2411</v>
      </c>
      <c r="E926" s="7" t="str">
        <f t="shared" si="42"/>
        <v>Sep</v>
      </c>
      <c r="F926" s="7" t="s">
        <v>2412</v>
      </c>
      <c r="G926" s="7" t="s">
        <v>18</v>
      </c>
      <c r="H926" s="7" t="s">
        <v>37</v>
      </c>
      <c r="I926" s="7" t="s">
        <v>116</v>
      </c>
      <c r="J926" s="7" t="s">
        <v>81</v>
      </c>
      <c r="K926" s="7" t="s">
        <v>30</v>
      </c>
      <c r="L926" s="7">
        <v>569.46</v>
      </c>
      <c r="M926" s="7">
        <v>2</v>
      </c>
      <c r="N926" s="7">
        <v>7.0000000000000007E-2</v>
      </c>
      <c r="O926" s="7">
        <v>161.32</v>
      </c>
      <c r="P926" s="7" t="s">
        <v>31</v>
      </c>
      <c r="Q926" s="7" t="s">
        <v>86</v>
      </c>
      <c r="R926" s="7">
        <v>4</v>
      </c>
      <c r="S926" s="7">
        <f t="shared" si="43"/>
        <v>2025</v>
      </c>
      <c r="T926" s="7" t="str">
        <f t="shared" si="44"/>
        <v>Sep</v>
      </c>
    </row>
    <row r="927" spans="2:20" x14ac:dyDescent="0.3">
      <c r="B927" s="7">
        <v>926</v>
      </c>
      <c r="C927" s="7" t="s">
        <v>2413</v>
      </c>
      <c r="D927" s="7" t="s">
        <v>390</v>
      </c>
      <c r="E927" s="7" t="str">
        <f t="shared" si="42"/>
        <v>Aug</v>
      </c>
      <c r="F927" s="7" t="s">
        <v>2414</v>
      </c>
      <c r="G927" s="7" t="s">
        <v>102</v>
      </c>
      <c r="H927" s="7" t="s">
        <v>45</v>
      </c>
      <c r="I927" s="7" t="s">
        <v>38</v>
      </c>
      <c r="J927" s="7" t="s">
        <v>66</v>
      </c>
      <c r="K927" s="7" t="s">
        <v>30</v>
      </c>
      <c r="L927" s="7">
        <v>116.05</v>
      </c>
      <c r="M927" s="7">
        <v>1</v>
      </c>
      <c r="N927" s="7">
        <v>0.08</v>
      </c>
      <c r="O927" s="7">
        <v>32.869999999999997</v>
      </c>
      <c r="P927" s="7" t="s">
        <v>54</v>
      </c>
      <c r="Q927" s="7" t="s">
        <v>86</v>
      </c>
      <c r="R927" s="7">
        <v>1</v>
      </c>
      <c r="S927" s="7">
        <f t="shared" si="43"/>
        <v>2025</v>
      </c>
      <c r="T927" s="7" t="str">
        <f t="shared" si="44"/>
        <v>Aug</v>
      </c>
    </row>
    <row r="928" spans="2:20" x14ac:dyDescent="0.3">
      <c r="B928" s="7">
        <v>927</v>
      </c>
      <c r="C928" s="7" t="s">
        <v>2415</v>
      </c>
      <c r="D928" s="7" t="s">
        <v>151</v>
      </c>
      <c r="E928" s="7" t="str">
        <f t="shared" si="42"/>
        <v>Feb</v>
      </c>
      <c r="F928" s="7" t="s">
        <v>2416</v>
      </c>
      <c r="G928" s="7" t="s">
        <v>64</v>
      </c>
      <c r="H928" s="7" t="s">
        <v>37</v>
      </c>
      <c r="I928" s="7" t="s">
        <v>38</v>
      </c>
      <c r="J928" s="7" t="s">
        <v>47</v>
      </c>
      <c r="K928" s="7" t="s">
        <v>30</v>
      </c>
      <c r="L928" s="7">
        <v>575.82000000000005</v>
      </c>
      <c r="M928" s="7">
        <v>1</v>
      </c>
      <c r="N928" s="7">
        <v>0.21</v>
      </c>
      <c r="O928" s="7">
        <v>60.87</v>
      </c>
      <c r="P928" s="7" t="s">
        <v>23</v>
      </c>
      <c r="Q928" s="7" t="s">
        <v>24</v>
      </c>
      <c r="R928" s="7">
        <v>6</v>
      </c>
      <c r="S928" s="7">
        <f t="shared" si="43"/>
        <v>2025</v>
      </c>
      <c r="T928" s="7" t="str">
        <f t="shared" si="44"/>
        <v>Feb</v>
      </c>
    </row>
    <row r="929" spans="2:20" x14ac:dyDescent="0.3">
      <c r="B929" s="7">
        <v>928</v>
      </c>
      <c r="C929" s="7" t="s">
        <v>2417</v>
      </c>
      <c r="D929" s="7" t="s">
        <v>2418</v>
      </c>
      <c r="E929" s="7" t="str">
        <f t="shared" si="42"/>
        <v>Jun</v>
      </c>
      <c r="F929" s="7" t="s">
        <v>2419</v>
      </c>
      <c r="G929" s="7" t="s">
        <v>102</v>
      </c>
      <c r="H929" s="7" t="s">
        <v>58</v>
      </c>
      <c r="I929" s="7" t="s">
        <v>52</v>
      </c>
      <c r="J929" s="7" t="s">
        <v>29</v>
      </c>
      <c r="K929" s="7" t="s">
        <v>72</v>
      </c>
      <c r="L929" s="7">
        <v>575.53</v>
      </c>
      <c r="M929" s="7">
        <v>2</v>
      </c>
      <c r="N929" s="7">
        <v>0.21</v>
      </c>
      <c r="O929" s="7">
        <v>198.73</v>
      </c>
      <c r="P929" s="7" t="s">
        <v>31</v>
      </c>
      <c r="Q929" s="7" t="s">
        <v>24</v>
      </c>
      <c r="R929" s="7">
        <v>9</v>
      </c>
      <c r="S929" s="7">
        <f t="shared" si="43"/>
        <v>2025</v>
      </c>
      <c r="T929" s="7" t="str">
        <f t="shared" si="44"/>
        <v>Jun</v>
      </c>
    </row>
    <row r="930" spans="2:20" x14ac:dyDescent="0.3">
      <c r="B930" s="7">
        <v>929</v>
      </c>
      <c r="C930" s="7" t="s">
        <v>2420</v>
      </c>
      <c r="D930" s="7" t="s">
        <v>979</v>
      </c>
      <c r="E930" s="7" t="str">
        <f t="shared" si="42"/>
        <v>Jul</v>
      </c>
      <c r="F930" s="7" t="s">
        <v>2421</v>
      </c>
      <c r="G930" s="7" t="s">
        <v>64</v>
      </c>
      <c r="H930" s="7" t="s">
        <v>37</v>
      </c>
      <c r="I930" s="7" t="s">
        <v>106</v>
      </c>
      <c r="J930" s="7" t="s">
        <v>21</v>
      </c>
      <c r="K930" s="7" t="s">
        <v>22</v>
      </c>
      <c r="L930" s="7">
        <v>2229.67</v>
      </c>
      <c r="M930" s="7">
        <v>5</v>
      </c>
      <c r="N930" s="7">
        <v>0.09</v>
      </c>
      <c r="O930" s="7">
        <v>651.61</v>
      </c>
      <c r="P930" s="7" t="s">
        <v>23</v>
      </c>
      <c r="Q930" s="7" t="s">
        <v>40</v>
      </c>
      <c r="R930" s="7">
        <v>9</v>
      </c>
      <c r="S930" s="7">
        <f t="shared" si="43"/>
        <v>2024</v>
      </c>
      <c r="T930" s="7" t="str">
        <f t="shared" si="44"/>
        <v>Jul</v>
      </c>
    </row>
    <row r="931" spans="2:20" x14ac:dyDescent="0.3">
      <c r="B931" s="7">
        <v>930</v>
      </c>
      <c r="C931" s="7" t="s">
        <v>2422</v>
      </c>
      <c r="D931" s="7" t="s">
        <v>2041</v>
      </c>
      <c r="E931" s="7" t="str">
        <f t="shared" si="42"/>
        <v>Jan</v>
      </c>
      <c r="F931" s="7" t="s">
        <v>2423</v>
      </c>
      <c r="G931" s="7" t="s">
        <v>36</v>
      </c>
      <c r="H931" s="7" t="s">
        <v>58</v>
      </c>
      <c r="I931" s="7" t="s">
        <v>106</v>
      </c>
      <c r="J931" s="7" t="s">
        <v>29</v>
      </c>
      <c r="K931" s="7" t="s">
        <v>39</v>
      </c>
      <c r="L931" s="7">
        <v>2974.05</v>
      </c>
      <c r="M931" s="7">
        <v>4</v>
      </c>
      <c r="N931" s="7">
        <v>0.16</v>
      </c>
      <c r="O931" s="7">
        <v>656.93</v>
      </c>
      <c r="P931" s="7" t="s">
        <v>54</v>
      </c>
      <c r="Q931" s="7" t="s">
        <v>77</v>
      </c>
      <c r="R931" s="7">
        <v>7</v>
      </c>
      <c r="S931" s="7">
        <f t="shared" si="43"/>
        <v>2024</v>
      </c>
      <c r="T931" s="7" t="str">
        <f t="shared" si="44"/>
        <v>Jan</v>
      </c>
    </row>
    <row r="932" spans="2:20" x14ac:dyDescent="0.3">
      <c r="B932" s="7">
        <v>931</v>
      </c>
      <c r="C932" s="7" t="s">
        <v>2424</v>
      </c>
      <c r="D932" s="7" t="s">
        <v>2221</v>
      </c>
      <c r="E932" s="7" t="str">
        <f t="shared" si="42"/>
        <v>Mar</v>
      </c>
      <c r="F932" s="7" t="s">
        <v>2425</v>
      </c>
      <c r="G932" s="7" t="s">
        <v>102</v>
      </c>
      <c r="H932" s="7" t="s">
        <v>37</v>
      </c>
      <c r="I932" s="7" t="s">
        <v>59</v>
      </c>
      <c r="J932" s="7" t="s">
        <v>81</v>
      </c>
      <c r="K932" s="7" t="s">
        <v>39</v>
      </c>
      <c r="L932" s="7">
        <v>1134.53</v>
      </c>
      <c r="M932" s="7">
        <v>3</v>
      </c>
      <c r="N932" s="7">
        <v>0.24</v>
      </c>
      <c r="O932" s="7">
        <v>360.29</v>
      </c>
      <c r="P932" s="7" t="s">
        <v>23</v>
      </c>
      <c r="Q932" s="7" t="s">
        <v>24</v>
      </c>
      <c r="R932" s="7">
        <v>6</v>
      </c>
      <c r="S932" s="7">
        <f t="shared" si="43"/>
        <v>2025</v>
      </c>
      <c r="T932" s="7" t="str">
        <f t="shared" si="44"/>
        <v>Mar</v>
      </c>
    </row>
    <row r="933" spans="2:20" x14ac:dyDescent="0.3">
      <c r="B933" s="7">
        <v>932</v>
      </c>
      <c r="C933" s="7" t="s">
        <v>2426</v>
      </c>
      <c r="D933" s="7" t="s">
        <v>714</v>
      </c>
      <c r="E933" s="7" t="str">
        <f t="shared" si="42"/>
        <v>Apr</v>
      </c>
      <c r="F933" s="7" t="s">
        <v>2427</v>
      </c>
      <c r="G933" s="7" t="s">
        <v>64</v>
      </c>
      <c r="H933" s="7" t="s">
        <v>37</v>
      </c>
      <c r="I933" s="7" t="s">
        <v>116</v>
      </c>
      <c r="J933" s="7" t="s">
        <v>29</v>
      </c>
      <c r="K933" s="7" t="s">
        <v>53</v>
      </c>
      <c r="L933" s="7">
        <v>2059.6</v>
      </c>
      <c r="M933" s="7">
        <v>3</v>
      </c>
      <c r="N933" s="7">
        <v>0.16</v>
      </c>
      <c r="O933" s="7">
        <v>468.7</v>
      </c>
      <c r="P933" s="7" t="s">
        <v>54</v>
      </c>
      <c r="Q933" s="7" t="s">
        <v>40</v>
      </c>
      <c r="R933" s="7">
        <v>8</v>
      </c>
      <c r="S933" s="7">
        <f t="shared" si="43"/>
        <v>2025</v>
      </c>
      <c r="T933" s="7" t="str">
        <f t="shared" si="44"/>
        <v>Apr</v>
      </c>
    </row>
    <row r="934" spans="2:20" x14ac:dyDescent="0.3">
      <c r="B934" s="7">
        <v>933</v>
      </c>
      <c r="C934" s="7" t="s">
        <v>2428</v>
      </c>
      <c r="D934" s="7" t="s">
        <v>1827</v>
      </c>
      <c r="E934" s="7" t="str">
        <f t="shared" si="42"/>
        <v>Dec</v>
      </c>
      <c r="F934" s="7" t="s">
        <v>2429</v>
      </c>
      <c r="G934" s="7" t="s">
        <v>64</v>
      </c>
      <c r="H934" s="7" t="s">
        <v>37</v>
      </c>
      <c r="I934" s="7" t="s">
        <v>116</v>
      </c>
      <c r="J934" s="7" t="s">
        <v>47</v>
      </c>
      <c r="K934" s="7" t="s">
        <v>60</v>
      </c>
      <c r="L934" s="7">
        <v>914.73</v>
      </c>
      <c r="M934" s="7">
        <v>1</v>
      </c>
      <c r="N934" s="7">
        <v>0.06</v>
      </c>
      <c r="O934" s="7">
        <v>312.18</v>
      </c>
      <c r="P934" s="7" t="s">
        <v>54</v>
      </c>
      <c r="Q934" s="7" t="s">
        <v>86</v>
      </c>
      <c r="R934" s="7">
        <v>7</v>
      </c>
      <c r="S934" s="7">
        <f t="shared" si="43"/>
        <v>2025</v>
      </c>
      <c r="T934" s="7" t="str">
        <f t="shared" si="44"/>
        <v>Dec</v>
      </c>
    </row>
    <row r="935" spans="2:20" x14ac:dyDescent="0.3">
      <c r="B935" s="7">
        <v>934</v>
      </c>
      <c r="C935" s="7" t="s">
        <v>2430</v>
      </c>
      <c r="D935" s="7" t="s">
        <v>2431</v>
      </c>
      <c r="E935" s="7" t="str">
        <f t="shared" si="42"/>
        <v>Jul</v>
      </c>
      <c r="F935" s="7" t="s">
        <v>2432</v>
      </c>
      <c r="G935" s="7" t="s">
        <v>44</v>
      </c>
      <c r="H935" s="7" t="s">
        <v>37</v>
      </c>
      <c r="I935" s="7" t="s">
        <v>52</v>
      </c>
      <c r="J935" s="7" t="s">
        <v>81</v>
      </c>
      <c r="K935" s="7" t="s">
        <v>76</v>
      </c>
      <c r="L935" s="7">
        <v>467.13</v>
      </c>
      <c r="M935" s="7">
        <v>1</v>
      </c>
      <c r="N935" s="7">
        <v>0.08</v>
      </c>
      <c r="O935" s="7">
        <v>72.94</v>
      </c>
      <c r="P935" s="7" t="s">
        <v>23</v>
      </c>
      <c r="Q935" s="7" t="s">
        <v>86</v>
      </c>
      <c r="R935" s="7">
        <v>10</v>
      </c>
      <c r="S935" s="7">
        <f t="shared" si="43"/>
        <v>2025</v>
      </c>
      <c r="T935" s="7" t="str">
        <f t="shared" si="44"/>
        <v>Jul</v>
      </c>
    </row>
    <row r="936" spans="2:20" x14ac:dyDescent="0.3">
      <c r="B936" s="7">
        <v>935</v>
      </c>
      <c r="C936" s="7" t="s">
        <v>2433</v>
      </c>
      <c r="D936" s="7" t="s">
        <v>2117</v>
      </c>
      <c r="E936" s="7" t="str">
        <f t="shared" si="42"/>
        <v>Oct</v>
      </c>
      <c r="F936" s="7" t="s">
        <v>964</v>
      </c>
      <c r="G936" s="7" t="s">
        <v>18</v>
      </c>
      <c r="H936" s="7" t="s">
        <v>71</v>
      </c>
      <c r="I936" s="7" t="s">
        <v>116</v>
      </c>
      <c r="J936" s="7" t="s">
        <v>47</v>
      </c>
      <c r="K936" s="7" t="s">
        <v>76</v>
      </c>
      <c r="L936" s="7">
        <v>110.91</v>
      </c>
      <c r="M936" s="7">
        <v>2</v>
      </c>
      <c r="N936" s="7">
        <v>7.0000000000000007E-2</v>
      </c>
      <c r="O936" s="7">
        <v>22.45</v>
      </c>
      <c r="P936" s="7" t="s">
        <v>23</v>
      </c>
      <c r="Q936" s="7" t="s">
        <v>86</v>
      </c>
      <c r="R936" s="7">
        <v>2</v>
      </c>
      <c r="S936" s="7">
        <f t="shared" si="43"/>
        <v>2025</v>
      </c>
      <c r="T936" s="7" t="str">
        <f t="shared" si="44"/>
        <v>Oct</v>
      </c>
    </row>
    <row r="937" spans="2:20" x14ac:dyDescent="0.3">
      <c r="B937" s="7">
        <v>936</v>
      </c>
      <c r="C937" s="7" t="s">
        <v>2434</v>
      </c>
      <c r="D937" s="7" t="s">
        <v>1314</v>
      </c>
      <c r="E937" s="7" t="str">
        <f t="shared" si="42"/>
        <v>May</v>
      </c>
      <c r="F937" s="7" t="s">
        <v>2435</v>
      </c>
      <c r="G937" s="7" t="s">
        <v>36</v>
      </c>
      <c r="H937" s="7" t="s">
        <v>65</v>
      </c>
      <c r="I937" s="7" t="s">
        <v>52</v>
      </c>
      <c r="J937" s="7" t="s">
        <v>21</v>
      </c>
      <c r="K937" s="7" t="s">
        <v>30</v>
      </c>
      <c r="L937" s="7">
        <v>3160.73</v>
      </c>
      <c r="M937" s="7">
        <v>4</v>
      </c>
      <c r="N937" s="7">
        <v>0.08</v>
      </c>
      <c r="O937" s="7">
        <v>1055.23</v>
      </c>
      <c r="P937" s="7" t="s">
        <v>23</v>
      </c>
      <c r="Q937" s="7" t="s">
        <v>40</v>
      </c>
      <c r="R937" s="7">
        <v>9</v>
      </c>
      <c r="S937" s="7">
        <f t="shared" si="43"/>
        <v>2024</v>
      </c>
      <c r="T937" s="7" t="str">
        <f t="shared" si="44"/>
        <v>May</v>
      </c>
    </row>
    <row r="938" spans="2:20" x14ac:dyDescent="0.3">
      <c r="B938" s="7">
        <v>937</v>
      </c>
      <c r="C938" s="7" t="s">
        <v>2436</v>
      </c>
      <c r="D938" s="7" t="s">
        <v>1773</v>
      </c>
      <c r="E938" s="7" t="str">
        <f t="shared" si="42"/>
        <v>Jul</v>
      </c>
      <c r="F938" s="7" t="s">
        <v>2437</v>
      </c>
      <c r="G938" s="7" t="s">
        <v>44</v>
      </c>
      <c r="H938" s="7" t="s">
        <v>45</v>
      </c>
      <c r="I938" s="7" t="s">
        <v>28</v>
      </c>
      <c r="J938" s="7" t="s">
        <v>81</v>
      </c>
      <c r="K938" s="7" t="s">
        <v>72</v>
      </c>
      <c r="L938" s="7">
        <v>2940.63</v>
      </c>
      <c r="M938" s="7">
        <v>3</v>
      </c>
      <c r="N938" s="7">
        <v>0.19</v>
      </c>
      <c r="O938" s="7">
        <v>826.57</v>
      </c>
      <c r="P938" s="7" t="s">
        <v>31</v>
      </c>
      <c r="Q938" s="7" t="s">
        <v>86</v>
      </c>
      <c r="R938" s="7">
        <v>10</v>
      </c>
      <c r="S938" s="7">
        <f t="shared" si="43"/>
        <v>2024</v>
      </c>
      <c r="T938" s="7" t="str">
        <f t="shared" si="44"/>
        <v>Jul</v>
      </c>
    </row>
    <row r="939" spans="2:20" x14ac:dyDescent="0.3">
      <c r="B939" s="7">
        <v>938</v>
      </c>
      <c r="C939" s="7" t="s">
        <v>2438</v>
      </c>
      <c r="D939" s="7" t="s">
        <v>255</v>
      </c>
      <c r="E939" s="7" t="str">
        <f t="shared" si="42"/>
        <v>Dec</v>
      </c>
      <c r="F939" s="7" t="s">
        <v>2439</v>
      </c>
      <c r="G939" s="7" t="s">
        <v>44</v>
      </c>
      <c r="H939" s="7" t="s">
        <v>58</v>
      </c>
      <c r="I939" s="7" t="s">
        <v>116</v>
      </c>
      <c r="J939" s="7" t="s">
        <v>81</v>
      </c>
      <c r="K939" s="7" t="s">
        <v>60</v>
      </c>
      <c r="L939" s="7">
        <v>2486.98</v>
      </c>
      <c r="M939" s="7">
        <v>5</v>
      </c>
      <c r="N939" s="7">
        <v>0.25</v>
      </c>
      <c r="O939" s="7">
        <v>509.35</v>
      </c>
      <c r="P939" s="7" t="s">
        <v>54</v>
      </c>
      <c r="Q939" s="7" t="s">
        <v>32</v>
      </c>
      <c r="R939" s="7">
        <v>3</v>
      </c>
      <c r="S939" s="7">
        <f t="shared" si="43"/>
        <v>2024</v>
      </c>
      <c r="T939" s="7" t="str">
        <f t="shared" si="44"/>
        <v>Dec</v>
      </c>
    </row>
    <row r="940" spans="2:20" x14ac:dyDescent="0.3">
      <c r="B940" s="7">
        <v>939</v>
      </c>
      <c r="C940" s="7" t="s">
        <v>2440</v>
      </c>
      <c r="D940" s="7" t="s">
        <v>255</v>
      </c>
      <c r="E940" s="7" t="str">
        <f t="shared" si="42"/>
        <v>Dec</v>
      </c>
      <c r="F940" s="7" t="s">
        <v>1864</v>
      </c>
      <c r="G940" s="7" t="s">
        <v>64</v>
      </c>
      <c r="H940" s="7" t="s">
        <v>37</v>
      </c>
      <c r="I940" s="7" t="s">
        <v>52</v>
      </c>
      <c r="J940" s="7" t="s">
        <v>81</v>
      </c>
      <c r="K940" s="7" t="s">
        <v>67</v>
      </c>
      <c r="L940" s="7">
        <v>2629.02</v>
      </c>
      <c r="M940" s="7">
        <v>4</v>
      </c>
      <c r="N940" s="7">
        <v>0.22</v>
      </c>
      <c r="O940" s="7">
        <v>444.58</v>
      </c>
      <c r="P940" s="7" t="s">
        <v>54</v>
      </c>
      <c r="Q940" s="7" t="s">
        <v>77</v>
      </c>
      <c r="R940" s="7">
        <v>5</v>
      </c>
      <c r="S940" s="7">
        <f t="shared" si="43"/>
        <v>2024</v>
      </c>
      <c r="T940" s="7" t="str">
        <f t="shared" si="44"/>
        <v>Dec</v>
      </c>
    </row>
    <row r="941" spans="2:20" x14ac:dyDescent="0.3">
      <c r="B941" s="7">
        <v>940</v>
      </c>
      <c r="C941" s="7" t="s">
        <v>2441</v>
      </c>
      <c r="D941" s="7" t="s">
        <v>2408</v>
      </c>
      <c r="E941" s="7" t="str">
        <f t="shared" si="42"/>
        <v>Apr</v>
      </c>
      <c r="F941" s="7" t="s">
        <v>2442</v>
      </c>
      <c r="G941" s="7" t="s">
        <v>102</v>
      </c>
      <c r="H941" s="7" t="s">
        <v>65</v>
      </c>
      <c r="I941" s="7" t="s">
        <v>116</v>
      </c>
      <c r="J941" s="7" t="s">
        <v>21</v>
      </c>
      <c r="K941" s="7" t="s">
        <v>22</v>
      </c>
      <c r="L941" s="7">
        <v>1212.77</v>
      </c>
      <c r="M941" s="7">
        <v>2</v>
      </c>
      <c r="N941" s="7">
        <v>0.26</v>
      </c>
      <c r="O941" s="7">
        <v>165.15</v>
      </c>
      <c r="P941" s="7" t="s">
        <v>54</v>
      </c>
      <c r="Q941" s="7" t="s">
        <v>24</v>
      </c>
      <c r="R941" s="7">
        <v>7</v>
      </c>
      <c r="S941" s="7">
        <f t="shared" si="43"/>
        <v>2025</v>
      </c>
      <c r="T941" s="7" t="str">
        <f t="shared" si="44"/>
        <v>Apr</v>
      </c>
    </row>
    <row r="942" spans="2:20" x14ac:dyDescent="0.3">
      <c r="B942" s="7">
        <v>941</v>
      </c>
      <c r="C942" s="7" t="s">
        <v>2443</v>
      </c>
      <c r="D942" s="7" t="s">
        <v>1540</v>
      </c>
      <c r="E942" s="7" t="str">
        <f t="shared" si="42"/>
        <v>Jan</v>
      </c>
      <c r="F942" s="7" t="s">
        <v>2444</v>
      </c>
      <c r="G942" s="7" t="s">
        <v>44</v>
      </c>
      <c r="H942" s="7" t="s">
        <v>71</v>
      </c>
      <c r="I942" s="7" t="s">
        <v>52</v>
      </c>
      <c r="J942" s="7" t="s">
        <v>29</v>
      </c>
      <c r="K942" s="7" t="s">
        <v>60</v>
      </c>
      <c r="L942" s="7">
        <v>1281.8499999999999</v>
      </c>
      <c r="M942" s="7">
        <v>2</v>
      </c>
      <c r="N942" s="7">
        <v>0.28000000000000003</v>
      </c>
      <c r="O942" s="7">
        <v>328.2</v>
      </c>
      <c r="P942" s="7" t="s">
        <v>54</v>
      </c>
      <c r="Q942" s="7" t="s">
        <v>40</v>
      </c>
      <c r="R942" s="7">
        <v>2</v>
      </c>
      <c r="S942" s="7">
        <f t="shared" si="43"/>
        <v>2024</v>
      </c>
      <c r="T942" s="7" t="str">
        <f t="shared" si="44"/>
        <v>Jan</v>
      </c>
    </row>
    <row r="943" spans="2:20" x14ac:dyDescent="0.3">
      <c r="B943" s="7">
        <v>942</v>
      </c>
      <c r="C943" s="7" t="s">
        <v>2445</v>
      </c>
      <c r="D943" s="7" t="s">
        <v>1703</v>
      </c>
      <c r="E943" s="7" t="str">
        <f t="shared" si="42"/>
        <v>Aug</v>
      </c>
      <c r="F943" s="7" t="s">
        <v>2446</v>
      </c>
      <c r="G943" s="7" t="s">
        <v>44</v>
      </c>
      <c r="H943" s="7" t="s">
        <v>45</v>
      </c>
      <c r="I943" s="7" t="s">
        <v>52</v>
      </c>
      <c r="J943" s="7" t="s">
        <v>21</v>
      </c>
      <c r="K943" s="7" t="s">
        <v>22</v>
      </c>
      <c r="L943" s="7">
        <v>703.95</v>
      </c>
      <c r="M943" s="7">
        <v>1</v>
      </c>
      <c r="N943" s="7">
        <v>0.2</v>
      </c>
      <c r="O943" s="7">
        <v>240.69</v>
      </c>
      <c r="P943" s="7" t="s">
        <v>31</v>
      </c>
      <c r="Q943" s="7" t="s">
        <v>40</v>
      </c>
      <c r="R943" s="7">
        <v>2</v>
      </c>
      <c r="S943" s="7">
        <f t="shared" si="43"/>
        <v>2024</v>
      </c>
      <c r="T943" s="7" t="str">
        <f t="shared" si="44"/>
        <v>Aug</v>
      </c>
    </row>
    <row r="944" spans="2:20" x14ac:dyDescent="0.3">
      <c r="B944" s="7">
        <v>943</v>
      </c>
      <c r="C944" s="7" t="s">
        <v>2447</v>
      </c>
      <c r="D944" s="7" t="s">
        <v>2448</v>
      </c>
      <c r="E944" s="7" t="str">
        <f t="shared" si="42"/>
        <v>Mar</v>
      </c>
      <c r="F944" s="7" t="s">
        <v>2449</v>
      </c>
      <c r="G944" s="7" t="s">
        <v>36</v>
      </c>
      <c r="H944" s="7" t="s">
        <v>71</v>
      </c>
      <c r="I944" s="7" t="s">
        <v>28</v>
      </c>
      <c r="J944" s="7" t="s">
        <v>21</v>
      </c>
      <c r="K944" s="7" t="s">
        <v>60</v>
      </c>
      <c r="L944" s="7">
        <v>373.79</v>
      </c>
      <c r="M944" s="7">
        <v>1</v>
      </c>
      <c r="N944" s="7">
        <v>0.17</v>
      </c>
      <c r="O944" s="7">
        <v>85.44</v>
      </c>
      <c r="P944" s="7" t="s">
        <v>23</v>
      </c>
      <c r="Q944" s="7" t="s">
        <v>32</v>
      </c>
      <c r="R944" s="7">
        <v>5</v>
      </c>
      <c r="S944" s="7">
        <f t="shared" si="43"/>
        <v>2025</v>
      </c>
      <c r="T944" s="7" t="str">
        <f t="shared" si="44"/>
        <v>Mar</v>
      </c>
    </row>
    <row r="945" spans="2:20" x14ac:dyDescent="0.3">
      <c r="B945" s="7">
        <v>944</v>
      </c>
      <c r="C945" s="7" t="s">
        <v>2450</v>
      </c>
      <c r="D945" s="7" t="s">
        <v>2451</v>
      </c>
      <c r="E945" s="7" t="str">
        <f t="shared" si="42"/>
        <v>Mar</v>
      </c>
      <c r="F945" s="7" t="s">
        <v>1226</v>
      </c>
      <c r="G945" s="7" t="s">
        <v>64</v>
      </c>
      <c r="H945" s="7" t="s">
        <v>45</v>
      </c>
      <c r="I945" s="7" t="s">
        <v>59</v>
      </c>
      <c r="J945" s="7" t="s">
        <v>81</v>
      </c>
      <c r="K945" s="7" t="s">
        <v>30</v>
      </c>
      <c r="L945" s="7">
        <v>1279.3</v>
      </c>
      <c r="M945" s="7">
        <v>5</v>
      </c>
      <c r="N945" s="7">
        <v>0.02</v>
      </c>
      <c r="O945" s="7">
        <v>251.97</v>
      </c>
      <c r="P945" s="7" t="s">
        <v>31</v>
      </c>
      <c r="Q945" s="7" t="s">
        <v>32</v>
      </c>
      <c r="R945" s="7">
        <v>10</v>
      </c>
      <c r="S945" s="7">
        <f t="shared" si="43"/>
        <v>2024</v>
      </c>
      <c r="T945" s="7" t="str">
        <f t="shared" si="44"/>
        <v>Mar</v>
      </c>
    </row>
    <row r="946" spans="2:20" x14ac:dyDescent="0.3">
      <c r="B946" s="7">
        <v>945</v>
      </c>
      <c r="C946" s="7" t="s">
        <v>2452</v>
      </c>
      <c r="D946" s="7" t="s">
        <v>2288</v>
      </c>
      <c r="E946" s="7" t="str">
        <f t="shared" si="42"/>
        <v>Nov</v>
      </c>
      <c r="F946" s="7" t="s">
        <v>2453</v>
      </c>
      <c r="G946" s="7" t="s">
        <v>64</v>
      </c>
      <c r="H946" s="7" t="s">
        <v>65</v>
      </c>
      <c r="I946" s="7" t="s">
        <v>20</v>
      </c>
      <c r="J946" s="7" t="s">
        <v>47</v>
      </c>
      <c r="K946" s="7" t="s">
        <v>60</v>
      </c>
      <c r="L946" s="7">
        <v>1184.76</v>
      </c>
      <c r="M946" s="7">
        <v>2</v>
      </c>
      <c r="N946" s="7">
        <v>0.14000000000000001</v>
      </c>
      <c r="O946" s="7">
        <v>192.25</v>
      </c>
      <c r="P946" s="7" t="s">
        <v>23</v>
      </c>
      <c r="Q946" s="7" t="s">
        <v>32</v>
      </c>
      <c r="R946" s="7">
        <v>10</v>
      </c>
      <c r="S946" s="7">
        <f t="shared" si="43"/>
        <v>2025</v>
      </c>
      <c r="T946" s="7" t="str">
        <f t="shared" si="44"/>
        <v>Nov</v>
      </c>
    </row>
    <row r="947" spans="2:20" x14ac:dyDescent="0.3">
      <c r="B947" s="7">
        <v>946</v>
      </c>
      <c r="C947" s="7" t="s">
        <v>2454</v>
      </c>
      <c r="D947" s="7" t="s">
        <v>750</v>
      </c>
      <c r="E947" s="7" t="str">
        <f t="shared" si="42"/>
        <v>Feb</v>
      </c>
      <c r="F947" s="7" t="s">
        <v>2455</v>
      </c>
      <c r="G947" s="7" t="s">
        <v>36</v>
      </c>
      <c r="H947" s="7" t="s">
        <v>37</v>
      </c>
      <c r="I947" s="7" t="s">
        <v>52</v>
      </c>
      <c r="J947" s="7" t="s">
        <v>47</v>
      </c>
      <c r="K947" s="7" t="s">
        <v>82</v>
      </c>
      <c r="L947" s="7">
        <v>1589.76</v>
      </c>
      <c r="M947" s="7">
        <v>2</v>
      </c>
      <c r="N947" s="7">
        <v>0.1</v>
      </c>
      <c r="O947" s="7">
        <v>275.10000000000002</v>
      </c>
      <c r="P947" s="7" t="s">
        <v>54</v>
      </c>
      <c r="Q947" s="7" t="s">
        <v>86</v>
      </c>
      <c r="R947" s="7">
        <v>10</v>
      </c>
      <c r="S947" s="7">
        <f t="shared" si="43"/>
        <v>2024</v>
      </c>
      <c r="T947" s="7" t="str">
        <f t="shared" si="44"/>
        <v>Feb</v>
      </c>
    </row>
    <row r="948" spans="2:20" x14ac:dyDescent="0.3">
      <c r="B948" s="7">
        <v>947</v>
      </c>
      <c r="C948" s="7" t="s">
        <v>2456</v>
      </c>
      <c r="D948" s="7" t="s">
        <v>2457</v>
      </c>
      <c r="E948" s="7" t="str">
        <f t="shared" si="42"/>
        <v>Mar</v>
      </c>
      <c r="F948" s="7" t="s">
        <v>2458</v>
      </c>
      <c r="G948" s="7" t="s">
        <v>64</v>
      </c>
      <c r="H948" s="7" t="s">
        <v>37</v>
      </c>
      <c r="I948" s="7" t="s">
        <v>106</v>
      </c>
      <c r="J948" s="7" t="s">
        <v>21</v>
      </c>
      <c r="K948" s="7" t="s">
        <v>82</v>
      </c>
      <c r="L948" s="7">
        <v>347.04</v>
      </c>
      <c r="M948" s="7">
        <v>2</v>
      </c>
      <c r="N948" s="7">
        <v>0.12</v>
      </c>
      <c r="O948" s="7">
        <v>89.63</v>
      </c>
      <c r="P948" s="7" t="s">
        <v>23</v>
      </c>
      <c r="Q948" s="7" t="s">
        <v>24</v>
      </c>
      <c r="R948" s="7">
        <v>6</v>
      </c>
      <c r="S948" s="7">
        <f t="shared" si="43"/>
        <v>2025</v>
      </c>
      <c r="T948" s="7" t="str">
        <f t="shared" si="44"/>
        <v>Mar</v>
      </c>
    </row>
    <row r="949" spans="2:20" x14ac:dyDescent="0.3">
      <c r="B949" s="7">
        <v>948</v>
      </c>
      <c r="C949" s="7" t="s">
        <v>2459</v>
      </c>
      <c r="D949" s="7" t="s">
        <v>197</v>
      </c>
      <c r="E949" s="7" t="str">
        <f t="shared" si="42"/>
        <v>Nov</v>
      </c>
      <c r="F949" s="7" t="s">
        <v>2460</v>
      </c>
      <c r="G949" s="7" t="s">
        <v>44</v>
      </c>
      <c r="H949" s="7" t="s">
        <v>71</v>
      </c>
      <c r="I949" s="7" t="s">
        <v>28</v>
      </c>
      <c r="J949" s="7" t="s">
        <v>81</v>
      </c>
      <c r="K949" s="7" t="s">
        <v>22</v>
      </c>
      <c r="L949" s="7">
        <v>83.29</v>
      </c>
      <c r="M949" s="7">
        <v>2</v>
      </c>
      <c r="N949" s="7">
        <v>0.03</v>
      </c>
      <c r="O949" s="7">
        <v>14.25</v>
      </c>
      <c r="P949" s="7" t="s">
        <v>54</v>
      </c>
      <c r="Q949" s="7" t="s">
        <v>40</v>
      </c>
      <c r="R949" s="7">
        <v>9</v>
      </c>
      <c r="S949" s="7">
        <f t="shared" si="43"/>
        <v>2025</v>
      </c>
      <c r="T949" s="7" t="str">
        <f t="shared" si="44"/>
        <v>Nov</v>
      </c>
    </row>
    <row r="950" spans="2:20" x14ac:dyDescent="0.3">
      <c r="B950" s="7">
        <v>949</v>
      </c>
      <c r="C950" s="7" t="s">
        <v>2461</v>
      </c>
      <c r="D950" s="7" t="s">
        <v>765</v>
      </c>
      <c r="E950" s="7" t="str">
        <f t="shared" si="42"/>
        <v>Jul</v>
      </c>
      <c r="F950" s="7" t="s">
        <v>1593</v>
      </c>
      <c r="G950" s="7" t="s">
        <v>18</v>
      </c>
      <c r="H950" s="7" t="s">
        <v>37</v>
      </c>
      <c r="I950" s="7" t="s">
        <v>59</v>
      </c>
      <c r="J950" s="7" t="s">
        <v>21</v>
      </c>
      <c r="K950" s="7" t="s">
        <v>67</v>
      </c>
      <c r="L950" s="7">
        <v>475.41</v>
      </c>
      <c r="M950" s="7">
        <v>3</v>
      </c>
      <c r="N950" s="7">
        <v>0.02</v>
      </c>
      <c r="O950" s="7">
        <v>89.13</v>
      </c>
      <c r="P950" s="7" t="s">
        <v>54</v>
      </c>
      <c r="Q950" s="7" t="s">
        <v>40</v>
      </c>
      <c r="R950" s="7">
        <v>3</v>
      </c>
      <c r="S950" s="7">
        <f t="shared" si="43"/>
        <v>2025</v>
      </c>
      <c r="T950" s="7" t="str">
        <f t="shared" si="44"/>
        <v>Jul</v>
      </c>
    </row>
    <row r="951" spans="2:20" x14ac:dyDescent="0.3">
      <c r="B951" s="7">
        <v>950</v>
      </c>
      <c r="C951" s="7" t="s">
        <v>2462</v>
      </c>
      <c r="D951" s="7" t="s">
        <v>966</v>
      </c>
      <c r="E951" s="7" t="str">
        <f t="shared" si="42"/>
        <v>Sep</v>
      </c>
      <c r="F951" s="7" t="s">
        <v>2463</v>
      </c>
      <c r="G951" s="7" t="s">
        <v>64</v>
      </c>
      <c r="H951" s="7" t="s">
        <v>58</v>
      </c>
      <c r="I951" s="7" t="s">
        <v>28</v>
      </c>
      <c r="J951" s="7" t="s">
        <v>29</v>
      </c>
      <c r="K951" s="7" t="s">
        <v>30</v>
      </c>
      <c r="L951" s="7">
        <v>1901.96</v>
      </c>
      <c r="M951" s="7">
        <v>2</v>
      </c>
      <c r="N951" s="7">
        <v>0.05</v>
      </c>
      <c r="O951" s="7">
        <v>612.16</v>
      </c>
      <c r="P951" s="7" t="s">
        <v>23</v>
      </c>
      <c r="Q951" s="7" t="s">
        <v>77</v>
      </c>
      <c r="R951" s="7">
        <v>5</v>
      </c>
      <c r="S951" s="7">
        <f t="shared" si="43"/>
        <v>2024</v>
      </c>
      <c r="T951" s="7" t="str">
        <f t="shared" si="44"/>
        <v>Sep</v>
      </c>
    </row>
    <row r="952" spans="2:20" x14ac:dyDescent="0.3">
      <c r="B952" s="7">
        <v>951</v>
      </c>
      <c r="C952" s="7" t="s">
        <v>2464</v>
      </c>
      <c r="D952" s="7" t="s">
        <v>2465</v>
      </c>
      <c r="E952" s="7" t="str">
        <f t="shared" si="42"/>
        <v>Oct</v>
      </c>
      <c r="F952" s="7" t="s">
        <v>2466</v>
      </c>
      <c r="G952" s="7" t="s">
        <v>64</v>
      </c>
      <c r="H952" s="7" t="s">
        <v>65</v>
      </c>
      <c r="I952" s="7" t="s">
        <v>20</v>
      </c>
      <c r="J952" s="7" t="s">
        <v>47</v>
      </c>
      <c r="K952" s="7" t="s">
        <v>30</v>
      </c>
      <c r="L952" s="7">
        <v>90.48</v>
      </c>
      <c r="M952" s="7">
        <v>2</v>
      </c>
      <c r="N952" s="7">
        <v>0.27</v>
      </c>
      <c r="O952" s="7">
        <v>14.52</v>
      </c>
      <c r="P952" s="7" t="s">
        <v>31</v>
      </c>
      <c r="Q952" s="7" t="s">
        <v>40</v>
      </c>
      <c r="R952" s="7">
        <v>10</v>
      </c>
      <c r="S952" s="7">
        <f t="shared" si="43"/>
        <v>2024</v>
      </c>
      <c r="T952" s="7" t="str">
        <f t="shared" si="44"/>
        <v>Oct</v>
      </c>
    </row>
    <row r="953" spans="2:20" x14ac:dyDescent="0.3">
      <c r="B953" s="7">
        <v>952</v>
      </c>
      <c r="C953" s="7" t="s">
        <v>2467</v>
      </c>
      <c r="D953" s="7" t="s">
        <v>614</v>
      </c>
      <c r="E953" s="7" t="str">
        <f t="shared" si="42"/>
        <v>Jun</v>
      </c>
      <c r="F953" s="7" t="s">
        <v>2468</v>
      </c>
      <c r="G953" s="7" t="s">
        <v>64</v>
      </c>
      <c r="H953" s="7" t="s">
        <v>65</v>
      </c>
      <c r="I953" s="7" t="s">
        <v>106</v>
      </c>
      <c r="J953" s="7" t="s">
        <v>47</v>
      </c>
      <c r="K953" s="7" t="s">
        <v>22</v>
      </c>
      <c r="L953" s="7">
        <v>1672.11</v>
      </c>
      <c r="M953" s="7">
        <v>2</v>
      </c>
      <c r="N953" s="7">
        <v>0.22</v>
      </c>
      <c r="O953" s="7">
        <v>545.62</v>
      </c>
      <c r="P953" s="7" t="s">
        <v>54</v>
      </c>
      <c r="Q953" s="7" t="s">
        <v>24</v>
      </c>
      <c r="R953" s="7">
        <v>6</v>
      </c>
      <c r="S953" s="7">
        <f t="shared" si="43"/>
        <v>2024</v>
      </c>
      <c r="T953" s="7" t="str">
        <f t="shared" si="44"/>
        <v>Jun</v>
      </c>
    </row>
    <row r="954" spans="2:20" x14ac:dyDescent="0.3">
      <c r="B954" s="7">
        <v>953</v>
      </c>
      <c r="C954" s="7" t="s">
        <v>2469</v>
      </c>
      <c r="D954" s="7" t="s">
        <v>94</v>
      </c>
      <c r="E954" s="7" t="str">
        <f t="shared" si="42"/>
        <v>Jan</v>
      </c>
      <c r="F954" s="7" t="s">
        <v>2470</v>
      </c>
      <c r="G954" s="7" t="s">
        <v>36</v>
      </c>
      <c r="H954" s="7" t="s">
        <v>45</v>
      </c>
      <c r="I954" s="7" t="s">
        <v>106</v>
      </c>
      <c r="J954" s="7" t="s">
        <v>81</v>
      </c>
      <c r="K954" s="7" t="s">
        <v>60</v>
      </c>
      <c r="L954" s="7">
        <v>2426.83</v>
      </c>
      <c r="M954" s="7">
        <v>4</v>
      </c>
      <c r="N954" s="7">
        <v>0.27</v>
      </c>
      <c r="O954" s="7">
        <v>250.42</v>
      </c>
      <c r="P954" s="7" t="s">
        <v>23</v>
      </c>
      <c r="Q954" s="7" t="s">
        <v>86</v>
      </c>
      <c r="R954" s="7">
        <v>1</v>
      </c>
      <c r="S954" s="7">
        <f t="shared" si="43"/>
        <v>2025</v>
      </c>
      <c r="T954" s="7" t="str">
        <f t="shared" si="44"/>
        <v>Jan</v>
      </c>
    </row>
    <row r="955" spans="2:20" x14ac:dyDescent="0.3">
      <c r="B955" s="7">
        <v>954</v>
      </c>
      <c r="C955" s="7" t="s">
        <v>2471</v>
      </c>
      <c r="D955" s="7" t="s">
        <v>2317</v>
      </c>
      <c r="E955" s="7" t="str">
        <f t="shared" si="42"/>
        <v>Dec</v>
      </c>
      <c r="F955" s="7" t="s">
        <v>2472</v>
      </c>
      <c r="G955" s="7" t="s">
        <v>18</v>
      </c>
      <c r="H955" s="7" t="s">
        <v>65</v>
      </c>
      <c r="I955" s="7" t="s">
        <v>52</v>
      </c>
      <c r="J955" s="7" t="s">
        <v>21</v>
      </c>
      <c r="K955" s="7" t="s">
        <v>39</v>
      </c>
      <c r="L955" s="7">
        <v>914.46</v>
      </c>
      <c r="M955" s="7">
        <v>5</v>
      </c>
      <c r="N955" s="7">
        <v>0.08</v>
      </c>
      <c r="O955" s="7">
        <v>225.85</v>
      </c>
      <c r="P955" s="7" t="s">
        <v>54</v>
      </c>
      <c r="Q955" s="7" t="s">
        <v>77</v>
      </c>
      <c r="R955" s="7">
        <v>1</v>
      </c>
      <c r="S955" s="7">
        <f t="shared" si="43"/>
        <v>2025</v>
      </c>
      <c r="T955" s="7" t="str">
        <f t="shared" si="44"/>
        <v>Dec</v>
      </c>
    </row>
    <row r="956" spans="2:20" x14ac:dyDescent="0.3">
      <c r="B956" s="7">
        <v>955</v>
      </c>
      <c r="C956" s="7" t="s">
        <v>2473</v>
      </c>
      <c r="D956" s="7" t="s">
        <v>2237</v>
      </c>
      <c r="E956" s="7" t="str">
        <f t="shared" si="42"/>
        <v>Sep</v>
      </c>
      <c r="F956" s="7" t="s">
        <v>2474</v>
      </c>
      <c r="G956" s="7" t="s">
        <v>36</v>
      </c>
      <c r="H956" s="7" t="s">
        <v>58</v>
      </c>
      <c r="I956" s="7" t="s">
        <v>38</v>
      </c>
      <c r="J956" s="7" t="s">
        <v>66</v>
      </c>
      <c r="K956" s="7" t="s">
        <v>72</v>
      </c>
      <c r="L956" s="7">
        <v>4140.3999999999996</v>
      </c>
      <c r="M956" s="7">
        <v>5</v>
      </c>
      <c r="N956" s="7">
        <v>0.02</v>
      </c>
      <c r="O956" s="7">
        <v>708.09</v>
      </c>
      <c r="P956" s="7" t="s">
        <v>23</v>
      </c>
      <c r="Q956" s="7" t="s">
        <v>86</v>
      </c>
      <c r="R956" s="7">
        <v>8</v>
      </c>
      <c r="S956" s="7">
        <f t="shared" si="43"/>
        <v>2025</v>
      </c>
      <c r="T956" s="7" t="str">
        <f t="shared" si="44"/>
        <v>Sep</v>
      </c>
    </row>
    <row r="957" spans="2:20" x14ac:dyDescent="0.3">
      <c r="B957" s="7">
        <v>956</v>
      </c>
      <c r="C957" s="7" t="s">
        <v>2475</v>
      </c>
      <c r="D957" s="7" t="s">
        <v>2476</v>
      </c>
      <c r="E957" s="7" t="str">
        <f t="shared" si="42"/>
        <v>Oct</v>
      </c>
      <c r="F957" s="7" t="s">
        <v>2477</v>
      </c>
      <c r="G957" s="7" t="s">
        <v>36</v>
      </c>
      <c r="H957" s="7" t="s">
        <v>51</v>
      </c>
      <c r="I957" s="7" t="s">
        <v>52</v>
      </c>
      <c r="J957" s="7" t="s">
        <v>66</v>
      </c>
      <c r="K957" s="7" t="s">
        <v>39</v>
      </c>
      <c r="L957" s="7">
        <v>422.04</v>
      </c>
      <c r="M957" s="7">
        <v>3</v>
      </c>
      <c r="N957" s="7">
        <v>0.11</v>
      </c>
      <c r="O957" s="7">
        <v>99.34</v>
      </c>
      <c r="P957" s="7" t="s">
        <v>23</v>
      </c>
      <c r="Q957" s="7" t="s">
        <v>24</v>
      </c>
      <c r="R957" s="7">
        <v>8</v>
      </c>
      <c r="S957" s="7">
        <f t="shared" si="43"/>
        <v>2025</v>
      </c>
      <c r="T957" s="7" t="str">
        <f t="shared" si="44"/>
        <v>Oct</v>
      </c>
    </row>
    <row r="958" spans="2:20" x14ac:dyDescent="0.3">
      <c r="B958" s="7">
        <v>957</v>
      </c>
      <c r="C958" s="7" t="s">
        <v>2478</v>
      </c>
      <c r="D958" s="7" t="s">
        <v>2479</v>
      </c>
      <c r="E958" s="7" t="str">
        <f t="shared" si="42"/>
        <v>Mar</v>
      </c>
      <c r="F958" s="7" t="s">
        <v>2480</v>
      </c>
      <c r="G958" s="7" t="s">
        <v>64</v>
      </c>
      <c r="H958" s="7" t="s">
        <v>45</v>
      </c>
      <c r="I958" s="7" t="s">
        <v>38</v>
      </c>
      <c r="J958" s="7" t="s">
        <v>81</v>
      </c>
      <c r="K958" s="7" t="s">
        <v>30</v>
      </c>
      <c r="L958" s="7">
        <v>551.4</v>
      </c>
      <c r="M958" s="7">
        <v>5</v>
      </c>
      <c r="N958" s="7">
        <v>0.08</v>
      </c>
      <c r="O958" s="7">
        <v>110.01</v>
      </c>
      <c r="P958" s="7" t="s">
        <v>23</v>
      </c>
      <c r="Q958" s="7" t="s">
        <v>32</v>
      </c>
      <c r="R958" s="7">
        <v>9</v>
      </c>
      <c r="S958" s="7">
        <f t="shared" si="43"/>
        <v>2024</v>
      </c>
      <c r="T958" s="7" t="str">
        <f t="shared" si="44"/>
        <v>Mar</v>
      </c>
    </row>
    <row r="959" spans="2:20" x14ac:dyDescent="0.3">
      <c r="B959" s="7">
        <v>958</v>
      </c>
      <c r="C959" s="7" t="s">
        <v>2481</v>
      </c>
      <c r="D959" s="7" t="s">
        <v>2482</v>
      </c>
      <c r="E959" s="7" t="str">
        <f t="shared" si="42"/>
        <v>Jun</v>
      </c>
      <c r="F959" s="7" t="s">
        <v>2483</v>
      </c>
      <c r="G959" s="7" t="s">
        <v>18</v>
      </c>
      <c r="H959" s="7" t="s">
        <v>37</v>
      </c>
      <c r="I959" s="7" t="s">
        <v>38</v>
      </c>
      <c r="J959" s="7" t="s">
        <v>21</v>
      </c>
      <c r="K959" s="7" t="s">
        <v>22</v>
      </c>
      <c r="L959" s="7">
        <v>468.37</v>
      </c>
      <c r="M959" s="7">
        <v>1</v>
      </c>
      <c r="N959" s="7">
        <v>0.03</v>
      </c>
      <c r="O959" s="7">
        <v>88.41</v>
      </c>
      <c r="P959" s="7" t="s">
        <v>23</v>
      </c>
      <c r="Q959" s="7" t="s">
        <v>40</v>
      </c>
      <c r="R959" s="7">
        <v>1</v>
      </c>
      <c r="S959" s="7">
        <f t="shared" si="43"/>
        <v>2025</v>
      </c>
      <c r="T959" s="7" t="str">
        <f t="shared" si="44"/>
        <v>Jun</v>
      </c>
    </row>
    <row r="960" spans="2:20" x14ac:dyDescent="0.3">
      <c r="B960" s="7">
        <v>959</v>
      </c>
      <c r="C960" s="7" t="s">
        <v>2484</v>
      </c>
      <c r="D960" s="7" t="s">
        <v>2485</v>
      </c>
      <c r="E960" s="7" t="str">
        <f t="shared" si="42"/>
        <v>Oct</v>
      </c>
      <c r="F960" s="7" t="s">
        <v>2486</v>
      </c>
      <c r="G960" s="7" t="s">
        <v>36</v>
      </c>
      <c r="H960" s="7" t="s">
        <v>65</v>
      </c>
      <c r="I960" s="7" t="s">
        <v>52</v>
      </c>
      <c r="J960" s="7" t="s">
        <v>66</v>
      </c>
      <c r="K960" s="7" t="s">
        <v>60</v>
      </c>
      <c r="L960" s="7">
        <v>3942.35</v>
      </c>
      <c r="M960" s="7">
        <v>5</v>
      </c>
      <c r="N960" s="7">
        <v>0.17</v>
      </c>
      <c r="O960" s="7">
        <v>480.56</v>
      </c>
      <c r="P960" s="7" t="s">
        <v>54</v>
      </c>
      <c r="Q960" s="7" t="s">
        <v>77</v>
      </c>
      <c r="R960" s="7">
        <v>7</v>
      </c>
      <c r="S960" s="7">
        <f t="shared" si="43"/>
        <v>2024</v>
      </c>
      <c r="T960" s="7" t="str">
        <f t="shared" si="44"/>
        <v>Oct</v>
      </c>
    </row>
    <row r="961" spans="2:20" x14ac:dyDescent="0.3">
      <c r="B961" s="7">
        <v>960</v>
      </c>
      <c r="C961" s="7" t="s">
        <v>2487</v>
      </c>
      <c r="D961" s="7" t="s">
        <v>1198</v>
      </c>
      <c r="E961" s="7" t="str">
        <f t="shared" si="42"/>
        <v>Dec</v>
      </c>
      <c r="F961" s="7" t="s">
        <v>2488</v>
      </c>
      <c r="G961" s="7" t="s">
        <v>44</v>
      </c>
      <c r="H961" s="7" t="s">
        <v>19</v>
      </c>
      <c r="I961" s="7" t="s">
        <v>46</v>
      </c>
      <c r="J961" s="7" t="s">
        <v>81</v>
      </c>
      <c r="K961" s="7" t="s">
        <v>30</v>
      </c>
      <c r="L961" s="7">
        <v>3947.6</v>
      </c>
      <c r="M961" s="7">
        <v>4</v>
      </c>
      <c r="N961" s="7">
        <v>0.17</v>
      </c>
      <c r="O961" s="7">
        <v>643.72</v>
      </c>
      <c r="P961" s="7" t="s">
        <v>23</v>
      </c>
      <c r="Q961" s="7" t="s">
        <v>40</v>
      </c>
      <c r="R961" s="7">
        <v>3</v>
      </c>
      <c r="S961" s="7">
        <f t="shared" si="43"/>
        <v>2024</v>
      </c>
      <c r="T961" s="7" t="str">
        <f t="shared" si="44"/>
        <v>Dec</v>
      </c>
    </row>
    <row r="962" spans="2:20" x14ac:dyDescent="0.3">
      <c r="B962" s="7">
        <v>961</v>
      </c>
      <c r="C962" s="7" t="s">
        <v>2489</v>
      </c>
      <c r="D962" s="7" t="s">
        <v>209</v>
      </c>
      <c r="E962" s="7" t="str">
        <f t="shared" si="42"/>
        <v>May</v>
      </c>
      <c r="F962" s="7" t="s">
        <v>2490</v>
      </c>
      <c r="G962" s="7" t="s">
        <v>36</v>
      </c>
      <c r="H962" s="7" t="s">
        <v>51</v>
      </c>
      <c r="I962" s="7" t="s">
        <v>38</v>
      </c>
      <c r="J962" s="7" t="s">
        <v>66</v>
      </c>
      <c r="K962" s="7" t="s">
        <v>67</v>
      </c>
      <c r="L962" s="7">
        <v>174.63</v>
      </c>
      <c r="M962" s="7">
        <v>5</v>
      </c>
      <c r="N962" s="7">
        <v>0.03</v>
      </c>
      <c r="O962" s="7">
        <v>43.19</v>
      </c>
      <c r="P962" s="7" t="s">
        <v>31</v>
      </c>
      <c r="Q962" s="7" t="s">
        <v>24</v>
      </c>
      <c r="R962" s="7">
        <v>10</v>
      </c>
      <c r="S962" s="7">
        <f t="shared" si="43"/>
        <v>2024</v>
      </c>
      <c r="T962" s="7" t="str">
        <f t="shared" si="44"/>
        <v>May</v>
      </c>
    </row>
    <row r="963" spans="2:20" x14ac:dyDescent="0.3">
      <c r="B963" s="7">
        <v>962</v>
      </c>
      <c r="C963" s="7" t="s">
        <v>2491</v>
      </c>
      <c r="D963" s="7" t="s">
        <v>91</v>
      </c>
      <c r="E963" s="7" t="str">
        <f t="shared" ref="E963:E1001" si="45">TEXT(D963,"mmm")</f>
        <v>May</v>
      </c>
      <c r="F963" s="7" t="s">
        <v>2492</v>
      </c>
      <c r="G963" s="7" t="s">
        <v>18</v>
      </c>
      <c r="H963" s="7" t="s">
        <v>37</v>
      </c>
      <c r="I963" s="7" t="s">
        <v>59</v>
      </c>
      <c r="J963" s="7" t="s">
        <v>47</v>
      </c>
      <c r="K963" s="7" t="s">
        <v>39</v>
      </c>
      <c r="L963" s="7">
        <v>2726.05</v>
      </c>
      <c r="M963" s="7">
        <v>4</v>
      </c>
      <c r="N963" s="7">
        <v>0.11</v>
      </c>
      <c r="O963" s="7">
        <v>646.54999999999995</v>
      </c>
      <c r="P963" s="7" t="s">
        <v>54</v>
      </c>
      <c r="Q963" s="7" t="s">
        <v>77</v>
      </c>
      <c r="R963" s="7">
        <v>3</v>
      </c>
      <c r="S963" s="7">
        <f t="shared" ref="S963:S1001" si="46">YEAR(D963)</f>
        <v>2025</v>
      </c>
      <c r="T963" s="7" t="str">
        <f t="shared" ref="T963:T1001" si="47">TEXT(D963,"mmm")</f>
        <v>May</v>
      </c>
    </row>
    <row r="964" spans="2:20" x14ac:dyDescent="0.3">
      <c r="B964" s="7">
        <v>963</v>
      </c>
      <c r="C964" s="7" t="s">
        <v>2493</v>
      </c>
      <c r="D964" s="7" t="s">
        <v>1743</v>
      </c>
      <c r="E964" s="7" t="str">
        <f t="shared" si="45"/>
        <v>Apr</v>
      </c>
      <c r="F964" s="7" t="s">
        <v>1175</v>
      </c>
      <c r="G964" s="7" t="s">
        <v>102</v>
      </c>
      <c r="H964" s="7" t="s">
        <v>65</v>
      </c>
      <c r="I964" s="7" t="s">
        <v>106</v>
      </c>
      <c r="J964" s="7" t="s">
        <v>66</v>
      </c>
      <c r="K964" s="7" t="s">
        <v>53</v>
      </c>
      <c r="L964" s="7">
        <v>1164.1500000000001</v>
      </c>
      <c r="M964" s="7">
        <v>2</v>
      </c>
      <c r="N964" s="7">
        <v>0.16</v>
      </c>
      <c r="O964" s="7">
        <v>297.14999999999998</v>
      </c>
      <c r="P964" s="7" t="s">
        <v>54</v>
      </c>
      <c r="Q964" s="7" t="s">
        <v>86</v>
      </c>
      <c r="R964" s="7">
        <v>1</v>
      </c>
      <c r="S964" s="7">
        <f t="shared" si="46"/>
        <v>2024</v>
      </c>
      <c r="T964" s="7" t="str">
        <f t="shared" si="47"/>
        <v>Apr</v>
      </c>
    </row>
    <row r="965" spans="2:20" x14ac:dyDescent="0.3">
      <c r="B965" s="7">
        <v>964</v>
      </c>
      <c r="C965" s="7" t="s">
        <v>2494</v>
      </c>
      <c r="D965" s="7" t="s">
        <v>160</v>
      </c>
      <c r="E965" s="7" t="str">
        <f t="shared" si="45"/>
        <v>Aug</v>
      </c>
      <c r="F965" s="7" t="s">
        <v>2495</v>
      </c>
      <c r="G965" s="7" t="s">
        <v>44</v>
      </c>
      <c r="H965" s="7" t="s">
        <v>19</v>
      </c>
      <c r="I965" s="7" t="s">
        <v>52</v>
      </c>
      <c r="J965" s="7" t="s">
        <v>21</v>
      </c>
      <c r="K965" s="7" t="s">
        <v>82</v>
      </c>
      <c r="L965" s="7">
        <v>1612.41</v>
      </c>
      <c r="M965" s="7">
        <v>2</v>
      </c>
      <c r="N965" s="7">
        <v>0.14000000000000001</v>
      </c>
      <c r="O965" s="7">
        <v>188.79</v>
      </c>
      <c r="P965" s="7" t="s">
        <v>23</v>
      </c>
      <c r="Q965" s="7" t="s">
        <v>40</v>
      </c>
      <c r="R965" s="7">
        <v>2</v>
      </c>
      <c r="S965" s="7">
        <f t="shared" si="46"/>
        <v>2025</v>
      </c>
      <c r="T965" s="7" t="str">
        <f t="shared" si="47"/>
        <v>Aug</v>
      </c>
    </row>
    <row r="966" spans="2:20" x14ac:dyDescent="0.3">
      <c r="B966" s="7">
        <v>965</v>
      </c>
      <c r="C966" s="7" t="s">
        <v>2496</v>
      </c>
      <c r="D966" s="7" t="s">
        <v>774</v>
      </c>
      <c r="E966" s="7" t="str">
        <f t="shared" si="45"/>
        <v>Dec</v>
      </c>
      <c r="F966" s="7" t="s">
        <v>2497</v>
      </c>
      <c r="G966" s="7" t="s">
        <v>102</v>
      </c>
      <c r="H966" s="7" t="s">
        <v>65</v>
      </c>
      <c r="I966" s="7" t="s">
        <v>116</v>
      </c>
      <c r="J966" s="7" t="s">
        <v>81</v>
      </c>
      <c r="K966" s="7" t="s">
        <v>72</v>
      </c>
      <c r="L966" s="7">
        <v>660.91</v>
      </c>
      <c r="M966" s="7">
        <v>1</v>
      </c>
      <c r="N966" s="7">
        <v>0.08</v>
      </c>
      <c r="O966" s="7">
        <v>114.57</v>
      </c>
      <c r="P966" s="7" t="s">
        <v>31</v>
      </c>
      <c r="Q966" s="7" t="s">
        <v>24</v>
      </c>
      <c r="R966" s="7">
        <v>6</v>
      </c>
      <c r="S966" s="7">
        <f t="shared" si="46"/>
        <v>2024</v>
      </c>
      <c r="T966" s="7" t="str">
        <f t="shared" si="47"/>
        <v>Dec</v>
      </c>
    </row>
    <row r="967" spans="2:20" x14ac:dyDescent="0.3">
      <c r="B967" s="7">
        <v>966</v>
      </c>
      <c r="C967" s="7" t="s">
        <v>2498</v>
      </c>
      <c r="D967" s="7" t="s">
        <v>528</v>
      </c>
      <c r="E967" s="7" t="str">
        <f t="shared" si="45"/>
        <v>Dec</v>
      </c>
      <c r="F967" s="7" t="s">
        <v>2245</v>
      </c>
      <c r="G967" s="7" t="s">
        <v>44</v>
      </c>
      <c r="H967" s="7" t="s">
        <v>71</v>
      </c>
      <c r="I967" s="7" t="s">
        <v>116</v>
      </c>
      <c r="J967" s="7" t="s">
        <v>29</v>
      </c>
      <c r="K967" s="7" t="s">
        <v>60</v>
      </c>
      <c r="L967" s="7">
        <v>1492.94</v>
      </c>
      <c r="M967" s="7">
        <v>3</v>
      </c>
      <c r="N967" s="7">
        <v>0.23</v>
      </c>
      <c r="O967" s="7">
        <v>152.46</v>
      </c>
      <c r="P967" s="7" t="s">
        <v>31</v>
      </c>
      <c r="Q967" s="7" t="s">
        <v>24</v>
      </c>
      <c r="R967" s="7">
        <v>8</v>
      </c>
      <c r="S967" s="7">
        <f t="shared" si="46"/>
        <v>2025</v>
      </c>
      <c r="T967" s="7" t="str">
        <f t="shared" si="47"/>
        <v>Dec</v>
      </c>
    </row>
    <row r="968" spans="2:20" x14ac:dyDescent="0.3">
      <c r="B968" s="7">
        <v>967</v>
      </c>
      <c r="C968" s="7" t="s">
        <v>2499</v>
      </c>
      <c r="D968" s="7" t="s">
        <v>423</v>
      </c>
      <c r="E968" s="7" t="str">
        <f t="shared" si="45"/>
        <v>Jul</v>
      </c>
      <c r="F968" s="7" t="s">
        <v>2500</v>
      </c>
      <c r="G968" s="7" t="s">
        <v>102</v>
      </c>
      <c r="H968" s="7" t="s">
        <v>45</v>
      </c>
      <c r="I968" s="7" t="s">
        <v>38</v>
      </c>
      <c r="J968" s="7" t="s">
        <v>29</v>
      </c>
      <c r="K968" s="7" t="s">
        <v>53</v>
      </c>
      <c r="L968" s="7">
        <v>276.89</v>
      </c>
      <c r="M968" s="7">
        <v>2</v>
      </c>
      <c r="N968" s="7">
        <v>0.28000000000000003</v>
      </c>
      <c r="O968" s="7">
        <v>43.4</v>
      </c>
      <c r="P968" s="7" t="s">
        <v>31</v>
      </c>
      <c r="Q968" s="7" t="s">
        <v>77</v>
      </c>
      <c r="R968" s="7">
        <v>7</v>
      </c>
      <c r="S968" s="7">
        <f t="shared" si="46"/>
        <v>2024</v>
      </c>
      <c r="T968" s="7" t="str">
        <f t="shared" si="47"/>
        <v>Jul</v>
      </c>
    </row>
    <row r="969" spans="2:20" x14ac:dyDescent="0.3">
      <c r="B969" s="7">
        <v>968</v>
      </c>
      <c r="C969" s="7" t="s">
        <v>2501</v>
      </c>
      <c r="D969" s="7" t="s">
        <v>771</v>
      </c>
      <c r="E969" s="7" t="str">
        <f t="shared" si="45"/>
        <v>Mar</v>
      </c>
      <c r="F969" s="7" t="s">
        <v>2502</v>
      </c>
      <c r="G969" s="7" t="s">
        <v>36</v>
      </c>
      <c r="H969" s="7" t="s">
        <v>51</v>
      </c>
      <c r="I969" s="7" t="s">
        <v>28</v>
      </c>
      <c r="J969" s="7" t="s">
        <v>47</v>
      </c>
      <c r="K969" s="7" t="s">
        <v>82</v>
      </c>
      <c r="L969" s="7">
        <v>3912.08</v>
      </c>
      <c r="M969" s="7">
        <v>5</v>
      </c>
      <c r="N969" s="7">
        <v>0.05</v>
      </c>
      <c r="O969" s="7">
        <v>1004.29</v>
      </c>
      <c r="P969" s="7" t="s">
        <v>54</v>
      </c>
      <c r="Q969" s="7" t="s">
        <v>77</v>
      </c>
      <c r="R969" s="7">
        <v>7</v>
      </c>
      <c r="S969" s="7">
        <f t="shared" si="46"/>
        <v>2024</v>
      </c>
      <c r="T969" s="7" t="str">
        <f t="shared" si="47"/>
        <v>Mar</v>
      </c>
    </row>
    <row r="970" spans="2:20" x14ac:dyDescent="0.3">
      <c r="B970" s="7">
        <v>969</v>
      </c>
      <c r="C970" s="7" t="s">
        <v>2503</v>
      </c>
      <c r="D970" s="7" t="s">
        <v>1447</v>
      </c>
      <c r="E970" s="7" t="str">
        <f t="shared" si="45"/>
        <v>Mar</v>
      </c>
      <c r="F970" s="7" t="s">
        <v>576</v>
      </c>
      <c r="G970" s="7" t="s">
        <v>64</v>
      </c>
      <c r="H970" s="7" t="s">
        <v>45</v>
      </c>
      <c r="I970" s="7" t="s">
        <v>52</v>
      </c>
      <c r="J970" s="7" t="s">
        <v>81</v>
      </c>
      <c r="K970" s="7" t="s">
        <v>67</v>
      </c>
      <c r="L970" s="7">
        <v>1116.17</v>
      </c>
      <c r="M970" s="7">
        <v>2</v>
      </c>
      <c r="N970" s="7">
        <v>0.11</v>
      </c>
      <c r="O970" s="7">
        <v>217.28</v>
      </c>
      <c r="P970" s="7" t="s">
        <v>31</v>
      </c>
      <c r="Q970" s="7" t="s">
        <v>40</v>
      </c>
      <c r="R970" s="7">
        <v>8</v>
      </c>
      <c r="S970" s="7">
        <f t="shared" si="46"/>
        <v>2024</v>
      </c>
      <c r="T970" s="7" t="str">
        <f t="shared" si="47"/>
        <v>Mar</v>
      </c>
    </row>
    <row r="971" spans="2:20" x14ac:dyDescent="0.3">
      <c r="B971" s="7">
        <v>970</v>
      </c>
      <c r="C971" s="7" t="s">
        <v>2504</v>
      </c>
      <c r="D971" s="7" t="s">
        <v>1646</v>
      </c>
      <c r="E971" s="7" t="str">
        <f t="shared" si="45"/>
        <v>Feb</v>
      </c>
      <c r="F971" s="7" t="s">
        <v>2505</v>
      </c>
      <c r="G971" s="7" t="s">
        <v>36</v>
      </c>
      <c r="H971" s="7" t="s">
        <v>37</v>
      </c>
      <c r="I971" s="7" t="s">
        <v>106</v>
      </c>
      <c r="J971" s="7" t="s">
        <v>21</v>
      </c>
      <c r="K971" s="7" t="s">
        <v>72</v>
      </c>
      <c r="L971" s="7">
        <v>1603.94</v>
      </c>
      <c r="M971" s="7">
        <v>4</v>
      </c>
      <c r="N971" s="7">
        <v>0.04</v>
      </c>
      <c r="O971" s="7">
        <v>555.1</v>
      </c>
      <c r="P971" s="7" t="s">
        <v>54</v>
      </c>
      <c r="Q971" s="7" t="s">
        <v>24</v>
      </c>
      <c r="R971" s="7">
        <v>6</v>
      </c>
      <c r="S971" s="7">
        <f t="shared" si="46"/>
        <v>2024</v>
      </c>
      <c r="T971" s="7" t="str">
        <f t="shared" si="47"/>
        <v>Feb</v>
      </c>
    </row>
    <row r="972" spans="2:20" x14ac:dyDescent="0.3">
      <c r="B972" s="7">
        <v>971</v>
      </c>
      <c r="C972" s="7" t="s">
        <v>2506</v>
      </c>
      <c r="D972" s="7" t="s">
        <v>2065</v>
      </c>
      <c r="E972" s="7" t="str">
        <f t="shared" si="45"/>
        <v>Aug</v>
      </c>
      <c r="F972" s="7" t="s">
        <v>2507</v>
      </c>
      <c r="G972" s="7" t="s">
        <v>44</v>
      </c>
      <c r="H972" s="7" t="s">
        <v>65</v>
      </c>
      <c r="I972" s="7" t="s">
        <v>20</v>
      </c>
      <c r="J972" s="7" t="s">
        <v>29</v>
      </c>
      <c r="K972" s="7" t="s">
        <v>82</v>
      </c>
      <c r="L972" s="7">
        <v>3819.79</v>
      </c>
      <c r="M972" s="7">
        <v>5</v>
      </c>
      <c r="N972" s="7">
        <v>0.27</v>
      </c>
      <c r="O972" s="7">
        <v>961.46</v>
      </c>
      <c r="P972" s="7" t="s">
        <v>23</v>
      </c>
      <c r="Q972" s="7" t="s">
        <v>24</v>
      </c>
      <c r="R972" s="7">
        <v>8</v>
      </c>
      <c r="S972" s="7">
        <f t="shared" si="46"/>
        <v>2024</v>
      </c>
      <c r="T972" s="7" t="str">
        <f t="shared" si="47"/>
        <v>Aug</v>
      </c>
    </row>
    <row r="973" spans="2:20" x14ac:dyDescent="0.3">
      <c r="B973" s="7">
        <v>972</v>
      </c>
      <c r="C973" s="7" t="s">
        <v>2508</v>
      </c>
      <c r="D973" s="7" t="s">
        <v>475</v>
      </c>
      <c r="E973" s="7" t="str">
        <f t="shared" si="45"/>
        <v>Aug</v>
      </c>
      <c r="F973" s="7" t="s">
        <v>2509</v>
      </c>
      <c r="G973" s="7" t="s">
        <v>64</v>
      </c>
      <c r="H973" s="7" t="s">
        <v>65</v>
      </c>
      <c r="I973" s="7" t="s">
        <v>46</v>
      </c>
      <c r="J973" s="7" t="s">
        <v>81</v>
      </c>
      <c r="K973" s="7" t="s">
        <v>76</v>
      </c>
      <c r="L973" s="7">
        <v>1840.96</v>
      </c>
      <c r="M973" s="7">
        <v>4</v>
      </c>
      <c r="N973" s="7">
        <v>0.02</v>
      </c>
      <c r="O973" s="7">
        <v>530.49</v>
      </c>
      <c r="P973" s="7" t="s">
        <v>23</v>
      </c>
      <c r="Q973" s="7" t="s">
        <v>32</v>
      </c>
      <c r="R973" s="7">
        <v>2</v>
      </c>
      <c r="S973" s="7">
        <f t="shared" si="46"/>
        <v>2025</v>
      </c>
      <c r="T973" s="7" t="str">
        <f t="shared" si="47"/>
        <v>Aug</v>
      </c>
    </row>
    <row r="974" spans="2:20" x14ac:dyDescent="0.3">
      <c r="B974" s="7">
        <v>973</v>
      </c>
      <c r="C974" s="7" t="s">
        <v>2510</v>
      </c>
      <c r="D974" s="7" t="s">
        <v>2511</v>
      </c>
      <c r="E974" s="7" t="str">
        <f t="shared" si="45"/>
        <v>Nov</v>
      </c>
      <c r="F974" s="7" t="s">
        <v>2512</v>
      </c>
      <c r="G974" s="7" t="s">
        <v>36</v>
      </c>
      <c r="H974" s="7" t="s">
        <v>19</v>
      </c>
      <c r="I974" s="7" t="s">
        <v>38</v>
      </c>
      <c r="J974" s="7" t="s">
        <v>81</v>
      </c>
      <c r="K974" s="7" t="s">
        <v>67</v>
      </c>
      <c r="L974" s="7">
        <v>1524.87</v>
      </c>
      <c r="M974" s="7">
        <v>2</v>
      </c>
      <c r="N974" s="7">
        <v>0.21</v>
      </c>
      <c r="O974" s="7">
        <v>463.79</v>
      </c>
      <c r="P974" s="7" t="s">
        <v>23</v>
      </c>
      <c r="Q974" s="7" t="s">
        <v>24</v>
      </c>
      <c r="R974" s="7">
        <v>4</v>
      </c>
      <c r="S974" s="7">
        <f t="shared" si="46"/>
        <v>2025</v>
      </c>
      <c r="T974" s="7" t="str">
        <f t="shared" si="47"/>
        <v>Nov</v>
      </c>
    </row>
    <row r="975" spans="2:20" x14ac:dyDescent="0.3">
      <c r="B975" s="7">
        <v>974</v>
      </c>
      <c r="C975" s="7" t="s">
        <v>2513</v>
      </c>
      <c r="D975" s="7" t="s">
        <v>605</v>
      </c>
      <c r="E975" s="7" t="str">
        <f t="shared" si="45"/>
        <v>Jan</v>
      </c>
      <c r="F975" s="7" t="s">
        <v>2169</v>
      </c>
      <c r="G975" s="7" t="s">
        <v>36</v>
      </c>
      <c r="H975" s="7" t="s">
        <v>58</v>
      </c>
      <c r="I975" s="7" t="s">
        <v>106</v>
      </c>
      <c r="J975" s="7" t="s">
        <v>29</v>
      </c>
      <c r="K975" s="7" t="s">
        <v>76</v>
      </c>
      <c r="L975" s="7">
        <v>687.35</v>
      </c>
      <c r="M975" s="7">
        <v>2</v>
      </c>
      <c r="N975" s="7">
        <v>0.26</v>
      </c>
      <c r="O975" s="7">
        <v>165.6</v>
      </c>
      <c r="P975" s="7" t="s">
        <v>54</v>
      </c>
      <c r="Q975" s="7" t="s">
        <v>77</v>
      </c>
      <c r="R975" s="7">
        <v>6</v>
      </c>
      <c r="S975" s="7">
        <f t="shared" si="46"/>
        <v>2025</v>
      </c>
      <c r="T975" s="7" t="str">
        <f t="shared" si="47"/>
        <v>Jan</v>
      </c>
    </row>
    <row r="976" spans="2:20" x14ac:dyDescent="0.3">
      <c r="B976" s="7">
        <v>975</v>
      </c>
      <c r="C976" s="7" t="s">
        <v>2514</v>
      </c>
      <c r="D976" s="7" t="s">
        <v>2279</v>
      </c>
      <c r="E976" s="7" t="str">
        <f t="shared" si="45"/>
        <v>Mar</v>
      </c>
      <c r="F976" s="7" t="s">
        <v>2515</v>
      </c>
      <c r="G976" s="7" t="s">
        <v>64</v>
      </c>
      <c r="H976" s="7" t="s">
        <v>45</v>
      </c>
      <c r="I976" s="7" t="s">
        <v>116</v>
      </c>
      <c r="J976" s="7" t="s">
        <v>47</v>
      </c>
      <c r="K976" s="7" t="s">
        <v>82</v>
      </c>
      <c r="L976" s="7">
        <v>770.99</v>
      </c>
      <c r="M976" s="7">
        <v>1</v>
      </c>
      <c r="N976" s="7">
        <v>0.17</v>
      </c>
      <c r="O976" s="7">
        <v>248.26</v>
      </c>
      <c r="P976" s="7" t="s">
        <v>23</v>
      </c>
      <c r="Q976" s="7" t="s">
        <v>40</v>
      </c>
      <c r="R976" s="7">
        <v>9</v>
      </c>
      <c r="S976" s="7">
        <f t="shared" si="46"/>
        <v>2024</v>
      </c>
      <c r="T976" s="7" t="str">
        <f t="shared" si="47"/>
        <v>Mar</v>
      </c>
    </row>
    <row r="977" spans="2:20" x14ac:dyDescent="0.3">
      <c r="B977" s="7">
        <v>976</v>
      </c>
      <c r="C977" s="7" t="s">
        <v>2516</v>
      </c>
      <c r="D977" s="7" t="s">
        <v>2517</v>
      </c>
      <c r="E977" s="7" t="str">
        <f t="shared" si="45"/>
        <v>Apr</v>
      </c>
      <c r="F977" s="7" t="s">
        <v>2518</v>
      </c>
      <c r="G977" s="7" t="s">
        <v>36</v>
      </c>
      <c r="H977" s="7" t="s">
        <v>58</v>
      </c>
      <c r="I977" s="7" t="s">
        <v>59</v>
      </c>
      <c r="J977" s="7" t="s">
        <v>21</v>
      </c>
      <c r="K977" s="7" t="s">
        <v>60</v>
      </c>
      <c r="L977" s="7">
        <v>1605.19</v>
      </c>
      <c r="M977" s="7">
        <v>4</v>
      </c>
      <c r="N977" s="7">
        <v>0.05</v>
      </c>
      <c r="O977" s="7">
        <v>338.12</v>
      </c>
      <c r="P977" s="7" t="s">
        <v>23</v>
      </c>
      <c r="Q977" s="7" t="s">
        <v>40</v>
      </c>
      <c r="R977" s="7">
        <v>5</v>
      </c>
      <c r="S977" s="7">
        <f t="shared" si="46"/>
        <v>2024</v>
      </c>
      <c r="T977" s="7" t="str">
        <f t="shared" si="47"/>
        <v>Apr</v>
      </c>
    </row>
    <row r="978" spans="2:20" x14ac:dyDescent="0.3">
      <c r="B978" s="7">
        <v>977</v>
      </c>
      <c r="C978" s="7" t="s">
        <v>2519</v>
      </c>
      <c r="D978" s="7" t="s">
        <v>1025</v>
      </c>
      <c r="E978" s="7" t="str">
        <f t="shared" si="45"/>
        <v>Feb</v>
      </c>
      <c r="F978" s="7" t="s">
        <v>2520</v>
      </c>
      <c r="G978" s="7" t="s">
        <v>64</v>
      </c>
      <c r="H978" s="7" t="s">
        <v>19</v>
      </c>
      <c r="I978" s="7" t="s">
        <v>20</v>
      </c>
      <c r="J978" s="7" t="s">
        <v>21</v>
      </c>
      <c r="K978" s="7" t="s">
        <v>39</v>
      </c>
      <c r="L978" s="7">
        <v>1854.37</v>
      </c>
      <c r="M978" s="7">
        <v>2</v>
      </c>
      <c r="N978" s="7">
        <v>0.15</v>
      </c>
      <c r="O978" s="7">
        <v>424.2</v>
      </c>
      <c r="P978" s="7" t="s">
        <v>31</v>
      </c>
      <c r="Q978" s="7" t="s">
        <v>24</v>
      </c>
      <c r="R978" s="7">
        <v>8</v>
      </c>
      <c r="S978" s="7">
        <f t="shared" si="46"/>
        <v>2024</v>
      </c>
      <c r="T978" s="7" t="str">
        <f t="shared" si="47"/>
        <v>Feb</v>
      </c>
    </row>
    <row r="979" spans="2:20" x14ac:dyDescent="0.3">
      <c r="B979" s="7">
        <v>978</v>
      </c>
      <c r="C979" s="7" t="s">
        <v>2521</v>
      </c>
      <c r="D979" s="7" t="s">
        <v>197</v>
      </c>
      <c r="E979" s="7" t="str">
        <f t="shared" si="45"/>
        <v>Nov</v>
      </c>
      <c r="F979" s="7" t="s">
        <v>2522</v>
      </c>
      <c r="G979" s="7" t="s">
        <v>44</v>
      </c>
      <c r="H979" s="7" t="s">
        <v>65</v>
      </c>
      <c r="I979" s="7" t="s">
        <v>38</v>
      </c>
      <c r="J979" s="7" t="s">
        <v>21</v>
      </c>
      <c r="K979" s="7" t="s">
        <v>53</v>
      </c>
      <c r="L979" s="7">
        <v>1139.94</v>
      </c>
      <c r="M979" s="7">
        <v>5</v>
      </c>
      <c r="N979" s="7">
        <v>0.1</v>
      </c>
      <c r="O979" s="7">
        <v>351.2</v>
      </c>
      <c r="P979" s="7" t="s">
        <v>23</v>
      </c>
      <c r="Q979" s="7" t="s">
        <v>32</v>
      </c>
      <c r="R979" s="7">
        <v>10</v>
      </c>
      <c r="S979" s="7">
        <f t="shared" si="46"/>
        <v>2025</v>
      </c>
      <c r="T979" s="7" t="str">
        <f t="shared" si="47"/>
        <v>Nov</v>
      </c>
    </row>
    <row r="980" spans="2:20" x14ac:dyDescent="0.3">
      <c r="B980" s="7">
        <v>979</v>
      </c>
      <c r="C980" s="7" t="s">
        <v>2523</v>
      </c>
      <c r="D980" s="7" t="s">
        <v>1317</v>
      </c>
      <c r="E980" s="7" t="str">
        <f t="shared" si="45"/>
        <v>May</v>
      </c>
      <c r="F980" s="7" t="s">
        <v>2524</v>
      </c>
      <c r="G980" s="7" t="s">
        <v>18</v>
      </c>
      <c r="H980" s="7" t="s">
        <v>37</v>
      </c>
      <c r="I980" s="7" t="s">
        <v>106</v>
      </c>
      <c r="J980" s="7" t="s">
        <v>21</v>
      </c>
      <c r="K980" s="7" t="s">
        <v>67</v>
      </c>
      <c r="L980" s="7">
        <v>2820.96</v>
      </c>
      <c r="M980" s="7">
        <v>4</v>
      </c>
      <c r="N980" s="7">
        <v>0</v>
      </c>
      <c r="O980" s="7">
        <v>802.46</v>
      </c>
      <c r="P980" s="7" t="s">
        <v>31</v>
      </c>
      <c r="Q980" s="7" t="s">
        <v>77</v>
      </c>
      <c r="R980" s="7">
        <v>10</v>
      </c>
      <c r="S980" s="7">
        <f t="shared" si="46"/>
        <v>2024</v>
      </c>
      <c r="T980" s="7" t="str">
        <f t="shared" si="47"/>
        <v>May</v>
      </c>
    </row>
    <row r="981" spans="2:20" x14ac:dyDescent="0.3">
      <c r="B981" s="7">
        <v>980</v>
      </c>
      <c r="C981" s="7" t="s">
        <v>2525</v>
      </c>
      <c r="D981" s="7" t="s">
        <v>608</v>
      </c>
      <c r="E981" s="7" t="str">
        <f t="shared" si="45"/>
        <v>Feb</v>
      </c>
      <c r="F981" s="7" t="s">
        <v>2272</v>
      </c>
      <c r="G981" s="7" t="s">
        <v>18</v>
      </c>
      <c r="H981" s="7" t="s">
        <v>65</v>
      </c>
      <c r="I981" s="7" t="s">
        <v>28</v>
      </c>
      <c r="J981" s="7" t="s">
        <v>29</v>
      </c>
      <c r="K981" s="7" t="s">
        <v>39</v>
      </c>
      <c r="L981" s="7">
        <v>249.82</v>
      </c>
      <c r="M981" s="7">
        <v>5</v>
      </c>
      <c r="N981" s="7">
        <v>0.1</v>
      </c>
      <c r="O981" s="7">
        <v>72.81</v>
      </c>
      <c r="P981" s="7" t="s">
        <v>31</v>
      </c>
      <c r="Q981" s="7" t="s">
        <v>24</v>
      </c>
      <c r="R981" s="7">
        <v>1</v>
      </c>
      <c r="S981" s="7">
        <f t="shared" si="46"/>
        <v>2024</v>
      </c>
      <c r="T981" s="7" t="str">
        <f t="shared" si="47"/>
        <v>Feb</v>
      </c>
    </row>
    <row r="982" spans="2:20" x14ac:dyDescent="0.3">
      <c r="B982" s="7">
        <v>981</v>
      </c>
      <c r="C982" s="7" t="s">
        <v>2526</v>
      </c>
      <c r="D982" s="7" t="s">
        <v>2527</v>
      </c>
      <c r="E982" s="7" t="str">
        <f t="shared" si="45"/>
        <v>Aug</v>
      </c>
      <c r="F982" s="7" t="s">
        <v>2528</v>
      </c>
      <c r="G982" s="7" t="s">
        <v>64</v>
      </c>
      <c r="H982" s="7" t="s">
        <v>65</v>
      </c>
      <c r="I982" s="7" t="s">
        <v>116</v>
      </c>
      <c r="J982" s="7" t="s">
        <v>47</v>
      </c>
      <c r="K982" s="7" t="s">
        <v>67</v>
      </c>
      <c r="L982" s="7">
        <v>3441.3</v>
      </c>
      <c r="M982" s="7">
        <v>5</v>
      </c>
      <c r="N982" s="7">
        <v>0.27</v>
      </c>
      <c r="O982" s="7">
        <v>416.49</v>
      </c>
      <c r="P982" s="7" t="s">
        <v>23</v>
      </c>
      <c r="Q982" s="7" t="s">
        <v>32</v>
      </c>
      <c r="R982" s="7">
        <v>5</v>
      </c>
      <c r="S982" s="7">
        <f t="shared" si="46"/>
        <v>2025</v>
      </c>
      <c r="T982" s="7" t="str">
        <f t="shared" si="47"/>
        <v>Aug</v>
      </c>
    </row>
    <row r="983" spans="2:20" x14ac:dyDescent="0.3">
      <c r="B983" s="7">
        <v>982</v>
      </c>
      <c r="C983" s="7" t="s">
        <v>2529</v>
      </c>
      <c r="D983" s="7" t="s">
        <v>654</v>
      </c>
      <c r="E983" s="7" t="str">
        <f t="shared" si="45"/>
        <v>Jun</v>
      </c>
      <c r="F983" s="7" t="s">
        <v>2530</v>
      </c>
      <c r="G983" s="7" t="s">
        <v>18</v>
      </c>
      <c r="H983" s="7" t="s">
        <v>65</v>
      </c>
      <c r="I983" s="7" t="s">
        <v>59</v>
      </c>
      <c r="J983" s="7" t="s">
        <v>66</v>
      </c>
      <c r="K983" s="7" t="s">
        <v>22</v>
      </c>
      <c r="L983" s="7">
        <v>4955.12</v>
      </c>
      <c r="M983" s="7">
        <v>5</v>
      </c>
      <c r="N983" s="7">
        <v>0.19</v>
      </c>
      <c r="O983" s="7">
        <v>1074.8599999999999</v>
      </c>
      <c r="P983" s="7" t="s">
        <v>31</v>
      </c>
      <c r="Q983" s="7" t="s">
        <v>40</v>
      </c>
      <c r="R983" s="7">
        <v>4</v>
      </c>
      <c r="S983" s="7">
        <f t="shared" si="46"/>
        <v>2024</v>
      </c>
      <c r="T983" s="7" t="str">
        <f t="shared" si="47"/>
        <v>Jun</v>
      </c>
    </row>
    <row r="984" spans="2:20" x14ac:dyDescent="0.3">
      <c r="B984" s="7">
        <v>983</v>
      </c>
      <c r="C984" s="7" t="s">
        <v>2531</v>
      </c>
      <c r="D984" s="7" t="s">
        <v>924</v>
      </c>
      <c r="E984" s="7" t="str">
        <f t="shared" si="45"/>
        <v>May</v>
      </c>
      <c r="F984" s="7" t="s">
        <v>2532</v>
      </c>
      <c r="G984" s="7" t="s">
        <v>36</v>
      </c>
      <c r="H984" s="7" t="s">
        <v>58</v>
      </c>
      <c r="I984" s="7" t="s">
        <v>59</v>
      </c>
      <c r="J984" s="7" t="s">
        <v>29</v>
      </c>
      <c r="K984" s="7" t="s">
        <v>67</v>
      </c>
      <c r="L984" s="7">
        <v>1461.29</v>
      </c>
      <c r="M984" s="7">
        <v>4</v>
      </c>
      <c r="N984" s="7">
        <v>0.21</v>
      </c>
      <c r="O984" s="7">
        <v>251.55</v>
      </c>
      <c r="P984" s="7" t="s">
        <v>23</v>
      </c>
      <c r="Q984" s="7" t="s">
        <v>86</v>
      </c>
      <c r="R984" s="7">
        <v>9</v>
      </c>
      <c r="S984" s="7">
        <f t="shared" si="46"/>
        <v>2024</v>
      </c>
      <c r="T984" s="7" t="str">
        <f t="shared" si="47"/>
        <v>May</v>
      </c>
    </row>
    <row r="985" spans="2:20" x14ac:dyDescent="0.3">
      <c r="B985" s="7">
        <v>984</v>
      </c>
      <c r="C985" s="7" t="s">
        <v>2533</v>
      </c>
      <c r="D985" s="7" t="s">
        <v>1743</v>
      </c>
      <c r="E985" s="7" t="str">
        <f t="shared" si="45"/>
        <v>Apr</v>
      </c>
      <c r="F985" s="7" t="s">
        <v>2534</v>
      </c>
      <c r="G985" s="7" t="s">
        <v>102</v>
      </c>
      <c r="H985" s="7" t="s">
        <v>19</v>
      </c>
      <c r="I985" s="7" t="s">
        <v>59</v>
      </c>
      <c r="J985" s="7" t="s">
        <v>21</v>
      </c>
      <c r="K985" s="7" t="s">
        <v>76</v>
      </c>
      <c r="L985" s="7">
        <v>2707.72</v>
      </c>
      <c r="M985" s="7">
        <v>4</v>
      </c>
      <c r="N985" s="7">
        <v>0.14000000000000001</v>
      </c>
      <c r="O985" s="7">
        <v>833.63</v>
      </c>
      <c r="P985" s="7" t="s">
        <v>31</v>
      </c>
      <c r="Q985" s="7" t="s">
        <v>32</v>
      </c>
      <c r="R985" s="7">
        <v>8</v>
      </c>
      <c r="S985" s="7">
        <f t="shared" si="46"/>
        <v>2024</v>
      </c>
      <c r="T985" s="7" t="str">
        <f t="shared" si="47"/>
        <v>Apr</v>
      </c>
    </row>
    <row r="986" spans="2:20" x14ac:dyDescent="0.3">
      <c r="B986" s="7">
        <v>985</v>
      </c>
      <c r="C986" s="7" t="s">
        <v>2535</v>
      </c>
      <c r="D986" s="7" t="s">
        <v>1885</v>
      </c>
      <c r="E986" s="7" t="str">
        <f t="shared" si="45"/>
        <v>Feb</v>
      </c>
      <c r="F986" s="7" t="s">
        <v>2536</v>
      </c>
      <c r="G986" s="7" t="s">
        <v>18</v>
      </c>
      <c r="H986" s="7" t="s">
        <v>65</v>
      </c>
      <c r="I986" s="7" t="s">
        <v>38</v>
      </c>
      <c r="J986" s="7" t="s">
        <v>29</v>
      </c>
      <c r="K986" s="7" t="s">
        <v>39</v>
      </c>
      <c r="L986" s="7">
        <v>611.39</v>
      </c>
      <c r="M986" s="7">
        <v>1</v>
      </c>
      <c r="N986" s="7">
        <v>0.04</v>
      </c>
      <c r="O986" s="7">
        <v>81.42</v>
      </c>
      <c r="P986" s="7" t="s">
        <v>31</v>
      </c>
      <c r="Q986" s="7" t="s">
        <v>24</v>
      </c>
      <c r="R986" s="7">
        <v>6</v>
      </c>
      <c r="S986" s="7">
        <f t="shared" si="46"/>
        <v>2024</v>
      </c>
      <c r="T986" s="7" t="str">
        <f t="shared" si="47"/>
        <v>Feb</v>
      </c>
    </row>
    <row r="987" spans="2:20" x14ac:dyDescent="0.3">
      <c r="B987" s="7">
        <v>986</v>
      </c>
      <c r="C987" s="7" t="s">
        <v>2537</v>
      </c>
      <c r="D987" s="7" t="s">
        <v>2538</v>
      </c>
      <c r="E987" s="7" t="str">
        <f t="shared" si="45"/>
        <v>Nov</v>
      </c>
      <c r="F987" s="7" t="s">
        <v>2539</v>
      </c>
      <c r="G987" s="7" t="s">
        <v>102</v>
      </c>
      <c r="H987" s="7" t="s">
        <v>65</v>
      </c>
      <c r="I987" s="7" t="s">
        <v>38</v>
      </c>
      <c r="J987" s="7" t="s">
        <v>29</v>
      </c>
      <c r="K987" s="7" t="s">
        <v>76</v>
      </c>
      <c r="L987" s="7">
        <v>756.8</v>
      </c>
      <c r="M987" s="7">
        <v>2</v>
      </c>
      <c r="N987" s="7">
        <v>0.15</v>
      </c>
      <c r="O987" s="7">
        <v>202.5</v>
      </c>
      <c r="P987" s="7" t="s">
        <v>23</v>
      </c>
      <c r="Q987" s="7" t="s">
        <v>40</v>
      </c>
      <c r="R987" s="7">
        <v>6</v>
      </c>
      <c r="S987" s="7">
        <f t="shared" si="46"/>
        <v>2025</v>
      </c>
      <c r="T987" s="7" t="str">
        <f t="shared" si="47"/>
        <v>Nov</v>
      </c>
    </row>
    <row r="988" spans="2:20" x14ac:dyDescent="0.3">
      <c r="B988" s="7">
        <v>987</v>
      </c>
      <c r="C988" s="7" t="s">
        <v>2540</v>
      </c>
      <c r="D988" s="7" t="s">
        <v>2541</v>
      </c>
      <c r="E988" s="7" t="str">
        <f t="shared" si="45"/>
        <v>Apr</v>
      </c>
      <c r="F988" s="7" t="s">
        <v>2542</v>
      </c>
      <c r="G988" s="7" t="s">
        <v>44</v>
      </c>
      <c r="H988" s="7" t="s">
        <v>19</v>
      </c>
      <c r="I988" s="7" t="s">
        <v>106</v>
      </c>
      <c r="J988" s="7" t="s">
        <v>66</v>
      </c>
      <c r="K988" s="7" t="s">
        <v>76</v>
      </c>
      <c r="L988" s="7">
        <v>534.16999999999996</v>
      </c>
      <c r="M988" s="7">
        <v>1</v>
      </c>
      <c r="N988" s="7">
        <v>0.14000000000000001</v>
      </c>
      <c r="O988" s="7">
        <v>171.25</v>
      </c>
      <c r="P988" s="7" t="s">
        <v>23</v>
      </c>
      <c r="Q988" s="7" t="s">
        <v>24</v>
      </c>
      <c r="R988" s="7">
        <v>5</v>
      </c>
      <c r="S988" s="7">
        <f t="shared" si="46"/>
        <v>2025</v>
      </c>
      <c r="T988" s="7" t="str">
        <f t="shared" si="47"/>
        <v>Apr</v>
      </c>
    </row>
    <row r="989" spans="2:20" x14ac:dyDescent="0.3">
      <c r="B989" s="7">
        <v>988</v>
      </c>
      <c r="C989" s="7" t="s">
        <v>2543</v>
      </c>
      <c r="D989" s="7" t="s">
        <v>1608</v>
      </c>
      <c r="E989" s="7" t="str">
        <f t="shared" si="45"/>
        <v>Apr</v>
      </c>
      <c r="F989" s="7" t="s">
        <v>2544</v>
      </c>
      <c r="G989" s="7" t="s">
        <v>36</v>
      </c>
      <c r="H989" s="7" t="s">
        <v>37</v>
      </c>
      <c r="I989" s="7" t="s">
        <v>59</v>
      </c>
      <c r="J989" s="7" t="s">
        <v>66</v>
      </c>
      <c r="K989" s="7" t="s">
        <v>76</v>
      </c>
      <c r="L989" s="7">
        <v>727.47</v>
      </c>
      <c r="M989" s="7">
        <v>2</v>
      </c>
      <c r="N989" s="7">
        <v>0.19</v>
      </c>
      <c r="O989" s="7">
        <v>249.44</v>
      </c>
      <c r="P989" s="7" t="s">
        <v>54</v>
      </c>
      <c r="Q989" s="7" t="s">
        <v>77</v>
      </c>
      <c r="R989" s="7">
        <v>3</v>
      </c>
      <c r="S989" s="7">
        <f t="shared" si="46"/>
        <v>2024</v>
      </c>
      <c r="T989" s="7" t="str">
        <f t="shared" si="47"/>
        <v>Apr</v>
      </c>
    </row>
    <row r="990" spans="2:20" x14ac:dyDescent="0.3">
      <c r="B990" s="7">
        <v>989</v>
      </c>
      <c r="C990" s="7" t="s">
        <v>2545</v>
      </c>
      <c r="D990" s="7" t="s">
        <v>355</v>
      </c>
      <c r="E990" s="7" t="str">
        <f t="shared" si="45"/>
        <v>Sep</v>
      </c>
      <c r="F990" s="7" t="s">
        <v>2546</v>
      </c>
      <c r="G990" s="7" t="s">
        <v>102</v>
      </c>
      <c r="H990" s="7" t="s">
        <v>71</v>
      </c>
      <c r="I990" s="7" t="s">
        <v>46</v>
      </c>
      <c r="J990" s="7" t="s">
        <v>29</v>
      </c>
      <c r="K990" s="7" t="s">
        <v>82</v>
      </c>
      <c r="L990" s="7">
        <v>1154.97</v>
      </c>
      <c r="M990" s="7">
        <v>2</v>
      </c>
      <c r="N990" s="7">
        <v>0.26</v>
      </c>
      <c r="O990" s="7">
        <v>203.17</v>
      </c>
      <c r="P990" s="7" t="s">
        <v>23</v>
      </c>
      <c r="Q990" s="7" t="s">
        <v>77</v>
      </c>
      <c r="R990" s="7">
        <v>4</v>
      </c>
      <c r="S990" s="7">
        <f t="shared" si="46"/>
        <v>2024</v>
      </c>
      <c r="T990" s="7" t="str">
        <f t="shared" si="47"/>
        <v>Sep</v>
      </c>
    </row>
    <row r="991" spans="2:20" x14ac:dyDescent="0.3">
      <c r="B991" s="7">
        <v>990</v>
      </c>
      <c r="C991" s="7" t="s">
        <v>2547</v>
      </c>
      <c r="D991" s="7" t="s">
        <v>1793</v>
      </c>
      <c r="E991" s="7" t="str">
        <f t="shared" si="45"/>
        <v>Jun</v>
      </c>
      <c r="F991" s="7" t="s">
        <v>2548</v>
      </c>
      <c r="G991" s="7" t="s">
        <v>64</v>
      </c>
      <c r="H991" s="7" t="s">
        <v>71</v>
      </c>
      <c r="I991" s="7" t="s">
        <v>20</v>
      </c>
      <c r="J991" s="7" t="s">
        <v>81</v>
      </c>
      <c r="K991" s="7" t="s">
        <v>53</v>
      </c>
      <c r="L991" s="7">
        <v>102.03</v>
      </c>
      <c r="M991" s="7">
        <v>3</v>
      </c>
      <c r="N991" s="7">
        <v>0.11</v>
      </c>
      <c r="O991" s="7">
        <v>31.83</v>
      </c>
      <c r="P991" s="7" t="s">
        <v>23</v>
      </c>
      <c r="Q991" s="7" t="s">
        <v>40</v>
      </c>
      <c r="R991" s="7">
        <v>8</v>
      </c>
      <c r="S991" s="7">
        <f t="shared" si="46"/>
        <v>2025</v>
      </c>
      <c r="T991" s="7" t="str">
        <f t="shared" si="47"/>
        <v>Jun</v>
      </c>
    </row>
    <row r="992" spans="2:20" x14ac:dyDescent="0.3">
      <c r="B992" s="7">
        <v>991</v>
      </c>
      <c r="C992" s="7" t="s">
        <v>2549</v>
      </c>
      <c r="D992" s="7" t="s">
        <v>891</v>
      </c>
      <c r="E992" s="7" t="str">
        <f t="shared" si="45"/>
        <v>Jan</v>
      </c>
      <c r="F992" s="7" t="s">
        <v>2550</v>
      </c>
      <c r="G992" s="7" t="s">
        <v>64</v>
      </c>
      <c r="H992" s="7" t="s">
        <v>51</v>
      </c>
      <c r="I992" s="7" t="s">
        <v>52</v>
      </c>
      <c r="J992" s="7" t="s">
        <v>81</v>
      </c>
      <c r="K992" s="7" t="s">
        <v>76</v>
      </c>
      <c r="L992" s="7">
        <v>783.23</v>
      </c>
      <c r="M992" s="7">
        <v>2</v>
      </c>
      <c r="N992" s="7">
        <v>0.1</v>
      </c>
      <c r="O992" s="7">
        <v>164.16</v>
      </c>
      <c r="P992" s="7" t="s">
        <v>23</v>
      </c>
      <c r="Q992" s="7" t="s">
        <v>86</v>
      </c>
      <c r="R992" s="7">
        <v>3</v>
      </c>
      <c r="S992" s="7">
        <f t="shared" si="46"/>
        <v>2025</v>
      </c>
      <c r="T992" s="7" t="str">
        <f t="shared" si="47"/>
        <v>Jan</v>
      </c>
    </row>
    <row r="993" spans="2:20" x14ac:dyDescent="0.3">
      <c r="B993" s="7">
        <v>992</v>
      </c>
      <c r="C993" s="7" t="s">
        <v>2551</v>
      </c>
      <c r="D993" s="7" t="s">
        <v>1314</v>
      </c>
      <c r="E993" s="7" t="str">
        <f t="shared" si="45"/>
        <v>May</v>
      </c>
      <c r="F993" s="7" t="s">
        <v>2552</v>
      </c>
      <c r="G993" s="7" t="s">
        <v>36</v>
      </c>
      <c r="H993" s="7" t="s">
        <v>65</v>
      </c>
      <c r="I993" s="7" t="s">
        <v>46</v>
      </c>
      <c r="J993" s="7" t="s">
        <v>29</v>
      </c>
      <c r="K993" s="7" t="s">
        <v>53</v>
      </c>
      <c r="L993" s="7">
        <v>2410.16</v>
      </c>
      <c r="M993" s="7">
        <v>4</v>
      </c>
      <c r="N993" s="7">
        <v>0.2</v>
      </c>
      <c r="O993" s="7">
        <v>342.5</v>
      </c>
      <c r="P993" s="7" t="s">
        <v>31</v>
      </c>
      <c r="Q993" s="7" t="s">
        <v>24</v>
      </c>
      <c r="R993" s="7">
        <v>1</v>
      </c>
      <c r="S993" s="7">
        <f t="shared" si="46"/>
        <v>2024</v>
      </c>
      <c r="T993" s="7" t="str">
        <f t="shared" si="47"/>
        <v>May</v>
      </c>
    </row>
    <row r="994" spans="2:20" x14ac:dyDescent="0.3">
      <c r="B994" s="7">
        <v>993</v>
      </c>
      <c r="C994" s="7" t="s">
        <v>2553</v>
      </c>
      <c r="D994" s="7" t="s">
        <v>2554</v>
      </c>
      <c r="E994" s="7" t="str">
        <f t="shared" si="45"/>
        <v>May</v>
      </c>
      <c r="F994" s="7" t="s">
        <v>2555</v>
      </c>
      <c r="G994" s="7" t="s">
        <v>102</v>
      </c>
      <c r="H994" s="7" t="s">
        <v>58</v>
      </c>
      <c r="I994" s="7" t="s">
        <v>20</v>
      </c>
      <c r="J994" s="7" t="s">
        <v>47</v>
      </c>
      <c r="K994" s="7" t="s">
        <v>22</v>
      </c>
      <c r="L994" s="7">
        <v>4035.87</v>
      </c>
      <c r="M994" s="7">
        <v>5</v>
      </c>
      <c r="N994" s="7">
        <v>0.28999999999999998</v>
      </c>
      <c r="O994" s="7">
        <v>908.73</v>
      </c>
      <c r="P994" s="7" t="s">
        <v>54</v>
      </c>
      <c r="Q994" s="7" t="s">
        <v>86</v>
      </c>
      <c r="R994" s="7">
        <v>6</v>
      </c>
      <c r="S994" s="7">
        <f t="shared" si="46"/>
        <v>2025</v>
      </c>
      <c r="T994" s="7" t="str">
        <f t="shared" si="47"/>
        <v>May</v>
      </c>
    </row>
    <row r="995" spans="2:20" x14ac:dyDescent="0.3">
      <c r="B995" s="7">
        <v>994</v>
      </c>
      <c r="C995" s="7" t="s">
        <v>2556</v>
      </c>
      <c r="D995" s="7" t="s">
        <v>2557</v>
      </c>
      <c r="E995" s="7" t="str">
        <f t="shared" si="45"/>
        <v>Aug</v>
      </c>
      <c r="F995" s="7" t="s">
        <v>2558</v>
      </c>
      <c r="G995" s="7" t="s">
        <v>102</v>
      </c>
      <c r="H995" s="7" t="s">
        <v>65</v>
      </c>
      <c r="I995" s="7" t="s">
        <v>28</v>
      </c>
      <c r="J995" s="7" t="s">
        <v>29</v>
      </c>
      <c r="K995" s="7" t="s">
        <v>53</v>
      </c>
      <c r="L995" s="7">
        <v>1522.78</v>
      </c>
      <c r="M995" s="7">
        <v>4</v>
      </c>
      <c r="N995" s="7">
        <v>0.02</v>
      </c>
      <c r="O995" s="7">
        <v>413.86</v>
      </c>
      <c r="P995" s="7" t="s">
        <v>54</v>
      </c>
      <c r="Q995" s="7" t="s">
        <v>24</v>
      </c>
      <c r="R995" s="7">
        <v>6</v>
      </c>
      <c r="S995" s="7">
        <f t="shared" si="46"/>
        <v>2024</v>
      </c>
      <c r="T995" s="7" t="str">
        <f t="shared" si="47"/>
        <v>Aug</v>
      </c>
    </row>
    <row r="996" spans="2:20" x14ac:dyDescent="0.3">
      <c r="B996" s="7">
        <v>995</v>
      </c>
      <c r="C996" s="7" t="s">
        <v>2559</v>
      </c>
      <c r="D996" s="7" t="s">
        <v>2174</v>
      </c>
      <c r="E996" s="7" t="str">
        <f t="shared" si="45"/>
        <v>Oct</v>
      </c>
      <c r="F996" s="7" t="s">
        <v>2560</v>
      </c>
      <c r="G996" s="7" t="s">
        <v>64</v>
      </c>
      <c r="H996" s="7" t="s">
        <v>19</v>
      </c>
      <c r="I996" s="7" t="s">
        <v>59</v>
      </c>
      <c r="J996" s="7" t="s">
        <v>66</v>
      </c>
      <c r="K996" s="7" t="s">
        <v>72</v>
      </c>
      <c r="L996" s="7">
        <v>1611.9</v>
      </c>
      <c r="M996" s="7">
        <v>4</v>
      </c>
      <c r="N996" s="7">
        <v>0.15</v>
      </c>
      <c r="O996" s="7">
        <v>204.99</v>
      </c>
      <c r="P996" s="7" t="s">
        <v>31</v>
      </c>
      <c r="Q996" s="7" t="s">
        <v>24</v>
      </c>
      <c r="R996" s="7">
        <v>8</v>
      </c>
      <c r="S996" s="7">
        <f t="shared" si="46"/>
        <v>2024</v>
      </c>
      <c r="T996" s="7" t="str">
        <f t="shared" si="47"/>
        <v>Oct</v>
      </c>
    </row>
    <row r="997" spans="2:20" x14ac:dyDescent="0.3">
      <c r="B997" s="7">
        <v>996</v>
      </c>
      <c r="C997" s="7" t="s">
        <v>2561</v>
      </c>
      <c r="D997" s="7" t="s">
        <v>2562</v>
      </c>
      <c r="E997" s="7" t="str">
        <f t="shared" si="45"/>
        <v>Jan</v>
      </c>
      <c r="F997" s="7" t="s">
        <v>2563</v>
      </c>
      <c r="G997" s="7" t="s">
        <v>102</v>
      </c>
      <c r="H997" s="7" t="s">
        <v>51</v>
      </c>
      <c r="I997" s="7" t="s">
        <v>59</v>
      </c>
      <c r="J997" s="7" t="s">
        <v>21</v>
      </c>
      <c r="K997" s="7" t="s">
        <v>76</v>
      </c>
      <c r="L997" s="7">
        <v>1907.85</v>
      </c>
      <c r="M997" s="7">
        <v>2</v>
      </c>
      <c r="N997" s="7">
        <v>0.06</v>
      </c>
      <c r="O997" s="7">
        <v>332.1</v>
      </c>
      <c r="P997" s="7" t="s">
        <v>31</v>
      </c>
      <c r="Q997" s="7" t="s">
        <v>40</v>
      </c>
      <c r="R997" s="7">
        <v>7</v>
      </c>
      <c r="S997" s="7">
        <f t="shared" si="46"/>
        <v>2025</v>
      </c>
      <c r="T997" s="7" t="str">
        <f t="shared" si="47"/>
        <v>Jan</v>
      </c>
    </row>
    <row r="998" spans="2:20" x14ac:dyDescent="0.3">
      <c r="B998" s="7">
        <v>997</v>
      </c>
      <c r="C998" s="7" t="s">
        <v>2564</v>
      </c>
      <c r="D998" s="7" t="s">
        <v>596</v>
      </c>
      <c r="E998" s="7" t="str">
        <f t="shared" si="45"/>
        <v>Jan</v>
      </c>
      <c r="F998" s="7" t="s">
        <v>2565</v>
      </c>
      <c r="G998" s="7" t="s">
        <v>102</v>
      </c>
      <c r="H998" s="7" t="s">
        <v>58</v>
      </c>
      <c r="I998" s="7" t="s">
        <v>59</v>
      </c>
      <c r="J998" s="7" t="s">
        <v>66</v>
      </c>
      <c r="K998" s="7" t="s">
        <v>76</v>
      </c>
      <c r="L998" s="7">
        <v>2041.08</v>
      </c>
      <c r="M998" s="7">
        <v>4</v>
      </c>
      <c r="N998" s="7">
        <v>0.2</v>
      </c>
      <c r="O998" s="7">
        <v>597.34</v>
      </c>
      <c r="P998" s="7" t="s">
        <v>23</v>
      </c>
      <c r="Q998" s="7" t="s">
        <v>86</v>
      </c>
      <c r="R998" s="7">
        <v>8</v>
      </c>
      <c r="S998" s="7">
        <f t="shared" si="46"/>
        <v>2024</v>
      </c>
      <c r="T998" s="7" t="str">
        <f t="shared" si="47"/>
        <v>Jan</v>
      </c>
    </row>
    <row r="999" spans="2:20" x14ac:dyDescent="0.3">
      <c r="B999" s="7">
        <v>998</v>
      </c>
      <c r="C999" s="7" t="s">
        <v>2566</v>
      </c>
      <c r="D999" s="7" t="s">
        <v>692</v>
      </c>
      <c r="E999" s="7" t="str">
        <f t="shared" si="45"/>
        <v>Aug</v>
      </c>
      <c r="F999" s="7" t="s">
        <v>2567</v>
      </c>
      <c r="G999" s="7" t="s">
        <v>44</v>
      </c>
      <c r="H999" s="7" t="s">
        <v>37</v>
      </c>
      <c r="I999" s="7" t="s">
        <v>46</v>
      </c>
      <c r="J999" s="7" t="s">
        <v>81</v>
      </c>
      <c r="K999" s="7" t="s">
        <v>60</v>
      </c>
      <c r="L999" s="7">
        <v>2795.23</v>
      </c>
      <c r="M999" s="7">
        <v>4</v>
      </c>
      <c r="N999" s="7">
        <v>0.2</v>
      </c>
      <c r="O999" s="7">
        <v>320.24</v>
      </c>
      <c r="P999" s="7" t="s">
        <v>23</v>
      </c>
      <c r="Q999" s="7" t="s">
        <v>24</v>
      </c>
      <c r="R999" s="7">
        <v>5</v>
      </c>
      <c r="S999" s="7">
        <f t="shared" si="46"/>
        <v>2025</v>
      </c>
      <c r="T999" s="7" t="str">
        <f t="shared" si="47"/>
        <v>Aug</v>
      </c>
    </row>
    <row r="1000" spans="2:20" x14ac:dyDescent="0.3">
      <c r="B1000" s="7">
        <v>999</v>
      </c>
      <c r="C1000" s="7" t="s">
        <v>2568</v>
      </c>
      <c r="D1000" s="7" t="s">
        <v>753</v>
      </c>
      <c r="E1000" s="7" t="str">
        <f t="shared" si="45"/>
        <v>Jan</v>
      </c>
      <c r="F1000" s="7" t="s">
        <v>2569</v>
      </c>
      <c r="G1000" s="7" t="s">
        <v>18</v>
      </c>
      <c r="H1000" s="7" t="s">
        <v>58</v>
      </c>
      <c r="I1000" s="7" t="s">
        <v>38</v>
      </c>
      <c r="J1000" s="7" t="s">
        <v>29</v>
      </c>
      <c r="K1000" s="7" t="s">
        <v>39</v>
      </c>
      <c r="L1000" s="7">
        <v>142.94999999999999</v>
      </c>
      <c r="M1000" s="7">
        <v>5</v>
      </c>
      <c r="N1000" s="7">
        <v>0.18</v>
      </c>
      <c r="O1000" s="7">
        <v>41.9</v>
      </c>
      <c r="P1000" s="7" t="s">
        <v>23</v>
      </c>
      <c r="Q1000" s="7" t="s">
        <v>77</v>
      </c>
      <c r="R1000" s="7">
        <v>4</v>
      </c>
      <c r="S1000" s="7">
        <f t="shared" si="46"/>
        <v>2024</v>
      </c>
      <c r="T1000" s="7" t="str">
        <f t="shared" si="47"/>
        <v>Jan</v>
      </c>
    </row>
    <row r="1001" spans="2:20" x14ac:dyDescent="0.3">
      <c r="B1001" s="7">
        <v>1000</v>
      </c>
      <c r="C1001" s="7" t="s">
        <v>2570</v>
      </c>
      <c r="D1001" s="7" t="s">
        <v>466</v>
      </c>
      <c r="E1001" s="7" t="str">
        <f t="shared" si="45"/>
        <v>Nov</v>
      </c>
      <c r="F1001" s="7" t="s">
        <v>2571</v>
      </c>
      <c r="G1001" s="7" t="s">
        <v>64</v>
      </c>
      <c r="H1001" s="7" t="s">
        <v>45</v>
      </c>
      <c r="I1001" s="7" t="s">
        <v>116</v>
      </c>
      <c r="J1001" s="7" t="s">
        <v>21</v>
      </c>
      <c r="K1001" s="7" t="s">
        <v>53</v>
      </c>
      <c r="L1001" s="7">
        <v>1719.37</v>
      </c>
      <c r="M1001" s="7">
        <v>5</v>
      </c>
      <c r="N1001" s="7">
        <v>0.01</v>
      </c>
      <c r="O1001" s="7">
        <v>543.1</v>
      </c>
      <c r="P1001" s="7" t="s">
        <v>54</v>
      </c>
      <c r="Q1001" s="7" t="s">
        <v>24</v>
      </c>
      <c r="R1001" s="7">
        <v>2</v>
      </c>
      <c r="S1001" s="7">
        <f t="shared" si="46"/>
        <v>2025</v>
      </c>
      <c r="T1001" s="7" t="str">
        <f t="shared" si="47"/>
        <v>Nov</v>
      </c>
    </row>
  </sheetData>
  <pageMargins left="0.75" right="0.75" top="1" bottom="1" header="0.5" footer="0.5"/>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2"/>
  <sheetViews>
    <sheetView zoomScale="103" zoomScaleNormal="170" workbookViewId="0">
      <selection activeCell="G23" sqref="G23"/>
    </sheetView>
  </sheetViews>
  <sheetFormatPr defaultRowHeight="14.4" x14ac:dyDescent="0.3"/>
  <cols>
    <col min="1" max="1" width="12.77734375" customWidth="1"/>
    <col min="2" max="2" width="11.77734375" customWidth="1"/>
    <col min="3" max="3" width="12.109375" bestFit="1" customWidth="1"/>
    <col min="4" max="4" width="12.77734375" customWidth="1"/>
    <col min="5" max="5" width="12.109375" customWidth="1"/>
    <col min="7" max="7" width="12.77734375" customWidth="1"/>
    <col min="8" max="8" width="14.88671875" bestFit="1" customWidth="1"/>
    <col min="10" max="10" width="12.77734375" customWidth="1"/>
    <col min="11" max="11" width="15.6640625" bestFit="1" customWidth="1"/>
    <col min="13" max="13" width="12.77734375" customWidth="1"/>
    <col min="14" max="14" width="18.88671875" bestFit="1" customWidth="1"/>
  </cols>
  <sheetData>
    <row r="1" spans="1:14" x14ac:dyDescent="0.3">
      <c r="A1" s="1" t="s">
        <v>2572</v>
      </c>
      <c r="B1" t="s">
        <v>2574</v>
      </c>
      <c r="D1" s="1" t="s">
        <v>2572</v>
      </c>
      <c r="E1" t="s">
        <v>2575</v>
      </c>
      <c r="G1" s="1" t="s">
        <v>2572</v>
      </c>
      <c r="H1" t="s">
        <v>2576</v>
      </c>
      <c r="J1" s="1" t="s">
        <v>2572</v>
      </c>
      <c r="K1" t="s">
        <v>2577</v>
      </c>
      <c r="M1" s="1" t="s">
        <v>2572</v>
      </c>
      <c r="N1" t="s">
        <v>2595</v>
      </c>
    </row>
    <row r="2" spans="1:14" x14ac:dyDescent="0.3">
      <c r="A2" s="2" t="s">
        <v>2589</v>
      </c>
      <c r="B2" s="3">
        <v>130235.7</v>
      </c>
      <c r="D2" s="2" t="s">
        <v>2589</v>
      </c>
      <c r="E2" s="3">
        <v>30775.80999999999</v>
      </c>
      <c r="G2" s="2" t="s">
        <v>2589</v>
      </c>
      <c r="H2" s="3">
        <v>241</v>
      </c>
      <c r="J2" s="2" t="s">
        <v>2589</v>
      </c>
      <c r="K2" s="3">
        <v>85</v>
      </c>
      <c r="M2" s="2" t="s">
        <v>2589</v>
      </c>
      <c r="N2" s="3">
        <v>0.23630855441326756</v>
      </c>
    </row>
    <row r="3" spans="1:14" x14ac:dyDescent="0.3">
      <c r="A3" s="2" t="s">
        <v>2584</v>
      </c>
      <c r="B3" s="3">
        <v>123386.54999999999</v>
      </c>
      <c r="D3" s="2" t="s">
        <v>2584</v>
      </c>
      <c r="E3" s="3">
        <v>26446.85999999999</v>
      </c>
      <c r="G3" s="2" t="s">
        <v>2584</v>
      </c>
      <c r="H3" s="3">
        <v>250</v>
      </c>
      <c r="J3" s="2" t="s">
        <v>2584</v>
      </c>
      <c r="K3" s="3">
        <v>75</v>
      </c>
      <c r="M3" s="2" t="s">
        <v>2584</v>
      </c>
      <c r="N3" s="3">
        <v>0.21434151453298592</v>
      </c>
    </row>
    <row r="4" spans="1:14" x14ac:dyDescent="0.3">
      <c r="A4" s="2" t="s">
        <v>2587</v>
      </c>
      <c r="B4" s="3">
        <v>109967.59</v>
      </c>
      <c r="D4" s="2" t="s">
        <v>2587</v>
      </c>
      <c r="E4" s="3">
        <v>26292.469999999994</v>
      </c>
      <c r="G4" s="2" t="s">
        <v>2587</v>
      </c>
      <c r="H4" s="3">
        <v>217</v>
      </c>
      <c r="J4" s="2" t="s">
        <v>2587</v>
      </c>
      <c r="K4" s="3">
        <v>81</v>
      </c>
      <c r="M4" s="2" t="s">
        <v>2587</v>
      </c>
      <c r="N4" s="3">
        <v>0.23909290000808414</v>
      </c>
    </row>
    <row r="5" spans="1:14" x14ac:dyDescent="0.3">
      <c r="A5" s="2" t="s">
        <v>2581</v>
      </c>
      <c r="B5" s="3">
        <v>122940.36999999998</v>
      </c>
      <c r="D5" s="2" t="s">
        <v>2581</v>
      </c>
      <c r="E5" s="3">
        <v>29191.89000000001</v>
      </c>
      <c r="G5" s="2" t="s">
        <v>2581</v>
      </c>
      <c r="H5" s="3">
        <v>249</v>
      </c>
      <c r="J5" s="2" t="s">
        <v>2581</v>
      </c>
      <c r="K5" s="3">
        <v>79</v>
      </c>
      <c r="M5" s="2" t="s">
        <v>2581</v>
      </c>
      <c r="N5" s="3">
        <v>0.23744755282581315</v>
      </c>
    </row>
    <row r="6" spans="1:14" x14ac:dyDescent="0.3">
      <c r="A6" s="2" t="s">
        <v>2583</v>
      </c>
      <c r="B6" s="3">
        <v>126507.20000000001</v>
      </c>
      <c r="D6" s="2" t="s">
        <v>2583</v>
      </c>
      <c r="E6" s="3">
        <v>28306.76999999999</v>
      </c>
      <c r="G6" s="2" t="s">
        <v>2583</v>
      </c>
      <c r="H6" s="3">
        <v>270</v>
      </c>
      <c r="J6" s="2" t="s">
        <v>2583</v>
      </c>
      <c r="K6" s="3">
        <v>92</v>
      </c>
      <c r="M6" s="2" t="s">
        <v>2583</v>
      </c>
      <c r="N6" s="3">
        <v>0.22375619727572807</v>
      </c>
    </row>
    <row r="7" spans="1:14" x14ac:dyDescent="0.3">
      <c r="A7" s="2" t="s">
        <v>2585</v>
      </c>
      <c r="B7" s="3">
        <v>130764.56999999996</v>
      </c>
      <c r="D7" s="2" t="s">
        <v>2585</v>
      </c>
      <c r="E7" s="3">
        <v>28542.190000000002</v>
      </c>
      <c r="G7" s="2" t="s">
        <v>2585</v>
      </c>
      <c r="H7" s="3">
        <v>223</v>
      </c>
      <c r="J7" s="2" t="s">
        <v>2585</v>
      </c>
      <c r="K7" s="3">
        <v>81</v>
      </c>
      <c r="M7" s="2" t="s">
        <v>2585</v>
      </c>
      <c r="N7" s="3">
        <v>0.2182715853384446</v>
      </c>
    </row>
    <row r="8" spans="1:14" x14ac:dyDescent="0.3">
      <c r="A8" s="2" t="s">
        <v>2586</v>
      </c>
      <c r="B8" s="3">
        <v>101473.74</v>
      </c>
      <c r="D8" s="2" t="s">
        <v>2586</v>
      </c>
      <c r="E8" s="3">
        <v>25104.22</v>
      </c>
      <c r="G8" s="2" t="s">
        <v>2586</v>
      </c>
      <c r="H8" s="3">
        <v>219</v>
      </c>
      <c r="J8" s="2" t="s">
        <v>2586</v>
      </c>
      <c r="K8" s="3">
        <v>72</v>
      </c>
      <c r="M8" s="2" t="s">
        <v>2586</v>
      </c>
      <c r="N8" s="3">
        <v>0.24739622290456625</v>
      </c>
    </row>
    <row r="9" spans="1:14" x14ac:dyDescent="0.3">
      <c r="A9" s="2" t="s">
        <v>2580</v>
      </c>
      <c r="B9" s="3">
        <v>144159.16000000003</v>
      </c>
      <c r="D9" s="2" t="s">
        <v>2580</v>
      </c>
      <c r="E9" s="3">
        <v>32803.589999999997</v>
      </c>
      <c r="G9" s="2" t="s">
        <v>2580</v>
      </c>
      <c r="H9" s="3">
        <v>267</v>
      </c>
      <c r="J9" s="2" t="s">
        <v>2580</v>
      </c>
      <c r="K9" s="3">
        <v>93</v>
      </c>
      <c r="M9" s="2" t="s">
        <v>2580</v>
      </c>
      <c r="N9" s="3">
        <v>0.22755120104750881</v>
      </c>
    </row>
    <row r="10" spans="1:14" x14ac:dyDescent="0.3">
      <c r="A10" s="2" t="s">
        <v>2590</v>
      </c>
      <c r="B10" s="3">
        <v>134848.82</v>
      </c>
      <c r="D10" s="2" t="s">
        <v>2590</v>
      </c>
      <c r="E10" s="3">
        <v>30069.350000000002</v>
      </c>
      <c r="G10" s="2" t="s">
        <v>2590</v>
      </c>
      <c r="H10" s="3">
        <v>221</v>
      </c>
      <c r="J10" s="2" t="s">
        <v>2590</v>
      </c>
      <c r="K10" s="3">
        <v>76</v>
      </c>
      <c r="M10" s="2" t="s">
        <v>2590</v>
      </c>
      <c r="N10" s="3">
        <v>0.22298563680423752</v>
      </c>
    </row>
    <row r="11" spans="1:14" x14ac:dyDescent="0.3">
      <c r="A11" s="2" t="s">
        <v>2591</v>
      </c>
      <c r="B11" s="3">
        <v>131816.47999999998</v>
      </c>
      <c r="D11" s="2" t="s">
        <v>2591</v>
      </c>
      <c r="E11" s="3">
        <v>26467.579999999998</v>
      </c>
      <c r="G11" s="2" t="s">
        <v>2591</v>
      </c>
      <c r="H11" s="3">
        <v>250</v>
      </c>
      <c r="J11" s="2" t="s">
        <v>2591</v>
      </c>
      <c r="K11" s="3">
        <v>79</v>
      </c>
      <c r="M11" s="2" t="s">
        <v>2591</v>
      </c>
      <c r="N11" s="3">
        <v>0.20079113021376388</v>
      </c>
    </row>
    <row r="12" spans="1:14" x14ac:dyDescent="0.3">
      <c r="A12" s="2" t="s">
        <v>2582</v>
      </c>
      <c r="B12" s="3">
        <v>108358.24</v>
      </c>
      <c r="D12" s="2" t="s">
        <v>2582</v>
      </c>
      <c r="E12" s="3">
        <v>25108.149999999998</v>
      </c>
      <c r="G12" s="2" t="s">
        <v>2582</v>
      </c>
      <c r="H12" s="3">
        <v>231</v>
      </c>
      <c r="J12" s="2" t="s">
        <v>2582</v>
      </c>
      <c r="K12" s="3">
        <v>82</v>
      </c>
      <c r="M12" s="2" t="s">
        <v>2582</v>
      </c>
      <c r="N12" s="3">
        <v>0.23171426556946659</v>
      </c>
    </row>
    <row r="13" spans="1:14" x14ac:dyDescent="0.3">
      <c r="A13" s="2" t="s">
        <v>2588</v>
      </c>
      <c r="B13" s="3">
        <v>162994.06000000003</v>
      </c>
      <c r="D13" s="2" t="s">
        <v>2588</v>
      </c>
      <c r="E13" s="3">
        <v>35893.79</v>
      </c>
      <c r="G13" s="2" t="s">
        <v>2588</v>
      </c>
      <c r="H13" s="3">
        <v>325</v>
      </c>
      <c r="J13" s="2" t="s">
        <v>2588</v>
      </c>
      <c r="K13" s="3">
        <v>105</v>
      </c>
      <c r="M13" s="2" t="s">
        <v>2588</v>
      </c>
      <c r="N13" s="3">
        <v>0.22021532563824717</v>
      </c>
    </row>
    <row r="14" spans="1:14" x14ac:dyDescent="0.3">
      <c r="A14" s="2" t="s">
        <v>2573</v>
      </c>
      <c r="B14" s="3">
        <v>1527452.48</v>
      </c>
      <c r="D14" s="2" t="s">
        <v>2573</v>
      </c>
      <c r="E14" s="3">
        <v>345002.67</v>
      </c>
      <c r="G14" s="2" t="s">
        <v>2573</v>
      </c>
      <c r="H14" s="3">
        <v>2963</v>
      </c>
      <c r="J14" s="2" t="s">
        <v>2573</v>
      </c>
      <c r="K14" s="3">
        <v>1000</v>
      </c>
      <c r="M14" s="2" t="s">
        <v>2573</v>
      </c>
      <c r="N14" s="3">
        <v>0.22586802176654261</v>
      </c>
    </row>
    <row r="15" spans="1:14" x14ac:dyDescent="0.3">
      <c r="B15" s="11">
        <f>B14</f>
        <v>1527452.48</v>
      </c>
      <c r="E15" s="11">
        <f>E14</f>
        <v>345002.67</v>
      </c>
      <c r="H15" s="12">
        <f>H14</f>
        <v>2963</v>
      </c>
      <c r="K15" s="12">
        <f>K14</f>
        <v>1000</v>
      </c>
      <c r="N15" s="13">
        <f>N14</f>
        <v>0.22586802176654261</v>
      </c>
    </row>
    <row r="21" spans="4:4" x14ac:dyDescent="0.3">
      <c r="D21" t="s">
        <v>2597</v>
      </c>
    </row>
    <row r="22" spans="4:4" x14ac:dyDescent="0.3">
      <c r="D22" t="s">
        <v>2598</v>
      </c>
    </row>
  </sheetData>
  <pageMargins left="0.7" right="0.7" top="0.75" bottom="0.75" header="0.3" footer="0.3"/>
  <pageSetup orientation="portrait" r:id="rId6"/>
  <drawing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
  <sheetViews>
    <sheetView workbookViewId="0">
      <selection activeCell="E1" sqref="E1"/>
    </sheetView>
  </sheetViews>
  <sheetFormatPr defaultRowHeight="14.4" x14ac:dyDescent="0.3"/>
  <cols>
    <col min="1" max="1" width="12.5546875" customWidth="1"/>
    <col min="2" max="2" width="11.6640625" customWidth="1"/>
    <col min="3" max="3" width="14.88671875" bestFit="1" customWidth="1"/>
    <col min="4" max="4" width="12.109375" bestFit="1" customWidth="1"/>
    <col min="5" max="5" width="15.44140625" bestFit="1" customWidth="1"/>
    <col min="6" max="6" width="18.77734375" bestFit="1" customWidth="1"/>
    <col min="10" max="10" width="4.77734375" customWidth="1"/>
    <col min="11" max="11" width="13" customWidth="1"/>
    <col min="12" max="12" width="12.77734375" customWidth="1"/>
    <col min="13" max="13" width="13.44140625" customWidth="1"/>
    <col min="14" max="14" width="12.33203125" customWidth="1"/>
    <col min="15" max="15" width="13.44140625" customWidth="1"/>
  </cols>
  <sheetData>
    <row r="1" spans="1:15" x14ac:dyDescent="0.3">
      <c r="A1" s="1" t="s">
        <v>2572</v>
      </c>
      <c r="B1" t="s">
        <v>2574</v>
      </c>
      <c r="C1" t="s">
        <v>2576</v>
      </c>
      <c r="D1" t="s">
        <v>2575</v>
      </c>
      <c r="E1" t="s">
        <v>2577</v>
      </c>
      <c r="F1" t="s">
        <v>2595</v>
      </c>
    </row>
    <row r="2" spans="1:15" x14ac:dyDescent="0.3">
      <c r="A2" s="2">
        <v>2024</v>
      </c>
      <c r="B2" s="3">
        <v>828944.40000000014</v>
      </c>
      <c r="C2" s="3">
        <v>1586</v>
      </c>
      <c r="D2" s="3">
        <v>184581.60000000006</v>
      </c>
      <c r="E2" s="3">
        <v>539</v>
      </c>
      <c r="F2" s="3">
        <v>0.22267066403971128</v>
      </c>
      <c r="I2" t="s">
        <v>2596</v>
      </c>
    </row>
    <row r="3" spans="1:15" x14ac:dyDescent="0.3">
      <c r="A3" s="2">
        <v>2025</v>
      </c>
      <c r="B3" s="3">
        <v>698508.08</v>
      </c>
      <c r="C3" s="3">
        <v>1377</v>
      </c>
      <c r="D3" s="3">
        <v>160421.07000000012</v>
      </c>
      <c r="E3" s="3">
        <v>461</v>
      </c>
      <c r="F3" s="3">
        <v>0.22966243998208313</v>
      </c>
    </row>
    <row r="5" spans="1:15" x14ac:dyDescent="0.3">
      <c r="K5" t="s">
        <v>2599</v>
      </c>
    </row>
    <row r="6" spans="1:15" x14ac:dyDescent="0.3">
      <c r="K6" t="s">
        <v>2600</v>
      </c>
    </row>
    <row r="8" spans="1:15" ht="17.399999999999999" x14ac:dyDescent="0.3">
      <c r="K8" s="16">
        <f xml:space="preserve"> (B3/B2)-1</f>
        <v>-0.15735231458225685</v>
      </c>
      <c r="L8" s="15">
        <f xml:space="preserve"> (C3/C2)-1</f>
        <v>-0.13177805800756626</v>
      </c>
      <c r="M8" s="15">
        <f xml:space="preserve"> (D3/D2)-1</f>
        <v>-0.13089349100885428</v>
      </c>
      <c r="N8" s="15">
        <f xml:space="preserve"> (E3/E2)-1</f>
        <v>-0.14471243042671611</v>
      </c>
      <c r="O8" s="17">
        <f xml:space="preserve"> (F3/F2)-1</f>
        <v>3.1399627663233343E-2</v>
      </c>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REGION BASED DASHBOARD</vt:lpstr>
      <vt:lpstr>COUNTRY BASED DASHBOARD</vt:lpstr>
      <vt:lpstr>CITY BASED DASHBOARD</vt:lpstr>
      <vt:lpstr>pivot tables area</vt:lpstr>
      <vt:lpstr>sales data set</vt:lpstr>
      <vt:lpstr>KPIs</vt:lpstr>
      <vt:lpstr>yoy growth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2026-02-04T15:54:15Z</dcterms:created>
  <dcterms:modified xsi:type="dcterms:W3CDTF">2026-02-18T15:25:11Z</dcterms:modified>
</cp:coreProperties>
</file>